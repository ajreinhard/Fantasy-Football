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hidePivotFieldList="1" defaultThemeVersion="166925"/>
  <mc:AlternateContent xmlns:mc="http://schemas.openxmlformats.org/markup-compatibility/2006">
    <mc:Choice Requires="x15">
      <x15ac:absPath xmlns:x15ac="http://schemas.microsoft.com/office/spreadsheetml/2010/11/ac" url="C:\Users\A097092\Desktop\Extra\Fantasy FB research\"/>
    </mc:Choice>
  </mc:AlternateContent>
  <bookViews>
    <workbookView xWindow="0" yWindow="0" windowWidth="20220" windowHeight="6660" firstSheet="4" activeTab="5"/>
  </bookViews>
  <sheets>
    <sheet name="Data Import" sheetId="1" r:id="rId1"/>
    <sheet name="Pivot" sheetId="2" r:id="rId2"/>
    <sheet name="Sched" sheetId="3" r:id="rId3"/>
    <sheet name="Win Hist" sheetId="5" r:id="rId4"/>
    <sheet name="Sample Quick Prob" sheetId="6" r:id="rId5"/>
    <sheet name="Sched (2)" sheetId="13" r:id="rId6"/>
    <sheet name="Playoff Run" sheetId="15" r:id="rId7"/>
    <sheet name="Wins Needed" sheetId="14" r:id="rId8"/>
    <sheet name="Weekly Combos" sheetId="16" r:id="rId9"/>
  </sheets>
  <definedNames>
    <definedName name="_xlnm._FilterDatabase" localSheetId="0" hidden="1">'Data Import'!$A$1:$L$1701</definedName>
    <definedName name="_xlnm._FilterDatabase" localSheetId="8" hidden="1">'Weekly Combos'!$A$1:$Q$33</definedName>
    <definedName name="all_starters" localSheetId="0">'Data Import'!$A$1:$J$1531</definedName>
    <definedName name="ExternalData_1" localSheetId="0" hidden="1">'Data Import'!$P$1:$AG$11</definedName>
    <definedName name="game_pred" localSheetId="0">'Data Import'!$P$14:$AB$24</definedName>
    <definedName name="impact" localSheetId="6">'Playoff Run'!$A$57:$L$157</definedName>
    <definedName name="sched" localSheetId="0">'Data Import'!$AR$1:$AT$131</definedName>
    <definedName name="week_combos" localSheetId="8">'Weekly Combos'!$A$1:$Q$33</definedName>
    <definedName name="wins_needed" localSheetId="7">'Wins Needed'!$A$1:$D$11</definedName>
  </definedNames>
  <calcPr calcId="171027"/>
  <pivotCaches>
    <pivotCache cacheId="92"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46" i="13" l="1"/>
  <c r="O66" i="13" s="1"/>
  <c r="O86" i="13" s="1"/>
  <c r="O39" i="13"/>
  <c r="O59" i="13" s="1"/>
  <c r="O79" i="13" s="1"/>
  <c r="O99" i="13" s="1"/>
  <c r="O38" i="13"/>
  <c r="O58" i="13" s="1"/>
  <c r="O78" i="13" s="1"/>
  <c r="O98" i="13" s="1"/>
  <c r="O37" i="13"/>
  <c r="O57" i="13" s="1"/>
  <c r="O77" i="13" s="1"/>
  <c r="O97" i="13" s="1"/>
  <c r="O36" i="13"/>
  <c r="O56" i="13" s="1"/>
  <c r="O76" i="13" s="1"/>
  <c r="O96" i="13" s="1"/>
  <c r="O35" i="13"/>
  <c r="O55" i="13" s="1"/>
  <c r="O75" i="13" s="1"/>
  <c r="O95" i="13" s="1"/>
  <c r="O34" i="13"/>
  <c r="O54" i="13" s="1"/>
  <c r="O74" i="13" s="1"/>
  <c r="O94" i="13" s="1"/>
  <c r="O33" i="13"/>
  <c r="O53" i="13" s="1"/>
  <c r="O73" i="13" s="1"/>
  <c r="O93" i="13" s="1"/>
  <c r="O32" i="13"/>
  <c r="O52" i="13" s="1"/>
  <c r="O72" i="13" s="1"/>
  <c r="O92" i="13" s="1"/>
  <c r="O31" i="13"/>
  <c r="O51" i="13" s="1"/>
  <c r="O71" i="13" s="1"/>
  <c r="O91" i="13" s="1"/>
  <c r="O30" i="13"/>
  <c r="O50" i="13" s="1"/>
  <c r="O70" i="13" s="1"/>
  <c r="O90" i="13" s="1"/>
  <c r="O29" i="13"/>
  <c r="O49" i="13" s="1"/>
  <c r="O69" i="13" s="1"/>
  <c r="O89" i="13" s="1"/>
  <c r="O28" i="13"/>
  <c r="O48" i="13" s="1"/>
  <c r="O68" i="13" s="1"/>
  <c r="O88" i="13" s="1"/>
  <c r="O27" i="13"/>
  <c r="O47" i="13" s="1"/>
  <c r="O67" i="13" s="1"/>
  <c r="O87" i="13" s="1"/>
  <c r="O26" i="13"/>
  <c r="O25" i="13"/>
  <c r="O45" i="13" s="1"/>
  <c r="O65" i="13" s="1"/>
  <c r="O85" i="13" s="1"/>
  <c r="O24" i="13"/>
  <c r="O44" i="13" s="1"/>
  <c r="O64" i="13" s="1"/>
  <c r="O84" i="13" s="1"/>
  <c r="O23" i="13"/>
  <c r="O43" i="13" s="1"/>
  <c r="O63" i="13" s="1"/>
  <c r="O83" i="13" s="1"/>
  <c r="B99" i="13"/>
  <c r="B98" i="13"/>
  <c r="B97" i="13"/>
  <c r="B96" i="13"/>
  <c r="B95" i="13"/>
  <c r="B94" i="13"/>
  <c r="B93" i="13"/>
  <c r="B92" i="13"/>
  <c r="B91" i="13"/>
  <c r="B90" i="13"/>
  <c r="B89" i="13"/>
  <c r="B88" i="13"/>
  <c r="B87" i="13"/>
  <c r="B86" i="13"/>
  <c r="B85" i="13"/>
  <c r="B84" i="13"/>
  <c r="B83" i="13"/>
  <c r="B79" i="13"/>
  <c r="B78" i="13"/>
  <c r="B77" i="13"/>
  <c r="B76" i="13"/>
  <c r="B75" i="13"/>
  <c r="B74" i="13"/>
  <c r="B73" i="13"/>
  <c r="B72" i="13"/>
  <c r="B71" i="13"/>
  <c r="B70" i="13"/>
  <c r="B69" i="13"/>
  <c r="B68" i="13"/>
  <c r="B67" i="13"/>
  <c r="B66" i="13"/>
  <c r="B65" i="13"/>
  <c r="B64" i="13"/>
  <c r="B63" i="13"/>
  <c r="B59" i="13"/>
  <c r="B58" i="13"/>
  <c r="B57" i="13"/>
  <c r="B56" i="13"/>
  <c r="B55" i="13"/>
  <c r="B54" i="13"/>
  <c r="B53" i="13"/>
  <c r="B52" i="13"/>
  <c r="B51" i="13"/>
  <c r="B50" i="13"/>
  <c r="B49" i="13"/>
  <c r="B48" i="13"/>
  <c r="B47" i="13"/>
  <c r="B46" i="13"/>
  <c r="B45" i="13"/>
  <c r="B44" i="13"/>
  <c r="B43" i="13"/>
  <c r="B24" i="13"/>
  <c r="B25" i="13"/>
  <c r="B26" i="13"/>
  <c r="B27" i="13"/>
  <c r="B28" i="13"/>
  <c r="B29" i="13"/>
  <c r="B30" i="13"/>
  <c r="B31" i="13"/>
  <c r="B32" i="13"/>
  <c r="B33" i="13"/>
  <c r="B34" i="13"/>
  <c r="B35" i="13"/>
  <c r="B36" i="13"/>
  <c r="B37" i="13"/>
  <c r="B38" i="13"/>
  <c r="B39" i="13"/>
  <c r="B23" i="13"/>
  <c r="AC16" i="1"/>
  <c r="AC17" i="1"/>
  <c r="AC18" i="1"/>
  <c r="AC19" i="1"/>
  <c r="AC20" i="1"/>
  <c r="AC21" i="1"/>
  <c r="AC22" i="1"/>
  <c r="AC23" i="1"/>
  <c r="AC24" i="1"/>
  <c r="AC15" i="1"/>
  <c r="AH3" i="1"/>
  <c r="AH4" i="1"/>
  <c r="AH5" i="1"/>
  <c r="AH6" i="1"/>
  <c r="AH7" i="1"/>
  <c r="AH8" i="1"/>
  <c r="AH9" i="1"/>
  <c r="AH10" i="1"/>
  <c r="AH11" i="1"/>
  <c r="AH2" i="1"/>
  <c r="U38" i="16" l="1"/>
  <c r="AB40" i="16"/>
  <c r="AA40" i="16"/>
  <c r="Z40" i="16"/>
  <c r="Y40" i="16"/>
  <c r="X40" i="16"/>
  <c r="W40" i="16"/>
  <c r="V40" i="16"/>
  <c r="U40" i="16"/>
  <c r="T40" i="16"/>
  <c r="S40" i="16"/>
  <c r="S44" i="16"/>
  <c r="AZ23" i="15" l="1"/>
  <c r="AY23" i="15"/>
  <c r="AW29" i="15"/>
  <c r="S52" i="16"/>
  <c r="U52" i="16"/>
  <c r="U53" i="16" s="1"/>
  <c r="V52" i="16"/>
  <c r="V54" i="16" s="1"/>
  <c r="W52" i="16"/>
  <c r="W54" i="16" s="1"/>
  <c r="T52" i="16"/>
  <c r="T53" i="16" s="1"/>
  <c r="S37" i="16"/>
  <c r="X37" i="16"/>
  <c r="S54" i="16" l="1"/>
  <c r="S53" i="16"/>
  <c r="T54" i="16"/>
  <c r="U54" i="16"/>
  <c r="W53" i="16"/>
  <c r="V53" i="16"/>
  <c r="AW30" i="15"/>
  <c r="BA23" i="15"/>
  <c r="S38" i="16"/>
  <c r="W50" i="16" l="1"/>
  <c r="W42" i="16" s="1"/>
  <c r="S50" i="16"/>
  <c r="S42" i="16" s="1"/>
  <c r="AA50" i="16"/>
  <c r="AA42" i="16" s="1"/>
  <c r="Z50" i="16"/>
  <c r="Z42" i="16" s="1"/>
  <c r="T50" i="16"/>
  <c r="AB50" i="16"/>
  <c r="AB42" i="16" s="1"/>
  <c r="V50" i="16"/>
  <c r="V42" i="16" s="1"/>
  <c r="U50" i="16"/>
  <c r="Y50" i="16"/>
  <c r="X50" i="16"/>
  <c r="X42" i="16" s="1"/>
  <c r="BB23" i="15"/>
  <c r="AW31" i="15"/>
  <c r="W41" i="16"/>
  <c r="S41" i="16"/>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V41" i="16" l="1"/>
  <c r="U41" i="16"/>
  <c r="U42" i="16"/>
  <c r="T41" i="16"/>
  <c r="T42" i="16"/>
  <c r="Y41" i="16"/>
  <c r="Y42" i="16"/>
  <c r="Z41" i="16"/>
  <c r="AB41" i="16"/>
  <c r="AA41" i="16"/>
  <c r="X41" i="16"/>
  <c r="AW32" i="15"/>
  <c r="BC23" i="15"/>
  <c r="T45" i="16"/>
  <c r="U45" i="16"/>
  <c r="V45" i="16"/>
  <c r="W45" i="16"/>
  <c r="X45" i="16"/>
  <c r="Y45" i="16"/>
  <c r="Z45" i="16"/>
  <c r="AA45" i="16"/>
  <c r="AB45" i="16"/>
  <c r="S45" i="16"/>
  <c r="T44" i="16"/>
  <c r="U44" i="16"/>
  <c r="V44" i="16"/>
  <c r="W44" i="16"/>
  <c r="X44" i="16"/>
  <c r="Y44" i="16"/>
  <c r="Z44" i="16"/>
  <c r="AA44" i="16"/>
  <c r="AB44" i="16"/>
  <c r="T38" i="16"/>
  <c r="V38" i="16"/>
  <c r="W38" i="16"/>
  <c r="X38" i="16"/>
  <c r="Y38" i="16"/>
  <c r="Z38" i="16"/>
  <c r="AA38" i="16"/>
  <c r="AB38" i="16"/>
  <c r="T37" i="16"/>
  <c r="U37" i="16"/>
  <c r="V37" i="16"/>
  <c r="W37" i="16"/>
  <c r="Y37" i="16"/>
  <c r="Z37" i="16"/>
  <c r="AA37" i="16"/>
  <c r="AB37" i="16"/>
  <c r="S36" i="16"/>
  <c r="T36" i="16"/>
  <c r="U36" i="16"/>
  <c r="V36" i="16"/>
  <c r="W36" i="16"/>
  <c r="X36" i="16"/>
  <c r="Y36" i="16"/>
  <c r="Z36" i="16"/>
  <c r="AA36" i="16"/>
  <c r="AB36" i="16"/>
  <c r="BD23" i="15" l="1"/>
  <c r="AW33" i="15"/>
  <c r="AB46" i="16"/>
  <c r="X46" i="16"/>
  <c r="T46" i="16"/>
  <c r="Z46" i="16"/>
  <c r="V46" i="16"/>
  <c r="AA46" i="16"/>
  <c r="W46" i="16"/>
  <c r="S46" i="16"/>
  <c r="Y46" i="16"/>
  <c r="U46" i="16"/>
  <c r="M7" i="15"/>
  <c r="M8" i="15"/>
  <c r="M9" i="15"/>
  <c r="M10" i="15"/>
  <c r="M11" i="15"/>
  <c r="M12" i="15"/>
  <c r="M13" i="15"/>
  <c r="M14" i="15"/>
  <c r="M15" i="15"/>
  <c r="M6" i="15"/>
  <c r="W5" i="15"/>
  <c r="AE5" i="15"/>
  <c r="AM5" i="15"/>
  <c r="P4" i="15"/>
  <c r="Q5" i="15" s="1"/>
  <c r="R4" i="15"/>
  <c r="S5" i="15" s="1"/>
  <c r="T4" i="15"/>
  <c r="U5" i="15" s="1"/>
  <c r="V4" i="15"/>
  <c r="X4" i="15"/>
  <c r="Y5" i="15" s="1"/>
  <c r="Z4" i="15"/>
  <c r="AA5" i="15" s="1"/>
  <c r="AB4" i="15"/>
  <c r="AC5" i="15" s="1"/>
  <c r="AD4" i="15"/>
  <c r="AF4" i="15"/>
  <c r="AG5" i="15" s="1"/>
  <c r="AH4" i="15"/>
  <c r="AI5" i="15" s="1"/>
  <c r="AJ4" i="15"/>
  <c r="AK5" i="15" s="1"/>
  <c r="AL4" i="15"/>
  <c r="AN4" i="15"/>
  <c r="AO5" i="15" s="1"/>
  <c r="AP4" i="15"/>
  <c r="AQ5" i="15" s="1"/>
  <c r="N4" i="15"/>
  <c r="O5" i="15" s="1"/>
  <c r="N58" i="15"/>
  <c r="AW34" i="15" l="1"/>
  <c r="BE23" i="15"/>
  <c r="P3" i="15"/>
  <c r="P5" i="15" s="1"/>
  <c r="R3" i="15"/>
  <c r="R5" i="15" s="1"/>
  <c r="T3" i="15"/>
  <c r="T5" i="15" s="1"/>
  <c r="V3" i="15"/>
  <c r="V5" i="15" s="1"/>
  <c r="X3" i="15"/>
  <c r="X5" i="15" s="1"/>
  <c r="X13" i="15" s="1"/>
  <c r="Z3" i="15"/>
  <c r="Z5" i="15" s="1"/>
  <c r="AB3" i="15"/>
  <c r="AB5" i="15" s="1"/>
  <c r="AD3" i="15"/>
  <c r="AD5" i="15" s="1"/>
  <c r="AF3" i="15"/>
  <c r="AF5" i="15" s="1"/>
  <c r="AH3" i="15"/>
  <c r="AH5" i="15" s="1"/>
  <c r="AJ3" i="15"/>
  <c r="AJ5" i="15" s="1"/>
  <c r="AL3" i="15"/>
  <c r="AL5" i="15" s="1"/>
  <c r="AN3" i="15"/>
  <c r="AN5" i="15" s="1"/>
  <c r="AP3" i="15"/>
  <c r="AP5" i="15" s="1"/>
  <c r="AP13" i="15" s="1"/>
  <c r="N3" i="15"/>
  <c r="N5" i="15" s="1"/>
  <c r="P2" i="15"/>
  <c r="R2" i="15"/>
  <c r="T2" i="15"/>
  <c r="V2" i="15"/>
  <c r="X2" i="15"/>
  <c r="Z2" i="15"/>
  <c r="AB2" i="15"/>
  <c r="AD2" i="15"/>
  <c r="AF2" i="15"/>
  <c r="AH2" i="15"/>
  <c r="AJ2" i="15"/>
  <c r="AL2" i="15"/>
  <c r="AN2" i="15"/>
  <c r="AP2" i="15"/>
  <c r="N2" i="15"/>
  <c r="AP1" i="15"/>
  <c r="AL1" i="15"/>
  <c r="AN1" i="15" s="1"/>
  <c r="AJ1" i="15"/>
  <c r="AH1" i="15"/>
  <c r="AF1" i="15"/>
  <c r="R1" i="15"/>
  <c r="T1" i="15" s="1"/>
  <c r="V1" i="15" s="1"/>
  <c r="X1" i="15" s="1"/>
  <c r="Z1" i="15" s="1"/>
  <c r="AB1" i="15" s="1"/>
  <c r="AD1" i="15" s="1"/>
  <c r="P1" i="15"/>
  <c r="AW35" i="15" l="1"/>
  <c r="BF23" i="15"/>
  <c r="O8" i="15"/>
  <c r="O6" i="15"/>
  <c r="O15" i="15"/>
  <c r="O10" i="15"/>
  <c r="O9" i="15"/>
  <c r="O13" i="15"/>
  <c r="O14" i="15"/>
  <c r="O12" i="15"/>
  <c r="O7" i="15"/>
  <c r="O11" i="15"/>
  <c r="U13" i="15"/>
  <c r="U9" i="15"/>
  <c r="U15" i="15"/>
  <c r="U7" i="15"/>
  <c r="U11" i="15"/>
  <c r="U8" i="15"/>
  <c r="U14" i="15"/>
  <c r="U6" i="15"/>
  <c r="U12" i="15"/>
  <c r="U10" i="15"/>
  <c r="R15" i="15"/>
  <c r="R13" i="15"/>
  <c r="R11" i="15"/>
  <c r="R9" i="15"/>
  <c r="R7" i="15"/>
  <c r="R12" i="15"/>
  <c r="R8" i="15"/>
  <c r="R14" i="15"/>
  <c r="R10" i="15"/>
  <c r="R6" i="15"/>
  <c r="AI8" i="15"/>
  <c r="AI7" i="15"/>
  <c r="AI9" i="15"/>
  <c r="AI11" i="15"/>
  <c r="AI14" i="15"/>
  <c r="AI6" i="15"/>
  <c r="AI13" i="15"/>
  <c r="AI12" i="15"/>
  <c r="AI15" i="15"/>
  <c r="AI10" i="15"/>
  <c r="S14" i="15"/>
  <c r="S6" i="15"/>
  <c r="S13" i="15"/>
  <c r="S9" i="15"/>
  <c r="S12" i="15"/>
  <c r="S15" i="15"/>
  <c r="S10" i="15"/>
  <c r="S11" i="15"/>
  <c r="S8" i="15"/>
  <c r="S7" i="15"/>
  <c r="AN15" i="15"/>
  <c r="AN13" i="15"/>
  <c r="AN11" i="15"/>
  <c r="AN9" i="15"/>
  <c r="AN7" i="15"/>
  <c r="AN14" i="15"/>
  <c r="AN10" i="15"/>
  <c r="AN6" i="15"/>
  <c r="AN12" i="15"/>
  <c r="AN8" i="15"/>
  <c r="AF15" i="15"/>
  <c r="AF13" i="15"/>
  <c r="AF11" i="15"/>
  <c r="AF9" i="15"/>
  <c r="AF7" i="15"/>
  <c r="AF14" i="15"/>
  <c r="AF10" i="15"/>
  <c r="AF6" i="15"/>
  <c r="AF12" i="15"/>
  <c r="AF8" i="15"/>
  <c r="X15" i="15"/>
  <c r="X11" i="15"/>
  <c r="X9" i="15"/>
  <c r="X7" i="15"/>
  <c r="X14" i="15"/>
  <c r="X10" i="15"/>
  <c r="X6" i="15"/>
  <c r="X12" i="15"/>
  <c r="X8" i="15"/>
  <c r="P15" i="15"/>
  <c r="P13" i="15"/>
  <c r="P11" i="15"/>
  <c r="P9" i="15"/>
  <c r="P7" i="15"/>
  <c r="P14" i="15"/>
  <c r="P10" i="15"/>
  <c r="P6" i="15"/>
  <c r="P12" i="15"/>
  <c r="P8" i="15"/>
  <c r="AC13" i="15"/>
  <c r="AC9" i="15"/>
  <c r="AC15" i="15"/>
  <c r="AC11" i="15"/>
  <c r="AC7" i="15"/>
  <c r="AC14" i="15"/>
  <c r="AC6" i="15"/>
  <c r="AC10" i="15"/>
  <c r="AC8" i="15"/>
  <c r="AC12" i="15"/>
  <c r="AP15" i="15"/>
  <c r="AP11" i="15"/>
  <c r="AP9" i="15"/>
  <c r="AP7" i="15"/>
  <c r="AP14" i="15"/>
  <c r="AP10" i="15"/>
  <c r="AP8" i="15"/>
  <c r="AP12" i="15"/>
  <c r="AP6" i="15"/>
  <c r="Z15" i="15"/>
  <c r="Z13" i="15"/>
  <c r="Z11" i="15"/>
  <c r="Z9" i="15"/>
  <c r="Z7" i="15"/>
  <c r="Z12" i="15"/>
  <c r="Z8" i="15"/>
  <c r="Z14" i="15"/>
  <c r="Z10" i="15"/>
  <c r="Z6" i="15"/>
  <c r="AQ14" i="15"/>
  <c r="AQ6" i="15"/>
  <c r="AQ7" i="15"/>
  <c r="AQ8" i="15"/>
  <c r="AQ12" i="15"/>
  <c r="AQ15" i="15"/>
  <c r="AQ11" i="15"/>
  <c r="AQ10" i="15"/>
  <c r="AQ9" i="15"/>
  <c r="AQ13" i="15"/>
  <c r="AP24" i="15" s="1"/>
  <c r="AA10" i="15"/>
  <c r="AA11" i="15"/>
  <c r="AA15" i="15"/>
  <c r="AA8" i="15"/>
  <c r="AA7" i="15"/>
  <c r="AA14" i="15"/>
  <c r="AA6" i="15"/>
  <c r="AA13" i="15"/>
  <c r="AA12" i="15"/>
  <c r="AA9" i="15"/>
  <c r="AO13" i="15"/>
  <c r="AO9" i="15"/>
  <c r="AO15" i="15"/>
  <c r="AO11" i="15"/>
  <c r="AO7" i="15"/>
  <c r="AO8" i="15"/>
  <c r="AO14" i="15"/>
  <c r="AO6" i="15"/>
  <c r="AO12" i="15"/>
  <c r="AO10" i="15"/>
  <c r="AG13" i="15"/>
  <c r="AG9" i="15"/>
  <c r="AG15" i="15"/>
  <c r="AG11" i="15"/>
  <c r="AG7" i="15"/>
  <c r="AG10" i="15"/>
  <c r="AG6" i="15"/>
  <c r="AG12" i="15"/>
  <c r="AG8" i="15"/>
  <c r="AG14" i="15"/>
  <c r="Y13" i="15"/>
  <c r="X24" i="15" s="1"/>
  <c r="Y9" i="15"/>
  <c r="Y11" i="15"/>
  <c r="Y15" i="15"/>
  <c r="Y7" i="15"/>
  <c r="Y12" i="15"/>
  <c r="Y10" i="15"/>
  <c r="Y8" i="15"/>
  <c r="Y14" i="15"/>
  <c r="Y6" i="15"/>
  <c r="Q13" i="15"/>
  <c r="Q9" i="15"/>
  <c r="Q15" i="15"/>
  <c r="Q11" i="15"/>
  <c r="Q7" i="15"/>
  <c r="Q14" i="15"/>
  <c r="Q6" i="15"/>
  <c r="Q10" i="15"/>
  <c r="Q12" i="15"/>
  <c r="Q8" i="15"/>
  <c r="AL15" i="15"/>
  <c r="AL13" i="15"/>
  <c r="AL11" i="15"/>
  <c r="AL9" i="15"/>
  <c r="AL7" i="15"/>
  <c r="AL12" i="15"/>
  <c r="AL8" i="15"/>
  <c r="AL14" i="15"/>
  <c r="AL10" i="15"/>
  <c r="AL6" i="15"/>
  <c r="AD15" i="15"/>
  <c r="AD13" i="15"/>
  <c r="AD11" i="15"/>
  <c r="AD9" i="15"/>
  <c r="AD7" i="15"/>
  <c r="AD12" i="15"/>
  <c r="AD8" i="15"/>
  <c r="AD14" i="15"/>
  <c r="AD10" i="15"/>
  <c r="AD6" i="15"/>
  <c r="V15" i="15"/>
  <c r="V13" i="15"/>
  <c r="V11" i="15"/>
  <c r="V9" i="15"/>
  <c r="V7" i="15"/>
  <c r="V12" i="15"/>
  <c r="V8" i="15"/>
  <c r="V14" i="15"/>
  <c r="V10" i="15"/>
  <c r="V6" i="15"/>
  <c r="AK13" i="15"/>
  <c r="AK9" i="15"/>
  <c r="AK15" i="15"/>
  <c r="AK11" i="15"/>
  <c r="AK7" i="15"/>
  <c r="AK12" i="15"/>
  <c r="AK6" i="15"/>
  <c r="AK10" i="15"/>
  <c r="AK8" i="15"/>
  <c r="AK14" i="15"/>
  <c r="AH15" i="15"/>
  <c r="AH13" i="15"/>
  <c r="AH11" i="15"/>
  <c r="AH9" i="15"/>
  <c r="AH7" i="15"/>
  <c r="AH12" i="15"/>
  <c r="AH8" i="15"/>
  <c r="AH14" i="15"/>
  <c r="AH10" i="15"/>
  <c r="AH6" i="15"/>
  <c r="AM15" i="15"/>
  <c r="AM11" i="15"/>
  <c r="AM7" i="15"/>
  <c r="AM13" i="15"/>
  <c r="AM9" i="15"/>
  <c r="AM8" i="15"/>
  <c r="AM10" i="15"/>
  <c r="AM14" i="15"/>
  <c r="AM6" i="15"/>
  <c r="AM12" i="15"/>
  <c r="AE15" i="15"/>
  <c r="AE11" i="15"/>
  <c r="AE7" i="15"/>
  <c r="AE13" i="15"/>
  <c r="AE9" i="15"/>
  <c r="AE10" i="15"/>
  <c r="AE6" i="15"/>
  <c r="AE8" i="15"/>
  <c r="AE14" i="15"/>
  <c r="AE12" i="15"/>
  <c r="W15" i="15"/>
  <c r="W11" i="15"/>
  <c r="W7" i="15"/>
  <c r="W13" i="15"/>
  <c r="W9" i="15"/>
  <c r="W12" i="15"/>
  <c r="W8" i="15"/>
  <c r="W14" i="15"/>
  <c r="W10" i="15"/>
  <c r="W6" i="15"/>
  <c r="N7" i="15"/>
  <c r="N11" i="15"/>
  <c r="N15" i="15"/>
  <c r="N8" i="15"/>
  <c r="N12" i="15"/>
  <c r="N6" i="15"/>
  <c r="N13" i="15"/>
  <c r="N14" i="15"/>
  <c r="N9" i="15"/>
  <c r="N10" i="15"/>
  <c r="AJ15" i="15"/>
  <c r="AJ13" i="15"/>
  <c r="AJ11" i="15"/>
  <c r="AJ9" i="15"/>
  <c r="AJ7" i="15"/>
  <c r="AJ14" i="15"/>
  <c r="AJ10" i="15"/>
  <c r="AJ6" i="15"/>
  <c r="AJ12" i="15"/>
  <c r="AJ8" i="15"/>
  <c r="AB15" i="15"/>
  <c r="AB13" i="15"/>
  <c r="AB11" i="15"/>
  <c r="AB9" i="15"/>
  <c r="AB7" i="15"/>
  <c r="AB14" i="15"/>
  <c r="AB10" i="15"/>
  <c r="AB6" i="15"/>
  <c r="AB12" i="15"/>
  <c r="AB8" i="15"/>
  <c r="T15" i="15"/>
  <c r="T13" i="15"/>
  <c r="T11" i="15"/>
  <c r="T9" i="15"/>
  <c r="T7" i="15"/>
  <c r="T14" i="15"/>
  <c r="T10" i="15"/>
  <c r="T6" i="15"/>
  <c r="T12" i="15"/>
  <c r="T8" i="15"/>
  <c r="F16" i="14"/>
  <c r="F17" i="14"/>
  <c r="F18" i="14"/>
  <c r="F19" i="14"/>
  <c r="F20" i="14"/>
  <c r="F21" i="14"/>
  <c r="F22" i="14"/>
  <c r="F23" i="14"/>
  <c r="F24" i="14"/>
  <c r="F15" i="14"/>
  <c r="B16" i="14"/>
  <c r="C16" i="14"/>
  <c r="D16" i="14"/>
  <c r="E16" i="14"/>
  <c r="B17" i="14"/>
  <c r="C17" i="14"/>
  <c r="D17" i="14"/>
  <c r="E17" i="14"/>
  <c r="B18" i="14"/>
  <c r="C18" i="14"/>
  <c r="D18" i="14"/>
  <c r="E18" i="14"/>
  <c r="B19" i="14"/>
  <c r="C19" i="14"/>
  <c r="D19" i="14"/>
  <c r="E19" i="14"/>
  <c r="B20" i="14"/>
  <c r="C20" i="14"/>
  <c r="D20" i="14"/>
  <c r="E20" i="14"/>
  <c r="B21" i="14"/>
  <c r="C21" i="14"/>
  <c r="D21" i="14"/>
  <c r="E21" i="14"/>
  <c r="B22" i="14"/>
  <c r="C22" i="14"/>
  <c r="D22" i="14"/>
  <c r="E22" i="14"/>
  <c r="B23" i="14"/>
  <c r="C23" i="14"/>
  <c r="D23" i="14"/>
  <c r="E23" i="14"/>
  <c r="B24" i="14"/>
  <c r="C24" i="14"/>
  <c r="D24" i="14"/>
  <c r="E24" i="14"/>
  <c r="C15" i="14"/>
  <c r="D15" i="14"/>
  <c r="E15" i="14"/>
  <c r="B15" i="14"/>
  <c r="AB23" i="15" l="1"/>
  <c r="AB18" i="15"/>
  <c r="AC29" i="15" s="1"/>
  <c r="AB17" i="15"/>
  <c r="AC28" i="15" s="1"/>
  <c r="AJ19" i="15"/>
  <c r="AK30" i="15" s="1"/>
  <c r="AJ25" i="15"/>
  <c r="AJ24" i="15"/>
  <c r="AK35" i="15" s="1"/>
  <c r="AH20" i="15"/>
  <c r="AI31" i="15" s="1"/>
  <c r="AB21" i="15"/>
  <c r="AC32" i="15" s="1"/>
  <c r="AB22" i="15"/>
  <c r="AC33" i="15"/>
  <c r="AJ23" i="15"/>
  <c r="AJ18" i="15"/>
  <c r="AK29" i="15" s="1"/>
  <c r="AH22" i="15"/>
  <c r="AI33" i="15" s="1"/>
  <c r="AP21" i="15"/>
  <c r="AQ32" i="15" s="1"/>
  <c r="AB24" i="15"/>
  <c r="AC35" i="15" s="1"/>
  <c r="AJ20" i="15"/>
  <c r="AK31" i="15" s="1"/>
  <c r="AH17" i="15"/>
  <c r="AI28" i="15" s="1"/>
  <c r="AH23" i="15"/>
  <c r="AI34" i="15" s="1"/>
  <c r="AH24" i="15"/>
  <c r="AI35" i="15" s="1"/>
  <c r="AQ35" i="15"/>
  <c r="AB19" i="15"/>
  <c r="AC30" i="15" s="1"/>
  <c r="AB26" i="15"/>
  <c r="AJ21" i="15"/>
  <c r="AK32" i="15" s="1"/>
  <c r="AJ22" i="15"/>
  <c r="AH21" i="15"/>
  <c r="AI32" i="15" s="1"/>
  <c r="AH18" i="15"/>
  <c r="AH26" i="15"/>
  <c r="AI37" i="15" s="1"/>
  <c r="AD19" i="15"/>
  <c r="AD22" i="15"/>
  <c r="AE33" i="15" s="1"/>
  <c r="AL26" i="15"/>
  <c r="AM37" i="15" s="1"/>
  <c r="Z19" i="15"/>
  <c r="AA30" i="15" s="1"/>
  <c r="Z22" i="15"/>
  <c r="AA33" i="15" s="1"/>
  <c r="AP18" i="15"/>
  <c r="AQ29" i="15" s="1"/>
  <c r="X19" i="15"/>
  <c r="X26" i="15"/>
  <c r="Y37" i="15" s="1"/>
  <c r="AF21" i="15"/>
  <c r="AG32" i="15" s="1"/>
  <c r="AF22" i="15"/>
  <c r="AG33" i="15" s="1"/>
  <c r="AN26" i="15"/>
  <c r="AO37" i="15" s="1"/>
  <c r="Y35" i="15"/>
  <c r="BG23" i="15"/>
  <c r="AW36" i="15"/>
  <c r="AL21" i="15"/>
  <c r="AM32" i="15" s="1"/>
  <c r="AL18" i="15"/>
  <c r="X25" i="15"/>
  <c r="AN18" i="15"/>
  <c r="AB20" i="15"/>
  <c r="AH25" i="15"/>
  <c r="AD17" i="15"/>
  <c r="AD23" i="15"/>
  <c r="AD24" i="15"/>
  <c r="AL25" i="15"/>
  <c r="AL20" i="15"/>
  <c r="Z17" i="15"/>
  <c r="Z23" i="15"/>
  <c r="Z24" i="15"/>
  <c r="AA35" i="15" s="1"/>
  <c r="AP19" i="15"/>
  <c r="AP20" i="15"/>
  <c r="X23" i="15"/>
  <c r="X18" i="15"/>
  <c r="AF19" i="15"/>
  <c r="AF25" i="15"/>
  <c r="AF24" i="15"/>
  <c r="AN17" i="15"/>
  <c r="AO28" i="15" s="1"/>
  <c r="AN20" i="15"/>
  <c r="AJ26" i="15"/>
  <c r="AH19" i="15"/>
  <c r="AD21" i="15"/>
  <c r="AD18" i="15"/>
  <c r="AE29" i="15" s="1"/>
  <c r="AD26" i="15"/>
  <c r="AL19" i="15"/>
  <c r="AL22" i="15"/>
  <c r="Z21" i="15"/>
  <c r="AA32" i="15" s="1"/>
  <c r="Z18" i="15"/>
  <c r="AA29" i="15" s="1"/>
  <c r="Z26" i="15"/>
  <c r="AP22" i="15"/>
  <c r="AP33" i="15" s="1"/>
  <c r="X17" i="15"/>
  <c r="X20" i="15"/>
  <c r="AF23" i="15"/>
  <c r="AF18" i="15"/>
  <c r="AF26" i="15"/>
  <c r="AN21" i="15"/>
  <c r="AN22" i="15"/>
  <c r="AO33" i="15" s="1"/>
  <c r="AP23" i="15"/>
  <c r="AP34" i="15" s="1"/>
  <c r="AN23" i="15"/>
  <c r="AB25" i="15"/>
  <c r="AJ17" i="15"/>
  <c r="AD25" i="15"/>
  <c r="AD20" i="15"/>
  <c r="AE31" i="15" s="1"/>
  <c r="AL17" i="15"/>
  <c r="AL23" i="15"/>
  <c r="AL24" i="15"/>
  <c r="Z25" i="15"/>
  <c r="Z36" i="15" s="1"/>
  <c r="Z20" i="15"/>
  <c r="AP17" i="15"/>
  <c r="AQ28" i="15" s="1"/>
  <c r="AP25" i="15"/>
  <c r="AP36" i="15" s="1"/>
  <c r="AP26" i="15"/>
  <c r="AP37" i="15" s="1"/>
  <c r="X21" i="15"/>
  <c r="X22" i="15"/>
  <c r="AF17" i="15"/>
  <c r="AF20" i="15"/>
  <c r="AN19" i="15"/>
  <c r="AN25" i="15"/>
  <c r="AN24" i="15"/>
  <c r="AF28" i="15" l="1"/>
  <c r="AD36" i="15"/>
  <c r="AF29" i="15"/>
  <c r="Z37" i="15"/>
  <c r="AN35" i="15"/>
  <c r="Z34" i="15"/>
  <c r="AD37" i="15"/>
  <c r="AL33" i="15"/>
  <c r="AD32" i="15"/>
  <c r="AF31" i="15"/>
  <c r="AN34" i="15"/>
  <c r="AF37" i="15"/>
  <c r="X36" i="15"/>
  <c r="X37" i="15"/>
  <c r="AL37" i="15"/>
  <c r="AH34" i="15"/>
  <c r="AL36" i="15"/>
  <c r="AH36" i="15"/>
  <c r="X30" i="15"/>
  <c r="AB37" i="15"/>
  <c r="AN36" i="15"/>
  <c r="AL34" i="15"/>
  <c r="AF34" i="15"/>
  <c r="X34" i="15"/>
  <c r="AH37" i="15"/>
  <c r="AJ34" i="15"/>
  <c r="AJ36" i="15"/>
  <c r="AB36" i="15"/>
  <c r="AJ37" i="15"/>
  <c r="AF36" i="15"/>
  <c r="AD34" i="15"/>
  <c r="AN37" i="15"/>
  <c r="AB34" i="15"/>
  <c r="AL35" i="15"/>
  <c r="X29" i="15"/>
  <c r="AH29" i="15"/>
  <c r="X33" i="15"/>
  <c r="AF35" i="15"/>
  <c r="AB31" i="15"/>
  <c r="AF33" i="15"/>
  <c r="Z33" i="15"/>
  <c r="AO36" i="15"/>
  <c r="Y33" i="15"/>
  <c r="AM35" i="15"/>
  <c r="AE36" i="15"/>
  <c r="AJ31" i="15"/>
  <c r="AC36" i="15"/>
  <c r="AG29" i="15"/>
  <c r="AQ33" i="15"/>
  <c r="AE37" i="15"/>
  <c r="AH33" i="15"/>
  <c r="AJ29" i="15"/>
  <c r="AB33" i="15"/>
  <c r="Y29" i="15"/>
  <c r="AM36" i="15"/>
  <c r="AJ35" i="15"/>
  <c r="AJ30" i="15"/>
  <c r="Z35" i="15"/>
  <c r="AL29" i="15"/>
  <c r="AD30" i="15"/>
  <c r="AJ28" i="15"/>
  <c r="AH30" i="15"/>
  <c r="AD35" i="15"/>
  <c r="AL32" i="15"/>
  <c r="AN30" i="15"/>
  <c r="X32" i="15"/>
  <c r="Z31" i="15"/>
  <c r="AL28" i="15"/>
  <c r="AN32" i="15"/>
  <c r="X31" i="15"/>
  <c r="Z29" i="15"/>
  <c r="AP31" i="15"/>
  <c r="Z28" i="15"/>
  <c r="AN29" i="15"/>
  <c r="AO29" i="15"/>
  <c r="Y36" i="15"/>
  <c r="AP29" i="15"/>
  <c r="AD33" i="15"/>
  <c r="AH32" i="15"/>
  <c r="AJ32" i="15"/>
  <c r="AB30" i="15"/>
  <c r="AO30" i="15"/>
  <c r="Y32" i="15"/>
  <c r="AA31" i="15"/>
  <c r="AM34" i="15"/>
  <c r="AK28" i="15"/>
  <c r="AG34" i="15"/>
  <c r="AI30" i="15"/>
  <c r="AK34" i="15"/>
  <c r="AG35" i="15"/>
  <c r="Y34" i="15"/>
  <c r="AA34" i="15"/>
  <c r="AE35" i="15"/>
  <c r="AH31" i="15"/>
  <c r="AK36" i="15"/>
  <c r="AC31" i="15"/>
  <c r="AB29" i="15"/>
  <c r="X35" i="15"/>
  <c r="AJ33" i="15"/>
  <c r="AP28" i="15"/>
  <c r="AN33" i="15"/>
  <c r="AL30" i="15"/>
  <c r="AD31" i="15"/>
  <c r="X28" i="15"/>
  <c r="Z32" i="15"/>
  <c r="AD29" i="15"/>
  <c r="AN31" i="15"/>
  <c r="AF30" i="15"/>
  <c r="AP30" i="15"/>
  <c r="AL31" i="15"/>
  <c r="AD28" i="15"/>
  <c r="AO34" i="15"/>
  <c r="AF32" i="15"/>
  <c r="Y30" i="15"/>
  <c r="AQ34" i="15"/>
  <c r="Z30" i="15"/>
  <c r="AM29" i="15"/>
  <c r="AE30" i="15"/>
  <c r="AI29" i="15"/>
  <c r="AK33" i="15"/>
  <c r="AC37" i="15"/>
  <c r="AG31" i="15"/>
  <c r="AQ37" i="15"/>
  <c r="AA36" i="15"/>
  <c r="AM28" i="15"/>
  <c r="AH35" i="15"/>
  <c r="AH28" i="15"/>
  <c r="AO32" i="15"/>
  <c r="Y31" i="15"/>
  <c r="AP32" i="15"/>
  <c r="AM33" i="15"/>
  <c r="AE32" i="15"/>
  <c r="AK37" i="15"/>
  <c r="AB32" i="15"/>
  <c r="AG36" i="15"/>
  <c r="AQ31" i="15"/>
  <c r="AA28" i="15"/>
  <c r="AE34" i="15"/>
  <c r="AI36" i="15"/>
  <c r="AC34" i="15"/>
  <c r="AN28" i="15"/>
  <c r="AO35" i="15"/>
  <c r="AG28" i="15"/>
  <c r="AQ36" i="15"/>
  <c r="AP35" i="15"/>
  <c r="AB35" i="15"/>
  <c r="AG37" i="15"/>
  <c r="BG36" i="15" s="1"/>
  <c r="Y28" i="15"/>
  <c r="AA37" i="15"/>
  <c r="AM30" i="15"/>
  <c r="AO31" i="15"/>
  <c r="AG30" i="15"/>
  <c r="AQ30" i="15"/>
  <c r="AM31" i="15"/>
  <c r="AE28" i="15"/>
  <c r="AB28" i="15"/>
  <c r="AW37" i="15"/>
  <c r="H39" i="13"/>
  <c r="L38" i="13" s="1"/>
  <c r="H38" i="13"/>
  <c r="L37" i="13" s="1"/>
  <c r="H37" i="13"/>
  <c r="L36" i="13" s="1"/>
  <c r="H35" i="13"/>
  <c r="H34" i="13"/>
  <c r="H33" i="13"/>
  <c r="H32" i="13"/>
  <c r="H31" i="13"/>
  <c r="H30" i="13"/>
  <c r="H29" i="13"/>
  <c r="H28" i="13"/>
  <c r="H27" i="13"/>
  <c r="H26" i="13"/>
  <c r="H25" i="13"/>
  <c r="H24" i="13"/>
  <c r="H23" i="13"/>
  <c r="H19" i="13"/>
  <c r="L18" i="13" s="1"/>
  <c r="H18" i="13"/>
  <c r="L17" i="13" s="1"/>
  <c r="H17" i="13"/>
  <c r="L16" i="13" s="1"/>
  <c r="H15" i="13"/>
  <c r="H14" i="13"/>
  <c r="H13" i="13"/>
  <c r="H12" i="13"/>
  <c r="H11" i="13"/>
  <c r="H10" i="13"/>
  <c r="H9" i="13"/>
  <c r="H8" i="13"/>
  <c r="H7" i="13"/>
  <c r="H6" i="13"/>
  <c r="H5" i="13"/>
  <c r="H4" i="13"/>
  <c r="H3" i="13"/>
  <c r="U99" i="13"/>
  <c r="Y98" i="13" s="1"/>
  <c r="U98" i="13"/>
  <c r="Y97" i="13" s="1"/>
  <c r="U97" i="13"/>
  <c r="Y96" i="13" s="1"/>
  <c r="U95" i="13"/>
  <c r="U94" i="13"/>
  <c r="U93" i="13"/>
  <c r="U92" i="13"/>
  <c r="U91" i="13"/>
  <c r="U90" i="13"/>
  <c r="U89" i="13"/>
  <c r="U88" i="13"/>
  <c r="U87" i="13"/>
  <c r="U86" i="13"/>
  <c r="U85" i="13"/>
  <c r="U84" i="13"/>
  <c r="U83" i="13"/>
  <c r="U79" i="13"/>
  <c r="Y78" i="13" s="1"/>
  <c r="U78" i="13"/>
  <c r="Y77" i="13" s="1"/>
  <c r="U77" i="13"/>
  <c r="Y76" i="13" s="1"/>
  <c r="U75" i="13"/>
  <c r="U74" i="13"/>
  <c r="U73" i="13"/>
  <c r="U72" i="13"/>
  <c r="U71" i="13"/>
  <c r="U70" i="13"/>
  <c r="U69" i="13"/>
  <c r="U68" i="13"/>
  <c r="U67" i="13"/>
  <c r="U66" i="13"/>
  <c r="U65" i="13"/>
  <c r="U64" i="13"/>
  <c r="U63" i="13"/>
  <c r="U59" i="13"/>
  <c r="Y58" i="13" s="1"/>
  <c r="U58" i="13"/>
  <c r="Y57" i="13" s="1"/>
  <c r="U57" i="13"/>
  <c r="Y56" i="13" s="1"/>
  <c r="U55" i="13"/>
  <c r="U54" i="13"/>
  <c r="U53" i="13"/>
  <c r="U52" i="13"/>
  <c r="U51" i="13"/>
  <c r="U50" i="13"/>
  <c r="U49" i="13"/>
  <c r="U48" i="13"/>
  <c r="U47" i="13"/>
  <c r="U46" i="13"/>
  <c r="U45" i="13"/>
  <c r="U44" i="13"/>
  <c r="U43" i="13"/>
  <c r="U39" i="13"/>
  <c r="Y38" i="13" s="1"/>
  <c r="U38" i="13"/>
  <c r="Y37" i="13" s="1"/>
  <c r="U37" i="13"/>
  <c r="Y36" i="13" s="1"/>
  <c r="U35" i="13"/>
  <c r="U34" i="13"/>
  <c r="U33" i="13"/>
  <c r="U32" i="13"/>
  <c r="U31" i="13"/>
  <c r="U30" i="13"/>
  <c r="U29" i="13"/>
  <c r="U28" i="13"/>
  <c r="U27" i="13"/>
  <c r="U26" i="13"/>
  <c r="U25" i="13"/>
  <c r="U24" i="13"/>
  <c r="U23" i="13"/>
  <c r="U18" i="13"/>
  <c r="Y17" i="13" s="1"/>
  <c r="U17" i="13"/>
  <c r="Y16" i="13" s="1"/>
  <c r="U19" i="13"/>
  <c r="Y18" i="13" s="1"/>
  <c r="AD16" i="1"/>
  <c r="AD17" i="1"/>
  <c r="AD18" i="1"/>
  <c r="AD19" i="1"/>
  <c r="AD20" i="1"/>
  <c r="AD21" i="1"/>
  <c r="AD22" i="1"/>
  <c r="AD23" i="1"/>
  <c r="AD24" i="1"/>
  <c r="AD15" i="1"/>
  <c r="U15" i="13"/>
  <c r="U14" i="13"/>
  <c r="U13" i="13"/>
  <c r="U12" i="13"/>
  <c r="U11" i="13"/>
  <c r="U10" i="13"/>
  <c r="U9" i="13"/>
  <c r="U8" i="13"/>
  <c r="U7" i="13"/>
  <c r="U6" i="13"/>
  <c r="U5" i="13"/>
  <c r="U4" i="13"/>
  <c r="U3" i="13"/>
  <c r="BB36" i="15" l="1"/>
  <c r="AZ36" i="15"/>
  <c r="BE36" i="15"/>
  <c r="BD36" i="15"/>
  <c r="BC36" i="15"/>
  <c r="AY36" i="15"/>
  <c r="BG29" i="15"/>
  <c r="BF36" i="15"/>
  <c r="BF34" i="15"/>
  <c r="AX36" i="15"/>
  <c r="BG31" i="15"/>
  <c r="BF28" i="15"/>
  <c r="BD31" i="15"/>
  <c r="BG28" i="15"/>
  <c r="BA36" i="15"/>
  <c r="AZ30" i="15"/>
  <c r="BG34" i="15"/>
  <c r="BG32" i="15"/>
  <c r="BG35" i="15"/>
  <c r="BE34" i="15"/>
  <c r="BE35" i="15"/>
  <c r="BE28" i="15"/>
  <c r="BE29" i="15"/>
  <c r="BE30" i="15"/>
  <c r="BE31" i="15"/>
  <c r="BE32" i="15"/>
  <c r="BE33" i="15"/>
  <c r="BF29" i="15"/>
  <c r="BA29" i="15"/>
  <c r="BA28" i="15"/>
  <c r="BA30" i="15"/>
  <c r="BA31" i="15"/>
  <c r="BA32" i="15"/>
  <c r="BA33" i="15"/>
  <c r="BA34" i="15"/>
  <c r="BA35" i="15"/>
  <c r="BB31" i="15"/>
  <c r="BB30" i="15"/>
  <c r="BB28" i="15"/>
  <c r="BB29" i="15"/>
  <c r="BB32" i="15"/>
  <c r="BB33" i="15"/>
  <c r="BB34" i="15"/>
  <c r="BB35" i="15"/>
  <c r="BD33" i="15"/>
  <c r="BD30" i="15"/>
  <c r="AZ32" i="15"/>
  <c r="AZ29" i="15"/>
  <c r="BG30" i="15"/>
  <c r="BG33" i="15"/>
  <c r="BD32" i="15"/>
  <c r="BD29" i="15"/>
  <c r="AZ31" i="15"/>
  <c r="AY28" i="15"/>
  <c r="AY29" i="15"/>
  <c r="AY30" i="15"/>
  <c r="AY31" i="15"/>
  <c r="AY32" i="15"/>
  <c r="AY33" i="15"/>
  <c r="AY34" i="15"/>
  <c r="AY35" i="15"/>
  <c r="AX28" i="15"/>
  <c r="AX29" i="15"/>
  <c r="AX30" i="15"/>
  <c r="AX31" i="15"/>
  <c r="AX32" i="15"/>
  <c r="AX33" i="15"/>
  <c r="AX34" i="15"/>
  <c r="AX35" i="15"/>
  <c r="BF32" i="15"/>
  <c r="BF30" i="15"/>
  <c r="BF31" i="15"/>
  <c r="BF33" i="15"/>
  <c r="AZ35" i="15"/>
  <c r="BD28" i="15"/>
  <c r="BD34" i="15"/>
  <c r="AZ34" i="15"/>
  <c r="AZ28" i="15"/>
  <c r="BG37" i="15"/>
  <c r="BD35" i="15"/>
  <c r="AZ33" i="15"/>
  <c r="BC28" i="15"/>
  <c r="BC32" i="15"/>
  <c r="BC31" i="15"/>
  <c r="BC30" i="15"/>
  <c r="BC29" i="15"/>
  <c r="BC33" i="15"/>
  <c r="BC34" i="15"/>
  <c r="BC35" i="15"/>
  <c r="BF35" i="15"/>
  <c r="AX37" i="15"/>
  <c r="AZ37" i="15"/>
  <c r="AY37" i="15"/>
  <c r="BA37" i="15"/>
  <c r="BB37" i="15"/>
  <c r="BC37" i="15"/>
  <c r="BD37" i="15"/>
  <c r="BE37" i="15"/>
  <c r="BF37" i="15"/>
  <c r="K102" i="13"/>
  <c r="N84" i="13"/>
  <c r="A84" i="13"/>
  <c r="H68" i="13"/>
  <c r="A66" i="13"/>
  <c r="N65" i="13"/>
  <c r="N64" i="13"/>
  <c r="A64" i="13"/>
  <c r="A65" i="13" s="1"/>
  <c r="P59" i="13"/>
  <c r="H51" i="13"/>
  <c r="H48" i="13"/>
  <c r="A46" i="13"/>
  <c r="N45" i="13"/>
  <c r="N44" i="13"/>
  <c r="A44" i="13"/>
  <c r="A45" i="13" s="1"/>
  <c r="H43" i="13"/>
  <c r="BK42" i="13"/>
  <c r="P39" i="13"/>
  <c r="C39" i="13"/>
  <c r="C59" i="13"/>
  <c r="P38" i="13"/>
  <c r="P37" i="13"/>
  <c r="P36" i="13"/>
  <c r="P35" i="13"/>
  <c r="C35" i="13"/>
  <c r="H55" i="13"/>
  <c r="P34" i="13"/>
  <c r="C34" i="13"/>
  <c r="P33" i="13"/>
  <c r="H53" i="13"/>
  <c r="P32" i="13"/>
  <c r="P31" i="13"/>
  <c r="C31" i="13"/>
  <c r="P30" i="13"/>
  <c r="P29" i="13"/>
  <c r="P28" i="13"/>
  <c r="C28" i="13"/>
  <c r="P27" i="13"/>
  <c r="P26" i="13"/>
  <c r="P25" i="13"/>
  <c r="C25" i="13"/>
  <c r="P24" i="13"/>
  <c r="N24" i="13"/>
  <c r="L24" i="13"/>
  <c r="C24" i="13"/>
  <c r="H44" i="13"/>
  <c r="A24" i="13"/>
  <c r="A25" i="13" s="1"/>
  <c r="Y23" i="13"/>
  <c r="P23" i="13"/>
  <c r="L23" i="13"/>
  <c r="C23" i="13"/>
  <c r="J21" i="13" s="1"/>
  <c r="C19" i="13"/>
  <c r="C18" i="13"/>
  <c r="P17" i="13"/>
  <c r="C17" i="13"/>
  <c r="C16" i="13"/>
  <c r="C15" i="13"/>
  <c r="C14" i="13"/>
  <c r="P13" i="13"/>
  <c r="C13" i="13"/>
  <c r="P12" i="13"/>
  <c r="C12" i="13"/>
  <c r="C11" i="13"/>
  <c r="C10" i="13"/>
  <c r="P9" i="13"/>
  <c r="C9" i="13"/>
  <c r="P8" i="13"/>
  <c r="C8" i="13"/>
  <c r="C7" i="13"/>
  <c r="C6" i="13"/>
  <c r="P5" i="13"/>
  <c r="C5" i="13"/>
  <c r="A5" i="13"/>
  <c r="P4" i="13"/>
  <c r="N4" i="13"/>
  <c r="L4" i="13"/>
  <c r="C4" i="13"/>
  <c r="A4" i="13"/>
  <c r="L3" i="13"/>
  <c r="C3" i="13"/>
  <c r="F104" i="6"/>
  <c r="E104" i="6"/>
  <c r="F99" i="6"/>
  <c r="E99" i="6"/>
  <c r="F94" i="6"/>
  <c r="E94" i="6"/>
  <c r="F89" i="6"/>
  <c r="E89" i="6"/>
  <c r="F84" i="6"/>
  <c r="E84" i="6"/>
  <c r="F80" i="6"/>
  <c r="E80" i="6"/>
  <c r="C79" i="6"/>
  <c r="C78" i="6"/>
  <c r="C77" i="6"/>
  <c r="C76" i="6"/>
  <c r="C75" i="6"/>
  <c r="C74" i="6"/>
  <c r="R69" i="6"/>
  <c r="R67" i="6"/>
  <c r="R65" i="6"/>
  <c r="R63" i="6"/>
  <c r="R62" i="6"/>
  <c r="D47" i="6"/>
  <c r="E47" i="6" s="1"/>
  <c r="F47" i="6" s="1"/>
  <c r="G47" i="6" s="1"/>
  <c r="H47" i="6" s="1"/>
  <c r="I47" i="6" s="1"/>
  <c r="J47" i="6" s="1"/>
  <c r="K47" i="6" s="1"/>
  <c r="C47" i="6"/>
  <c r="C34" i="6"/>
  <c r="D34" i="6" s="1"/>
  <c r="E34" i="6" s="1"/>
  <c r="F34" i="6" s="1"/>
  <c r="G34" i="6" s="1"/>
  <c r="H34" i="6" s="1"/>
  <c r="I34" i="6" s="1"/>
  <c r="J34" i="6" s="1"/>
  <c r="K34" i="6" s="1"/>
  <c r="D21" i="6"/>
  <c r="E21" i="6" s="1"/>
  <c r="F21" i="6" s="1"/>
  <c r="G21" i="6" s="1"/>
  <c r="H21" i="6" s="1"/>
  <c r="I21" i="6" s="1"/>
  <c r="J21" i="6" s="1"/>
  <c r="K21" i="6" s="1"/>
  <c r="C21" i="6"/>
  <c r="S12" i="6"/>
  <c r="B12" i="6"/>
  <c r="C12" i="6" s="1"/>
  <c r="S11" i="6"/>
  <c r="B11" i="6"/>
  <c r="C11" i="6" s="1"/>
  <c r="S10" i="6"/>
  <c r="B10" i="6"/>
  <c r="R10" i="6" s="1"/>
  <c r="S9" i="6"/>
  <c r="B9" i="6"/>
  <c r="R9" i="6" s="1"/>
  <c r="S8" i="6"/>
  <c r="B8" i="6"/>
  <c r="C8" i="6" s="1"/>
  <c r="S7" i="6"/>
  <c r="B7" i="6"/>
  <c r="R7" i="6" s="1"/>
  <c r="S6" i="6"/>
  <c r="B6" i="6"/>
  <c r="R6" i="6" s="1"/>
  <c r="S5" i="6"/>
  <c r="B5" i="6"/>
  <c r="R5" i="6" s="1"/>
  <c r="S4" i="6"/>
  <c r="B4" i="6"/>
  <c r="C4" i="6" s="1"/>
  <c r="S3" i="6"/>
  <c r="B3" i="6"/>
  <c r="R3" i="6" s="1"/>
  <c r="F2" i="6"/>
  <c r="E2" i="6"/>
  <c r="D2" i="6"/>
  <c r="BK42" i="3"/>
  <c r="BC39" i="3"/>
  <c r="AP39" i="3"/>
  <c r="AC39" i="3"/>
  <c r="U39" i="3"/>
  <c r="Y38" i="3" s="1"/>
  <c r="P39" i="3"/>
  <c r="O39" i="3"/>
  <c r="AB39" i="3" s="1"/>
  <c r="AO39" i="3" s="1"/>
  <c r="BB39" i="3" s="1"/>
  <c r="BH39" i="3" s="1"/>
  <c r="BL38" i="3" s="1"/>
  <c r="H39" i="3"/>
  <c r="L38" i="3" s="1"/>
  <c r="C39" i="3"/>
  <c r="P38" i="3"/>
  <c r="O38" i="3"/>
  <c r="H38" i="3"/>
  <c r="L37" i="3" s="1"/>
  <c r="C38" i="3"/>
  <c r="AB37" i="3"/>
  <c r="U37" i="3"/>
  <c r="Y36" i="3" s="1"/>
  <c r="P37" i="3"/>
  <c r="O37" i="3"/>
  <c r="H37" i="3"/>
  <c r="L36" i="3" s="1"/>
  <c r="C37" i="3"/>
  <c r="AO36" i="3"/>
  <c r="AC36" i="3"/>
  <c r="AB36" i="3"/>
  <c r="P36" i="3"/>
  <c r="O36" i="3"/>
  <c r="C36" i="3"/>
  <c r="AB35" i="3"/>
  <c r="P35" i="3"/>
  <c r="O35" i="3"/>
  <c r="C35" i="3"/>
  <c r="O34" i="3"/>
  <c r="C34" i="3"/>
  <c r="AO33" i="3"/>
  <c r="AB33" i="3"/>
  <c r="P33" i="3"/>
  <c r="O33" i="3"/>
  <c r="C33" i="3"/>
  <c r="O32" i="3"/>
  <c r="C32" i="3"/>
  <c r="AP31" i="3"/>
  <c r="AO31" i="3"/>
  <c r="AB31" i="3"/>
  <c r="P31" i="3"/>
  <c r="O31" i="3"/>
  <c r="C31" i="3"/>
  <c r="P30" i="3"/>
  <c r="O30" i="3"/>
  <c r="C30" i="3"/>
  <c r="AB29" i="3"/>
  <c r="P29" i="3"/>
  <c r="O29" i="3"/>
  <c r="C29" i="3"/>
  <c r="P28" i="3"/>
  <c r="O28" i="3"/>
  <c r="C28" i="3"/>
  <c r="AO27" i="3"/>
  <c r="AB27" i="3"/>
  <c r="P27" i="3"/>
  <c r="O27" i="3"/>
  <c r="N27" i="3"/>
  <c r="C27" i="3"/>
  <c r="AN26" i="3"/>
  <c r="O26" i="3"/>
  <c r="C26" i="3"/>
  <c r="AP25" i="3"/>
  <c r="AO25" i="3"/>
  <c r="AB25" i="3"/>
  <c r="AA25" i="3"/>
  <c r="AA26" i="3" s="1"/>
  <c r="U25" i="3"/>
  <c r="Y25" i="3" s="1"/>
  <c r="P25" i="3"/>
  <c r="O25" i="3"/>
  <c r="N25" i="3"/>
  <c r="N26" i="3" s="1"/>
  <c r="C25" i="3"/>
  <c r="BA24" i="3"/>
  <c r="AN24" i="3"/>
  <c r="AN25" i="3" s="1"/>
  <c r="AA24" i="3"/>
  <c r="P24" i="3"/>
  <c r="O24" i="3"/>
  <c r="N24" i="3"/>
  <c r="C24" i="3"/>
  <c r="A24" i="3"/>
  <c r="O23" i="3"/>
  <c r="H23" i="3"/>
  <c r="L23" i="3" s="1"/>
  <c r="C23" i="3"/>
  <c r="J21" i="3" s="1"/>
  <c r="P19" i="3"/>
  <c r="O19" i="3"/>
  <c r="H19" i="3"/>
  <c r="L18" i="3" s="1"/>
  <c r="C19" i="3"/>
  <c r="AH18" i="3"/>
  <c r="AL17" i="3" s="1"/>
  <c r="U18" i="3"/>
  <c r="Y17" i="3" s="1"/>
  <c r="P18" i="3"/>
  <c r="O18" i="3"/>
  <c r="AB18" i="3" s="1"/>
  <c r="AO18" i="3" s="1"/>
  <c r="H18" i="3"/>
  <c r="L17" i="3" s="1"/>
  <c r="C18" i="3"/>
  <c r="AC17" i="3"/>
  <c r="AB17" i="3"/>
  <c r="U17" i="3"/>
  <c r="Y16" i="3" s="1"/>
  <c r="P17" i="3"/>
  <c r="O17" i="3"/>
  <c r="H17" i="3"/>
  <c r="L16" i="3" s="1"/>
  <c r="C17" i="3"/>
  <c r="O16" i="3"/>
  <c r="C16" i="3"/>
  <c r="AC15" i="3"/>
  <c r="AB15" i="3"/>
  <c r="O15" i="3"/>
  <c r="C15" i="3"/>
  <c r="P14" i="3"/>
  <c r="O14" i="3"/>
  <c r="AB14" i="3" s="1"/>
  <c r="AC14" i="3" s="1"/>
  <c r="C14" i="3"/>
  <c r="AC13" i="3"/>
  <c r="AB13" i="3"/>
  <c r="O13" i="3"/>
  <c r="C13" i="3"/>
  <c r="P12" i="3"/>
  <c r="O12" i="3"/>
  <c r="AB12" i="3" s="1"/>
  <c r="AC12" i="3" s="1"/>
  <c r="C12" i="3"/>
  <c r="AC11" i="3"/>
  <c r="AB11" i="3"/>
  <c r="O11" i="3"/>
  <c r="C11" i="3"/>
  <c r="P10" i="3"/>
  <c r="O10" i="3"/>
  <c r="AB10" i="3" s="1"/>
  <c r="AC10" i="3" s="1"/>
  <c r="C10" i="3"/>
  <c r="AB9" i="3"/>
  <c r="AO9" i="3" s="1"/>
  <c r="O9" i="3"/>
  <c r="P9" i="3" s="1"/>
  <c r="C9" i="3"/>
  <c r="P8" i="3"/>
  <c r="O8" i="3"/>
  <c r="AB8" i="3" s="1"/>
  <c r="C8" i="3"/>
  <c r="AB7" i="3"/>
  <c r="O7" i="3"/>
  <c r="P7" i="3" s="1"/>
  <c r="C7" i="3"/>
  <c r="P6" i="3"/>
  <c r="O6" i="3"/>
  <c r="AB6" i="3" s="1"/>
  <c r="C6" i="3"/>
  <c r="AB5" i="3"/>
  <c r="AA5" i="3"/>
  <c r="O5" i="3"/>
  <c r="P5" i="3" s="1"/>
  <c r="N5" i="3"/>
  <c r="C5" i="3"/>
  <c r="BA4" i="3"/>
  <c r="AN4" i="3"/>
  <c r="AN5" i="3" s="1"/>
  <c r="AH4" i="3"/>
  <c r="AL4" i="3" s="1"/>
  <c r="AA4" i="3"/>
  <c r="P4" i="3"/>
  <c r="O4" i="3"/>
  <c r="AB4" i="3" s="1"/>
  <c r="N4" i="3"/>
  <c r="C4" i="3"/>
  <c r="A4" i="3"/>
  <c r="O3" i="3"/>
  <c r="H3" i="3"/>
  <c r="L3" i="3" s="1"/>
  <c r="C3" i="3"/>
  <c r="J1" i="3" s="1"/>
  <c r="L1701" i="1"/>
  <c r="K1701" i="1"/>
  <c r="L1700" i="1"/>
  <c r="K1700" i="1"/>
  <c r="L1699" i="1"/>
  <c r="K1699" i="1"/>
  <c r="L1698" i="1"/>
  <c r="K1698" i="1"/>
  <c r="L1697" i="1"/>
  <c r="K1697" i="1"/>
  <c r="L1696" i="1"/>
  <c r="K1696" i="1"/>
  <c r="L1695" i="1"/>
  <c r="K1695" i="1"/>
  <c r="L1694" i="1"/>
  <c r="K1694" i="1"/>
  <c r="L1693" i="1"/>
  <c r="K1693" i="1"/>
  <c r="L1692" i="1"/>
  <c r="K1692" i="1"/>
  <c r="L1691" i="1"/>
  <c r="K1691" i="1"/>
  <c r="L1690" i="1"/>
  <c r="K1690" i="1"/>
  <c r="L1689" i="1"/>
  <c r="K1689" i="1"/>
  <c r="L1688" i="1"/>
  <c r="K1688" i="1"/>
  <c r="L1687" i="1"/>
  <c r="K1687" i="1"/>
  <c r="L1686" i="1"/>
  <c r="K1686" i="1"/>
  <c r="L1685" i="1"/>
  <c r="K1685" i="1"/>
  <c r="L1684" i="1"/>
  <c r="K1684" i="1"/>
  <c r="L1683" i="1"/>
  <c r="K1683" i="1"/>
  <c r="L1682" i="1"/>
  <c r="K1682" i="1"/>
  <c r="L1681" i="1"/>
  <c r="K1681" i="1"/>
  <c r="L1680" i="1"/>
  <c r="K1680" i="1"/>
  <c r="L1679" i="1"/>
  <c r="K1679" i="1"/>
  <c r="L1678" i="1"/>
  <c r="K1678" i="1"/>
  <c r="L1677" i="1"/>
  <c r="K1677" i="1"/>
  <c r="L1676" i="1"/>
  <c r="K1676" i="1"/>
  <c r="L1675" i="1"/>
  <c r="K1675" i="1"/>
  <c r="L1674" i="1"/>
  <c r="K1674" i="1"/>
  <c r="L1673" i="1"/>
  <c r="K1673" i="1"/>
  <c r="L1672" i="1"/>
  <c r="K1672" i="1"/>
  <c r="L1671" i="1"/>
  <c r="K1671" i="1"/>
  <c r="L1670" i="1"/>
  <c r="K1670" i="1"/>
  <c r="L1669" i="1"/>
  <c r="K1669" i="1"/>
  <c r="L1668" i="1"/>
  <c r="K1668" i="1"/>
  <c r="L1667" i="1"/>
  <c r="K1667" i="1"/>
  <c r="L1666" i="1"/>
  <c r="K1666" i="1"/>
  <c r="L1665" i="1"/>
  <c r="K1665" i="1"/>
  <c r="L1664" i="1"/>
  <c r="K1664" i="1"/>
  <c r="L1663" i="1"/>
  <c r="K1663" i="1"/>
  <c r="L1662" i="1"/>
  <c r="K1662" i="1"/>
  <c r="L1661" i="1"/>
  <c r="K1661" i="1"/>
  <c r="L1660" i="1"/>
  <c r="K1660" i="1"/>
  <c r="L1659" i="1"/>
  <c r="K1659" i="1"/>
  <c r="L1658" i="1"/>
  <c r="K1658" i="1"/>
  <c r="L1657" i="1"/>
  <c r="K1657" i="1"/>
  <c r="L1656" i="1"/>
  <c r="K1656" i="1"/>
  <c r="L1655" i="1"/>
  <c r="K1655" i="1"/>
  <c r="L1654" i="1"/>
  <c r="K1654" i="1"/>
  <c r="L1653" i="1"/>
  <c r="K1653" i="1"/>
  <c r="L1652" i="1"/>
  <c r="K1652" i="1"/>
  <c r="L1651" i="1"/>
  <c r="K1651" i="1"/>
  <c r="L1650" i="1"/>
  <c r="K1650" i="1"/>
  <c r="L1649" i="1"/>
  <c r="K1649" i="1"/>
  <c r="L1648" i="1"/>
  <c r="K1648" i="1"/>
  <c r="L1647" i="1"/>
  <c r="K1647" i="1"/>
  <c r="L1646" i="1"/>
  <c r="K1646" i="1"/>
  <c r="L1645" i="1"/>
  <c r="K1645" i="1"/>
  <c r="L1644" i="1"/>
  <c r="K1644" i="1"/>
  <c r="L1643" i="1"/>
  <c r="K1643" i="1"/>
  <c r="L1642" i="1"/>
  <c r="K1642" i="1"/>
  <c r="L1641" i="1"/>
  <c r="K1641" i="1"/>
  <c r="L1640" i="1"/>
  <c r="K1640" i="1"/>
  <c r="L1639" i="1"/>
  <c r="K1639" i="1"/>
  <c r="L1638" i="1"/>
  <c r="K1638" i="1"/>
  <c r="L1637" i="1"/>
  <c r="K1637" i="1"/>
  <c r="L1636" i="1"/>
  <c r="K1636" i="1"/>
  <c r="L1635" i="1"/>
  <c r="K1635" i="1"/>
  <c r="L1634" i="1"/>
  <c r="K1634" i="1"/>
  <c r="L1633" i="1"/>
  <c r="K1633" i="1"/>
  <c r="L1632" i="1"/>
  <c r="K1632" i="1"/>
  <c r="L1631" i="1"/>
  <c r="K1631" i="1"/>
  <c r="L1630" i="1"/>
  <c r="K1630" i="1"/>
  <c r="L1629" i="1"/>
  <c r="K1629" i="1"/>
  <c r="L1628" i="1"/>
  <c r="K1628" i="1"/>
  <c r="L1627" i="1"/>
  <c r="K1627" i="1"/>
  <c r="L1626" i="1"/>
  <c r="K1626" i="1"/>
  <c r="L1625" i="1"/>
  <c r="K1625" i="1"/>
  <c r="L1624" i="1"/>
  <c r="K1624" i="1"/>
  <c r="L1623" i="1"/>
  <c r="K1623" i="1"/>
  <c r="L1622" i="1"/>
  <c r="K1622" i="1"/>
  <c r="L1621" i="1"/>
  <c r="K1621" i="1"/>
  <c r="L1620" i="1"/>
  <c r="K1620" i="1"/>
  <c r="L1619" i="1"/>
  <c r="K1619" i="1"/>
  <c r="L1618" i="1"/>
  <c r="K1618" i="1"/>
  <c r="L1617" i="1"/>
  <c r="K1617" i="1"/>
  <c r="L1616" i="1"/>
  <c r="K1616" i="1"/>
  <c r="L1615" i="1"/>
  <c r="K1615" i="1"/>
  <c r="L1614" i="1"/>
  <c r="K1614" i="1"/>
  <c r="L1613" i="1"/>
  <c r="K1613" i="1"/>
  <c r="L1612" i="1"/>
  <c r="K1612" i="1"/>
  <c r="L1611" i="1"/>
  <c r="K1611" i="1"/>
  <c r="L1610" i="1"/>
  <c r="K1610" i="1"/>
  <c r="L1609" i="1"/>
  <c r="K1609" i="1"/>
  <c r="L1608" i="1"/>
  <c r="K1608" i="1"/>
  <c r="L1607" i="1"/>
  <c r="K1607" i="1"/>
  <c r="L1606" i="1"/>
  <c r="K1606" i="1"/>
  <c r="L1605" i="1"/>
  <c r="K1605" i="1"/>
  <c r="L1604" i="1"/>
  <c r="K1604" i="1"/>
  <c r="L1603" i="1"/>
  <c r="K1603" i="1"/>
  <c r="L1602" i="1"/>
  <c r="K1602" i="1"/>
  <c r="L1601" i="1"/>
  <c r="K1601" i="1"/>
  <c r="L1600" i="1"/>
  <c r="K1600" i="1"/>
  <c r="L1599" i="1"/>
  <c r="K1599" i="1"/>
  <c r="L1598" i="1"/>
  <c r="K1598" i="1"/>
  <c r="L1597" i="1"/>
  <c r="K1597" i="1"/>
  <c r="L1596" i="1"/>
  <c r="K1596" i="1"/>
  <c r="L1595" i="1"/>
  <c r="K1595" i="1"/>
  <c r="L1594" i="1"/>
  <c r="K1594" i="1"/>
  <c r="L1593" i="1"/>
  <c r="K1593" i="1"/>
  <c r="L1592" i="1"/>
  <c r="K1592" i="1"/>
  <c r="L1591" i="1"/>
  <c r="K1591" i="1"/>
  <c r="L1590" i="1"/>
  <c r="K1590" i="1"/>
  <c r="L1589" i="1"/>
  <c r="K1589" i="1"/>
  <c r="L1588" i="1"/>
  <c r="K1588" i="1"/>
  <c r="L1587" i="1"/>
  <c r="K1587" i="1"/>
  <c r="L1586" i="1"/>
  <c r="K1586" i="1"/>
  <c r="L1585" i="1"/>
  <c r="K1585" i="1"/>
  <c r="L1584" i="1"/>
  <c r="K1584" i="1"/>
  <c r="L1583" i="1"/>
  <c r="K1583" i="1"/>
  <c r="L1582" i="1"/>
  <c r="K1582" i="1"/>
  <c r="L1581" i="1"/>
  <c r="K1581" i="1"/>
  <c r="L1580" i="1"/>
  <c r="K1580" i="1"/>
  <c r="L1579" i="1"/>
  <c r="K1579" i="1"/>
  <c r="L1578" i="1"/>
  <c r="K1578" i="1"/>
  <c r="L1577" i="1"/>
  <c r="K1577" i="1"/>
  <c r="L1576" i="1"/>
  <c r="K1576" i="1"/>
  <c r="L1575" i="1"/>
  <c r="K1575" i="1"/>
  <c r="L1574" i="1"/>
  <c r="K1574" i="1"/>
  <c r="L1573" i="1"/>
  <c r="K1573" i="1"/>
  <c r="L1572" i="1"/>
  <c r="K1572" i="1"/>
  <c r="L1571" i="1"/>
  <c r="K1571" i="1"/>
  <c r="L1570" i="1"/>
  <c r="K1570" i="1"/>
  <c r="L1569" i="1"/>
  <c r="K1569" i="1"/>
  <c r="L1568" i="1"/>
  <c r="K1568" i="1"/>
  <c r="L1567" i="1"/>
  <c r="K1567" i="1"/>
  <c r="L1566" i="1"/>
  <c r="K1566" i="1"/>
  <c r="L1565" i="1"/>
  <c r="K1565" i="1"/>
  <c r="L1564" i="1"/>
  <c r="K1564" i="1"/>
  <c r="L1563" i="1"/>
  <c r="K1563" i="1"/>
  <c r="L1562" i="1"/>
  <c r="K1562" i="1"/>
  <c r="L1561" i="1"/>
  <c r="K1561" i="1"/>
  <c r="L1560" i="1"/>
  <c r="K1560" i="1"/>
  <c r="L1559" i="1"/>
  <c r="K1559" i="1"/>
  <c r="L1558" i="1"/>
  <c r="K1558" i="1"/>
  <c r="L1557" i="1"/>
  <c r="K1557" i="1"/>
  <c r="L1556" i="1"/>
  <c r="K1556" i="1"/>
  <c r="L1555" i="1"/>
  <c r="K1555" i="1"/>
  <c r="L1554" i="1"/>
  <c r="K1554" i="1"/>
  <c r="L1553" i="1"/>
  <c r="K1553" i="1"/>
  <c r="L1552" i="1"/>
  <c r="K1552" i="1"/>
  <c r="L1551" i="1"/>
  <c r="K1551" i="1"/>
  <c r="L1550" i="1"/>
  <c r="K1550" i="1"/>
  <c r="L1549" i="1"/>
  <c r="K1549" i="1"/>
  <c r="L1548" i="1"/>
  <c r="K1548" i="1"/>
  <c r="L1547" i="1"/>
  <c r="K1547" i="1"/>
  <c r="L1546" i="1"/>
  <c r="K1546" i="1"/>
  <c r="L1545" i="1"/>
  <c r="K1545" i="1"/>
  <c r="L1544" i="1"/>
  <c r="K1544" i="1"/>
  <c r="L1543" i="1"/>
  <c r="K1543" i="1"/>
  <c r="L1542" i="1"/>
  <c r="K1542" i="1"/>
  <c r="L1541" i="1"/>
  <c r="K1541" i="1"/>
  <c r="L1540" i="1"/>
  <c r="K1540" i="1"/>
  <c r="L1539" i="1"/>
  <c r="K1539" i="1"/>
  <c r="L1538" i="1"/>
  <c r="K1538" i="1"/>
  <c r="L1537" i="1"/>
  <c r="K1537" i="1"/>
  <c r="L1536" i="1"/>
  <c r="K1536" i="1"/>
  <c r="L1535" i="1"/>
  <c r="K1535" i="1"/>
  <c r="L1534" i="1"/>
  <c r="K1534" i="1"/>
  <c r="L1533" i="1"/>
  <c r="K1533" i="1"/>
  <c r="L1532" i="1"/>
  <c r="K1532" i="1"/>
  <c r="L1531" i="1"/>
  <c r="K1531" i="1"/>
  <c r="L1530" i="1"/>
  <c r="K1530" i="1"/>
  <c r="L1529" i="1"/>
  <c r="K1529" i="1"/>
  <c r="L1528" i="1"/>
  <c r="K1528" i="1"/>
  <c r="L1527" i="1"/>
  <c r="K1527" i="1"/>
  <c r="L1526" i="1"/>
  <c r="K1526" i="1"/>
  <c r="L1525" i="1"/>
  <c r="K1525" i="1"/>
  <c r="L1524" i="1"/>
  <c r="K1524" i="1"/>
  <c r="L1523" i="1"/>
  <c r="K1523" i="1"/>
  <c r="L1522" i="1"/>
  <c r="K1522" i="1"/>
  <c r="L1521" i="1"/>
  <c r="K1521" i="1"/>
  <c r="L1520" i="1"/>
  <c r="K1520" i="1"/>
  <c r="L1519" i="1"/>
  <c r="K1519" i="1"/>
  <c r="L1518" i="1"/>
  <c r="K1518" i="1"/>
  <c r="L1517" i="1"/>
  <c r="K1517" i="1"/>
  <c r="L1516" i="1"/>
  <c r="K1516" i="1"/>
  <c r="L1515" i="1"/>
  <c r="K1515" i="1"/>
  <c r="L1514" i="1"/>
  <c r="K1514" i="1"/>
  <c r="L1513" i="1"/>
  <c r="K1513" i="1"/>
  <c r="L1512" i="1"/>
  <c r="K1512" i="1"/>
  <c r="L1511" i="1"/>
  <c r="K1511" i="1"/>
  <c r="L1510" i="1"/>
  <c r="K1510" i="1"/>
  <c r="L1509" i="1"/>
  <c r="K1509" i="1"/>
  <c r="L1508" i="1"/>
  <c r="K1508" i="1"/>
  <c r="L1507" i="1"/>
  <c r="K1507" i="1"/>
  <c r="L1506" i="1"/>
  <c r="K1506" i="1"/>
  <c r="L1505" i="1"/>
  <c r="K1505" i="1"/>
  <c r="L1504" i="1"/>
  <c r="K1504" i="1"/>
  <c r="L1503" i="1"/>
  <c r="K1503" i="1"/>
  <c r="L1502" i="1"/>
  <c r="K1502" i="1"/>
  <c r="L1501" i="1"/>
  <c r="K1501" i="1"/>
  <c r="L1500" i="1"/>
  <c r="K1500" i="1"/>
  <c r="L1499" i="1"/>
  <c r="K1499" i="1"/>
  <c r="L1498" i="1"/>
  <c r="K1498" i="1"/>
  <c r="L1497" i="1"/>
  <c r="K1497" i="1"/>
  <c r="L1496" i="1"/>
  <c r="K1496" i="1"/>
  <c r="L1495" i="1"/>
  <c r="K1495" i="1"/>
  <c r="L1494" i="1"/>
  <c r="K1494" i="1"/>
  <c r="L1493" i="1"/>
  <c r="K1493" i="1"/>
  <c r="L1492" i="1"/>
  <c r="K1492" i="1"/>
  <c r="L1491" i="1"/>
  <c r="K1491" i="1"/>
  <c r="L1490" i="1"/>
  <c r="K1490" i="1"/>
  <c r="L1489" i="1"/>
  <c r="K1489" i="1"/>
  <c r="L1488" i="1"/>
  <c r="K1488" i="1"/>
  <c r="L1487" i="1"/>
  <c r="K1487" i="1"/>
  <c r="L1486" i="1"/>
  <c r="K1486" i="1"/>
  <c r="L1485" i="1"/>
  <c r="K1485" i="1"/>
  <c r="L1484" i="1"/>
  <c r="K1484" i="1"/>
  <c r="L1483" i="1"/>
  <c r="K1483" i="1"/>
  <c r="L1482" i="1"/>
  <c r="K1482" i="1"/>
  <c r="L1481" i="1"/>
  <c r="K1481" i="1"/>
  <c r="L1480" i="1"/>
  <c r="K1480" i="1"/>
  <c r="L1479" i="1"/>
  <c r="K1479" i="1"/>
  <c r="L1478" i="1"/>
  <c r="K1478" i="1"/>
  <c r="L1477" i="1"/>
  <c r="K1477" i="1"/>
  <c r="L1476" i="1"/>
  <c r="K1476" i="1"/>
  <c r="L1475" i="1"/>
  <c r="K1475" i="1"/>
  <c r="L1474" i="1"/>
  <c r="K1474" i="1"/>
  <c r="L1473" i="1"/>
  <c r="K1473" i="1"/>
  <c r="L1472" i="1"/>
  <c r="K1472" i="1"/>
  <c r="L1471" i="1"/>
  <c r="K1471" i="1"/>
  <c r="L1470" i="1"/>
  <c r="K1470" i="1"/>
  <c r="L1469" i="1"/>
  <c r="K1469" i="1"/>
  <c r="L1468" i="1"/>
  <c r="K1468" i="1"/>
  <c r="L1467" i="1"/>
  <c r="K1467" i="1"/>
  <c r="L1466" i="1"/>
  <c r="K1466" i="1"/>
  <c r="L1465" i="1"/>
  <c r="K1465" i="1"/>
  <c r="L1464" i="1"/>
  <c r="K1464" i="1"/>
  <c r="L1463" i="1"/>
  <c r="K1463" i="1"/>
  <c r="L1462" i="1"/>
  <c r="K1462" i="1"/>
  <c r="L1461" i="1"/>
  <c r="K1461" i="1"/>
  <c r="L1460" i="1"/>
  <c r="K1460" i="1"/>
  <c r="L1459" i="1"/>
  <c r="K1459" i="1"/>
  <c r="L1458" i="1"/>
  <c r="K1458" i="1"/>
  <c r="L1457" i="1"/>
  <c r="K1457" i="1"/>
  <c r="L1456" i="1"/>
  <c r="K1456" i="1"/>
  <c r="L1455" i="1"/>
  <c r="K1455" i="1"/>
  <c r="L1454" i="1"/>
  <c r="K1454" i="1"/>
  <c r="L1453" i="1"/>
  <c r="K1453" i="1"/>
  <c r="L1452" i="1"/>
  <c r="K1452" i="1"/>
  <c r="L1451" i="1"/>
  <c r="K1451" i="1"/>
  <c r="L1450" i="1"/>
  <c r="K1450" i="1"/>
  <c r="L1449" i="1"/>
  <c r="K1449" i="1"/>
  <c r="L1448" i="1"/>
  <c r="K1448" i="1"/>
  <c r="L1447" i="1"/>
  <c r="K1447" i="1"/>
  <c r="L1446" i="1"/>
  <c r="K1446" i="1"/>
  <c r="L1445" i="1"/>
  <c r="K1445" i="1"/>
  <c r="L1444" i="1"/>
  <c r="K1444" i="1"/>
  <c r="L1443" i="1"/>
  <c r="K1443" i="1"/>
  <c r="L1442" i="1"/>
  <c r="K1442" i="1"/>
  <c r="L1441" i="1"/>
  <c r="K1441" i="1"/>
  <c r="L1440" i="1"/>
  <c r="K1440" i="1"/>
  <c r="L1439" i="1"/>
  <c r="K1439" i="1"/>
  <c r="L1438" i="1"/>
  <c r="K1438" i="1"/>
  <c r="L1437" i="1"/>
  <c r="K1437" i="1"/>
  <c r="L1436" i="1"/>
  <c r="K1436" i="1"/>
  <c r="L1435" i="1"/>
  <c r="K1435" i="1"/>
  <c r="L1434" i="1"/>
  <c r="K1434" i="1"/>
  <c r="L1433" i="1"/>
  <c r="K1433" i="1"/>
  <c r="L1432" i="1"/>
  <c r="K1432" i="1"/>
  <c r="L1431" i="1"/>
  <c r="K1431" i="1"/>
  <c r="L1430" i="1"/>
  <c r="K1430" i="1"/>
  <c r="L1429" i="1"/>
  <c r="K1429" i="1"/>
  <c r="L1428" i="1"/>
  <c r="K1428" i="1"/>
  <c r="L1427" i="1"/>
  <c r="K1427" i="1"/>
  <c r="L1426" i="1"/>
  <c r="K1426" i="1"/>
  <c r="L1425" i="1"/>
  <c r="K1425" i="1"/>
  <c r="L1424" i="1"/>
  <c r="K1424" i="1"/>
  <c r="L1423" i="1"/>
  <c r="K1423" i="1"/>
  <c r="L1422" i="1"/>
  <c r="K1422" i="1"/>
  <c r="L1421" i="1"/>
  <c r="K1421" i="1"/>
  <c r="L1420" i="1"/>
  <c r="K1420" i="1"/>
  <c r="L1419" i="1"/>
  <c r="K1419" i="1"/>
  <c r="L1418" i="1"/>
  <c r="K1418" i="1"/>
  <c r="L1417" i="1"/>
  <c r="K1417" i="1"/>
  <c r="L1416" i="1"/>
  <c r="K1416" i="1"/>
  <c r="L1415" i="1"/>
  <c r="K1415" i="1"/>
  <c r="L1414" i="1"/>
  <c r="K1414" i="1"/>
  <c r="L1413" i="1"/>
  <c r="K1413" i="1"/>
  <c r="L1412" i="1"/>
  <c r="K1412" i="1"/>
  <c r="L1411" i="1"/>
  <c r="K1411" i="1"/>
  <c r="L1410" i="1"/>
  <c r="K1410" i="1"/>
  <c r="L1409" i="1"/>
  <c r="K1409" i="1"/>
  <c r="L1408" i="1"/>
  <c r="K1408" i="1"/>
  <c r="L1407" i="1"/>
  <c r="K1407" i="1"/>
  <c r="L1406" i="1"/>
  <c r="K1406" i="1"/>
  <c r="L1405" i="1"/>
  <c r="K1405" i="1"/>
  <c r="L1404" i="1"/>
  <c r="K1404" i="1"/>
  <c r="L1403" i="1"/>
  <c r="K1403" i="1"/>
  <c r="L1402" i="1"/>
  <c r="K1402" i="1"/>
  <c r="L1401" i="1"/>
  <c r="K1401" i="1"/>
  <c r="L1400" i="1"/>
  <c r="K1400" i="1"/>
  <c r="L1399" i="1"/>
  <c r="K1399" i="1"/>
  <c r="L1398" i="1"/>
  <c r="K1398" i="1"/>
  <c r="L1397" i="1"/>
  <c r="K1397" i="1"/>
  <c r="L1396" i="1"/>
  <c r="K1396" i="1"/>
  <c r="L1395" i="1"/>
  <c r="K1395" i="1"/>
  <c r="L1394" i="1"/>
  <c r="K1394" i="1"/>
  <c r="L1393" i="1"/>
  <c r="K1393" i="1"/>
  <c r="L1392" i="1"/>
  <c r="K1392" i="1"/>
  <c r="L1391" i="1"/>
  <c r="K1391" i="1"/>
  <c r="L1390" i="1"/>
  <c r="K1390" i="1"/>
  <c r="L1389" i="1"/>
  <c r="K1389" i="1"/>
  <c r="L1388" i="1"/>
  <c r="K1388" i="1"/>
  <c r="L1387" i="1"/>
  <c r="K1387" i="1"/>
  <c r="L1386" i="1"/>
  <c r="K1386" i="1"/>
  <c r="L1385" i="1"/>
  <c r="K1385" i="1"/>
  <c r="L1384" i="1"/>
  <c r="K1384" i="1"/>
  <c r="L1383" i="1"/>
  <c r="K1383" i="1"/>
  <c r="L1382" i="1"/>
  <c r="K1382" i="1"/>
  <c r="L1381" i="1"/>
  <c r="K1381" i="1"/>
  <c r="L1380" i="1"/>
  <c r="K1380" i="1"/>
  <c r="L1379" i="1"/>
  <c r="K1379" i="1"/>
  <c r="L1378" i="1"/>
  <c r="K1378" i="1"/>
  <c r="L1377" i="1"/>
  <c r="K1377" i="1"/>
  <c r="L1376" i="1"/>
  <c r="K1376" i="1"/>
  <c r="L1375" i="1"/>
  <c r="K1375" i="1"/>
  <c r="L1374" i="1"/>
  <c r="K1374" i="1"/>
  <c r="L1373" i="1"/>
  <c r="K1373" i="1"/>
  <c r="L1372" i="1"/>
  <c r="K1372" i="1"/>
  <c r="L1371" i="1"/>
  <c r="K1371" i="1"/>
  <c r="L1370" i="1"/>
  <c r="K1370" i="1"/>
  <c r="L1369" i="1"/>
  <c r="K1369" i="1"/>
  <c r="L1368" i="1"/>
  <c r="K1368" i="1"/>
  <c r="L1367" i="1"/>
  <c r="K1367" i="1"/>
  <c r="L1366" i="1"/>
  <c r="K1366" i="1"/>
  <c r="L1365" i="1"/>
  <c r="K1365" i="1"/>
  <c r="L1364" i="1"/>
  <c r="K1364" i="1"/>
  <c r="L1363" i="1"/>
  <c r="K1363" i="1"/>
  <c r="L1362" i="1"/>
  <c r="K1362" i="1"/>
  <c r="L1361" i="1"/>
  <c r="K1361" i="1"/>
  <c r="L1360" i="1"/>
  <c r="K1360" i="1"/>
  <c r="L1359" i="1"/>
  <c r="K1359" i="1"/>
  <c r="L1358" i="1"/>
  <c r="K1358" i="1"/>
  <c r="L1357" i="1"/>
  <c r="K1357" i="1"/>
  <c r="L1356" i="1"/>
  <c r="K1356" i="1"/>
  <c r="L1355" i="1"/>
  <c r="K1355" i="1"/>
  <c r="L1354" i="1"/>
  <c r="K1354" i="1"/>
  <c r="L1353" i="1"/>
  <c r="K1353" i="1"/>
  <c r="L1352" i="1"/>
  <c r="K1352" i="1"/>
  <c r="L1351" i="1"/>
  <c r="K1351" i="1"/>
  <c r="L1350" i="1"/>
  <c r="K1350" i="1"/>
  <c r="L1349" i="1"/>
  <c r="K1349" i="1"/>
  <c r="L1348" i="1"/>
  <c r="K1348" i="1"/>
  <c r="L1347" i="1"/>
  <c r="K1347" i="1"/>
  <c r="L1346" i="1"/>
  <c r="K1346" i="1"/>
  <c r="L1345" i="1"/>
  <c r="K1345" i="1"/>
  <c r="L1344" i="1"/>
  <c r="K1344" i="1"/>
  <c r="L1343" i="1"/>
  <c r="K1343" i="1"/>
  <c r="L1342" i="1"/>
  <c r="K1342" i="1"/>
  <c r="L1341" i="1"/>
  <c r="K1341" i="1"/>
  <c r="L1340" i="1"/>
  <c r="K1340" i="1"/>
  <c r="L1339" i="1"/>
  <c r="K1339" i="1"/>
  <c r="L1338" i="1"/>
  <c r="K1338" i="1"/>
  <c r="L1337" i="1"/>
  <c r="K1337" i="1"/>
  <c r="L1336" i="1"/>
  <c r="K1336" i="1"/>
  <c r="L1335" i="1"/>
  <c r="K1335" i="1"/>
  <c r="L1334" i="1"/>
  <c r="K1334" i="1"/>
  <c r="L1333" i="1"/>
  <c r="K1333" i="1"/>
  <c r="L1332" i="1"/>
  <c r="K1332" i="1"/>
  <c r="L1331" i="1"/>
  <c r="K1331" i="1"/>
  <c r="L1330" i="1"/>
  <c r="K1330" i="1"/>
  <c r="L1329" i="1"/>
  <c r="K1329" i="1"/>
  <c r="L1328" i="1"/>
  <c r="K1328" i="1"/>
  <c r="L1327" i="1"/>
  <c r="K1327" i="1"/>
  <c r="L1326" i="1"/>
  <c r="K1326" i="1"/>
  <c r="L1325" i="1"/>
  <c r="K1325" i="1"/>
  <c r="L1324" i="1"/>
  <c r="K1324" i="1"/>
  <c r="L1323" i="1"/>
  <c r="K1323" i="1"/>
  <c r="L1322" i="1"/>
  <c r="K1322" i="1"/>
  <c r="L1321" i="1"/>
  <c r="K1321" i="1"/>
  <c r="L1320" i="1"/>
  <c r="K1320" i="1"/>
  <c r="L1319" i="1"/>
  <c r="K1319" i="1"/>
  <c r="L1318" i="1"/>
  <c r="K1318" i="1"/>
  <c r="L1317" i="1"/>
  <c r="K1317" i="1"/>
  <c r="L1316" i="1"/>
  <c r="K1316" i="1"/>
  <c r="L1315" i="1"/>
  <c r="K1315" i="1"/>
  <c r="L1314" i="1"/>
  <c r="K1314" i="1"/>
  <c r="L1313" i="1"/>
  <c r="K1313" i="1"/>
  <c r="L1312" i="1"/>
  <c r="K1312" i="1"/>
  <c r="L1311" i="1"/>
  <c r="K1311" i="1"/>
  <c r="L1310" i="1"/>
  <c r="K1310" i="1"/>
  <c r="L1309" i="1"/>
  <c r="K1309" i="1"/>
  <c r="L1308" i="1"/>
  <c r="K1308" i="1"/>
  <c r="L1307" i="1"/>
  <c r="K1307" i="1"/>
  <c r="L1306" i="1"/>
  <c r="K1306" i="1"/>
  <c r="L1305" i="1"/>
  <c r="K1305" i="1"/>
  <c r="L1304" i="1"/>
  <c r="K1304" i="1"/>
  <c r="L1303" i="1"/>
  <c r="K1303" i="1"/>
  <c r="L1302" i="1"/>
  <c r="K1302" i="1"/>
  <c r="L1301" i="1"/>
  <c r="K1301" i="1"/>
  <c r="L1300" i="1"/>
  <c r="K1300" i="1"/>
  <c r="L1299" i="1"/>
  <c r="K1299" i="1"/>
  <c r="L1298" i="1"/>
  <c r="K1298" i="1"/>
  <c r="L1297" i="1"/>
  <c r="K1297" i="1"/>
  <c r="L1296" i="1"/>
  <c r="K1296" i="1"/>
  <c r="L1295" i="1"/>
  <c r="K1295" i="1"/>
  <c r="L1294" i="1"/>
  <c r="K1294" i="1"/>
  <c r="L1293" i="1"/>
  <c r="K1293" i="1"/>
  <c r="L1292" i="1"/>
  <c r="K1292" i="1"/>
  <c r="L1291" i="1"/>
  <c r="K1291" i="1"/>
  <c r="L1290" i="1"/>
  <c r="K1290" i="1"/>
  <c r="L1289" i="1"/>
  <c r="K1289" i="1"/>
  <c r="L1288" i="1"/>
  <c r="K1288" i="1"/>
  <c r="L1287" i="1"/>
  <c r="K1287" i="1"/>
  <c r="L1286" i="1"/>
  <c r="K1286" i="1"/>
  <c r="L1285" i="1"/>
  <c r="K1285" i="1"/>
  <c r="L1284" i="1"/>
  <c r="K1284" i="1"/>
  <c r="L1283" i="1"/>
  <c r="K1283" i="1"/>
  <c r="L1282" i="1"/>
  <c r="K1282" i="1"/>
  <c r="L1281" i="1"/>
  <c r="K1281" i="1"/>
  <c r="L1280" i="1"/>
  <c r="K1280" i="1"/>
  <c r="L1279" i="1"/>
  <c r="K1279" i="1"/>
  <c r="L1278" i="1"/>
  <c r="K1278" i="1"/>
  <c r="L1277" i="1"/>
  <c r="K1277" i="1"/>
  <c r="L1276" i="1"/>
  <c r="K1276" i="1"/>
  <c r="L1275" i="1"/>
  <c r="K1275" i="1"/>
  <c r="L1274" i="1"/>
  <c r="K1274" i="1"/>
  <c r="L1273" i="1"/>
  <c r="K1273" i="1"/>
  <c r="L1272" i="1"/>
  <c r="K1272" i="1"/>
  <c r="L1271" i="1"/>
  <c r="K1271" i="1"/>
  <c r="L1270" i="1"/>
  <c r="K1270" i="1"/>
  <c r="L1269" i="1"/>
  <c r="K1269" i="1"/>
  <c r="L1268" i="1"/>
  <c r="K1268" i="1"/>
  <c r="L1267" i="1"/>
  <c r="K1267" i="1"/>
  <c r="L1266" i="1"/>
  <c r="K1266" i="1"/>
  <c r="L1265" i="1"/>
  <c r="K1265" i="1"/>
  <c r="L1264" i="1"/>
  <c r="K1264" i="1"/>
  <c r="L1263" i="1"/>
  <c r="K1263" i="1"/>
  <c r="L1262" i="1"/>
  <c r="K1262" i="1"/>
  <c r="L1261" i="1"/>
  <c r="K1261" i="1"/>
  <c r="L1260" i="1"/>
  <c r="K1260" i="1"/>
  <c r="L1259" i="1"/>
  <c r="K1259" i="1"/>
  <c r="L1258" i="1"/>
  <c r="K1258" i="1"/>
  <c r="L1257" i="1"/>
  <c r="K1257" i="1"/>
  <c r="L1256" i="1"/>
  <c r="K1256" i="1"/>
  <c r="L1255" i="1"/>
  <c r="K1255" i="1"/>
  <c r="L1254" i="1"/>
  <c r="K1254" i="1"/>
  <c r="L1253" i="1"/>
  <c r="K1253" i="1"/>
  <c r="L1252" i="1"/>
  <c r="K1252" i="1"/>
  <c r="L1251" i="1"/>
  <c r="K1251" i="1"/>
  <c r="L1250" i="1"/>
  <c r="K1250" i="1"/>
  <c r="L1249" i="1"/>
  <c r="K1249" i="1"/>
  <c r="L1248" i="1"/>
  <c r="K1248" i="1"/>
  <c r="L1247" i="1"/>
  <c r="K1247" i="1"/>
  <c r="L1246" i="1"/>
  <c r="K1246" i="1"/>
  <c r="L1245" i="1"/>
  <c r="K1245" i="1"/>
  <c r="L1244" i="1"/>
  <c r="K1244" i="1"/>
  <c r="L1243" i="1"/>
  <c r="K1243" i="1"/>
  <c r="L1242" i="1"/>
  <c r="K1242" i="1"/>
  <c r="L1241" i="1"/>
  <c r="K1241" i="1"/>
  <c r="L1240" i="1"/>
  <c r="K1240" i="1"/>
  <c r="L1239" i="1"/>
  <c r="K1239" i="1"/>
  <c r="L1238" i="1"/>
  <c r="K1238" i="1"/>
  <c r="L1237" i="1"/>
  <c r="K1237" i="1"/>
  <c r="L1236" i="1"/>
  <c r="K1236" i="1"/>
  <c r="L1235" i="1"/>
  <c r="K1235" i="1"/>
  <c r="L1234" i="1"/>
  <c r="K1234" i="1"/>
  <c r="L1233" i="1"/>
  <c r="K1233" i="1"/>
  <c r="L1232" i="1"/>
  <c r="K1232" i="1"/>
  <c r="L1231" i="1"/>
  <c r="K1231" i="1"/>
  <c r="L1230" i="1"/>
  <c r="K1230" i="1"/>
  <c r="L1229" i="1"/>
  <c r="K1229" i="1"/>
  <c r="L1228" i="1"/>
  <c r="K1228" i="1"/>
  <c r="L1227" i="1"/>
  <c r="K1227" i="1"/>
  <c r="L1226" i="1"/>
  <c r="K1226" i="1"/>
  <c r="L1225" i="1"/>
  <c r="K1225" i="1"/>
  <c r="L1224" i="1"/>
  <c r="K1224" i="1"/>
  <c r="L1223" i="1"/>
  <c r="K1223" i="1"/>
  <c r="L1222" i="1"/>
  <c r="K1222" i="1"/>
  <c r="L1221" i="1"/>
  <c r="K1221" i="1"/>
  <c r="L1220" i="1"/>
  <c r="K1220" i="1"/>
  <c r="L1219" i="1"/>
  <c r="K1219" i="1"/>
  <c r="L1218" i="1"/>
  <c r="K1218" i="1"/>
  <c r="L1217" i="1"/>
  <c r="K1217" i="1"/>
  <c r="L1216" i="1"/>
  <c r="K1216" i="1"/>
  <c r="L1215" i="1"/>
  <c r="K1215" i="1"/>
  <c r="L1214" i="1"/>
  <c r="K1214" i="1"/>
  <c r="L1213" i="1"/>
  <c r="K1213" i="1"/>
  <c r="L1212" i="1"/>
  <c r="K1212" i="1"/>
  <c r="L1211" i="1"/>
  <c r="K1211" i="1"/>
  <c r="L1210" i="1"/>
  <c r="K1210" i="1"/>
  <c r="L1209" i="1"/>
  <c r="K1209" i="1"/>
  <c r="L1208" i="1"/>
  <c r="K1208" i="1"/>
  <c r="L1207" i="1"/>
  <c r="K1207" i="1"/>
  <c r="L1206" i="1"/>
  <c r="K1206" i="1"/>
  <c r="L1205" i="1"/>
  <c r="K1205" i="1"/>
  <c r="L1204" i="1"/>
  <c r="K1204" i="1"/>
  <c r="L1203" i="1"/>
  <c r="K1203" i="1"/>
  <c r="L1202" i="1"/>
  <c r="K1202" i="1"/>
  <c r="L1201" i="1"/>
  <c r="K1201" i="1"/>
  <c r="L1200" i="1"/>
  <c r="K1200" i="1"/>
  <c r="L1199" i="1"/>
  <c r="K1199" i="1"/>
  <c r="L1198" i="1"/>
  <c r="K1198" i="1"/>
  <c r="L1197" i="1"/>
  <c r="K1197" i="1"/>
  <c r="L1196" i="1"/>
  <c r="K1196" i="1"/>
  <c r="L1195" i="1"/>
  <c r="K1195" i="1"/>
  <c r="L1194" i="1"/>
  <c r="K1194" i="1"/>
  <c r="L1193" i="1"/>
  <c r="K1193" i="1"/>
  <c r="L1192" i="1"/>
  <c r="K1192" i="1"/>
  <c r="L1191" i="1"/>
  <c r="K1191" i="1"/>
  <c r="L1190" i="1"/>
  <c r="K1190" i="1"/>
  <c r="L1189" i="1"/>
  <c r="K1189" i="1"/>
  <c r="L1188" i="1"/>
  <c r="K1188" i="1"/>
  <c r="L1187" i="1"/>
  <c r="K1187" i="1"/>
  <c r="L1186" i="1"/>
  <c r="K1186" i="1"/>
  <c r="L1185" i="1"/>
  <c r="K1185" i="1"/>
  <c r="L1184" i="1"/>
  <c r="K1184" i="1"/>
  <c r="L1183" i="1"/>
  <c r="K1183" i="1"/>
  <c r="L1182" i="1"/>
  <c r="K1182" i="1"/>
  <c r="L1181" i="1"/>
  <c r="K1181" i="1"/>
  <c r="L1180" i="1"/>
  <c r="K1180" i="1"/>
  <c r="L1179" i="1"/>
  <c r="K1179" i="1"/>
  <c r="L1178" i="1"/>
  <c r="K1178" i="1"/>
  <c r="L1177" i="1"/>
  <c r="K1177" i="1"/>
  <c r="L1176" i="1"/>
  <c r="K1176" i="1"/>
  <c r="L1175" i="1"/>
  <c r="K1175" i="1"/>
  <c r="L1174" i="1"/>
  <c r="K1174" i="1"/>
  <c r="L1173" i="1"/>
  <c r="K1173" i="1"/>
  <c r="L1172" i="1"/>
  <c r="K1172" i="1"/>
  <c r="L1171" i="1"/>
  <c r="K1171" i="1"/>
  <c r="L1170" i="1"/>
  <c r="K1170" i="1"/>
  <c r="L1169" i="1"/>
  <c r="K1169" i="1"/>
  <c r="L1168" i="1"/>
  <c r="K1168" i="1"/>
  <c r="L1167" i="1"/>
  <c r="K1167" i="1"/>
  <c r="L1166" i="1"/>
  <c r="K1166" i="1"/>
  <c r="L1165" i="1"/>
  <c r="K1165" i="1"/>
  <c r="L1164" i="1"/>
  <c r="K1164" i="1"/>
  <c r="L1163" i="1"/>
  <c r="K1163" i="1"/>
  <c r="L1162" i="1"/>
  <c r="K1162" i="1"/>
  <c r="L1161" i="1"/>
  <c r="K1161" i="1"/>
  <c r="L1160" i="1"/>
  <c r="K1160" i="1"/>
  <c r="L1159" i="1"/>
  <c r="K1159" i="1"/>
  <c r="L1158" i="1"/>
  <c r="K1158" i="1"/>
  <c r="L1157" i="1"/>
  <c r="K1157" i="1"/>
  <c r="L1156" i="1"/>
  <c r="K1156" i="1"/>
  <c r="L1155" i="1"/>
  <c r="K1155" i="1"/>
  <c r="L1154" i="1"/>
  <c r="K1154" i="1"/>
  <c r="L1153" i="1"/>
  <c r="K1153" i="1"/>
  <c r="L1152" i="1"/>
  <c r="K1152" i="1"/>
  <c r="L1151" i="1"/>
  <c r="K1151" i="1"/>
  <c r="L1150" i="1"/>
  <c r="K1150" i="1"/>
  <c r="L1149" i="1"/>
  <c r="K1149" i="1"/>
  <c r="L1148" i="1"/>
  <c r="K1148" i="1"/>
  <c r="L1147" i="1"/>
  <c r="K1147" i="1"/>
  <c r="L1146" i="1"/>
  <c r="K1146" i="1"/>
  <c r="L1145" i="1"/>
  <c r="K1145" i="1"/>
  <c r="L1144" i="1"/>
  <c r="K1144" i="1"/>
  <c r="L1143" i="1"/>
  <c r="K1143" i="1"/>
  <c r="L1142" i="1"/>
  <c r="K1142" i="1"/>
  <c r="L1141" i="1"/>
  <c r="K1141" i="1"/>
  <c r="L1140" i="1"/>
  <c r="K1140" i="1"/>
  <c r="L1139" i="1"/>
  <c r="K1139" i="1"/>
  <c r="L1138" i="1"/>
  <c r="K1138" i="1"/>
  <c r="L1137" i="1"/>
  <c r="K1137" i="1"/>
  <c r="L1136" i="1"/>
  <c r="K1136" i="1"/>
  <c r="L1135" i="1"/>
  <c r="K1135" i="1"/>
  <c r="L1134" i="1"/>
  <c r="K1134" i="1"/>
  <c r="L1133" i="1"/>
  <c r="K1133" i="1"/>
  <c r="L1132" i="1"/>
  <c r="K1132" i="1"/>
  <c r="L1131" i="1"/>
  <c r="K1131" i="1"/>
  <c r="L1130" i="1"/>
  <c r="K1130" i="1"/>
  <c r="L1129" i="1"/>
  <c r="K1129" i="1"/>
  <c r="L1128" i="1"/>
  <c r="K1128" i="1"/>
  <c r="L1127" i="1"/>
  <c r="K1127" i="1"/>
  <c r="L1126" i="1"/>
  <c r="K1126" i="1"/>
  <c r="L1125" i="1"/>
  <c r="K1125" i="1"/>
  <c r="L1124" i="1"/>
  <c r="K1124" i="1"/>
  <c r="L1123" i="1"/>
  <c r="K1123" i="1"/>
  <c r="L1122" i="1"/>
  <c r="K1122" i="1"/>
  <c r="L1121" i="1"/>
  <c r="K1121" i="1"/>
  <c r="L1120" i="1"/>
  <c r="K1120" i="1"/>
  <c r="L1119" i="1"/>
  <c r="K1119" i="1"/>
  <c r="L1118" i="1"/>
  <c r="K1118" i="1"/>
  <c r="L1117" i="1"/>
  <c r="K1117" i="1"/>
  <c r="L1116" i="1"/>
  <c r="K1116" i="1"/>
  <c r="L1115" i="1"/>
  <c r="K1115" i="1"/>
  <c r="L1114" i="1"/>
  <c r="K1114" i="1"/>
  <c r="L1113" i="1"/>
  <c r="K1113" i="1"/>
  <c r="L1112" i="1"/>
  <c r="K1112" i="1"/>
  <c r="L1111" i="1"/>
  <c r="K1111" i="1"/>
  <c r="L1110" i="1"/>
  <c r="K1110" i="1"/>
  <c r="L1109" i="1"/>
  <c r="K1109" i="1"/>
  <c r="L1108" i="1"/>
  <c r="K1108" i="1"/>
  <c r="L1107" i="1"/>
  <c r="K1107" i="1"/>
  <c r="L1106" i="1"/>
  <c r="K1106" i="1"/>
  <c r="L1105" i="1"/>
  <c r="K1105" i="1"/>
  <c r="L1104" i="1"/>
  <c r="K1104" i="1"/>
  <c r="L1103" i="1"/>
  <c r="K1103" i="1"/>
  <c r="L1102" i="1"/>
  <c r="K1102" i="1"/>
  <c r="L1101" i="1"/>
  <c r="K1101" i="1"/>
  <c r="L1100" i="1"/>
  <c r="K1100" i="1"/>
  <c r="L1099" i="1"/>
  <c r="K1099" i="1"/>
  <c r="L1098" i="1"/>
  <c r="K1098" i="1"/>
  <c r="L1097" i="1"/>
  <c r="K1097" i="1"/>
  <c r="L1096" i="1"/>
  <c r="K1096" i="1"/>
  <c r="L1095" i="1"/>
  <c r="K1095" i="1"/>
  <c r="L1094" i="1"/>
  <c r="K1094" i="1"/>
  <c r="L1093" i="1"/>
  <c r="K1093" i="1"/>
  <c r="L1092" i="1"/>
  <c r="K1092" i="1"/>
  <c r="L1091" i="1"/>
  <c r="K1091" i="1"/>
  <c r="L1090" i="1"/>
  <c r="K1090" i="1"/>
  <c r="L1089" i="1"/>
  <c r="K1089" i="1"/>
  <c r="L1088" i="1"/>
  <c r="K1088" i="1"/>
  <c r="L1087" i="1"/>
  <c r="K1087" i="1"/>
  <c r="L1086" i="1"/>
  <c r="K1086" i="1"/>
  <c r="L1085" i="1"/>
  <c r="K1085" i="1"/>
  <c r="L1084" i="1"/>
  <c r="K1084" i="1"/>
  <c r="L1083" i="1"/>
  <c r="K1083" i="1"/>
  <c r="L1082" i="1"/>
  <c r="K1082" i="1"/>
  <c r="L1081" i="1"/>
  <c r="K1081" i="1"/>
  <c r="L1080" i="1"/>
  <c r="K1080" i="1"/>
  <c r="L1079" i="1"/>
  <c r="K1079" i="1"/>
  <c r="L1078" i="1"/>
  <c r="K1078" i="1"/>
  <c r="L1077" i="1"/>
  <c r="K1077" i="1"/>
  <c r="L1076" i="1"/>
  <c r="K1076" i="1"/>
  <c r="L1075" i="1"/>
  <c r="K1075" i="1"/>
  <c r="L1074" i="1"/>
  <c r="K1074" i="1"/>
  <c r="L1073" i="1"/>
  <c r="K1073" i="1"/>
  <c r="L1072" i="1"/>
  <c r="K1072" i="1"/>
  <c r="L1071" i="1"/>
  <c r="K1071" i="1"/>
  <c r="L1070" i="1"/>
  <c r="K1070" i="1"/>
  <c r="L1069" i="1"/>
  <c r="K1069" i="1"/>
  <c r="L1068" i="1"/>
  <c r="K1068" i="1"/>
  <c r="L1067" i="1"/>
  <c r="K1067" i="1"/>
  <c r="L1066" i="1"/>
  <c r="K1066" i="1"/>
  <c r="L1065" i="1"/>
  <c r="K1065" i="1"/>
  <c r="L1064" i="1"/>
  <c r="K1064" i="1"/>
  <c r="L1063" i="1"/>
  <c r="K1063" i="1"/>
  <c r="L1062" i="1"/>
  <c r="K1062" i="1"/>
  <c r="L1061" i="1"/>
  <c r="K1061" i="1"/>
  <c r="L1060" i="1"/>
  <c r="K1060" i="1"/>
  <c r="L1059" i="1"/>
  <c r="K1059" i="1"/>
  <c r="L1058" i="1"/>
  <c r="K1058" i="1"/>
  <c r="L1057" i="1"/>
  <c r="K1057" i="1"/>
  <c r="L1056" i="1"/>
  <c r="K1056" i="1"/>
  <c r="L1055" i="1"/>
  <c r="K1055" i="1"/>
  <c r="L1054" i="1"/>
  <c r="K1054" i="1"/>
  <c r="L1053" i="1"/>
  <c r="K1053" i="1"/>
  <c r="L1052" i="1"/>
  <c r="K1052" i="1"/>
  <c r="L1051" i="1"/>
  <c r="K1051" i="1"/>
  <c r="L1050" i="1"/>
  <c r="K1050" i="1"/>
  <c r="L1049" i="1"/>
  <c r="K1049" i="1"/>
  <c r="L1048" i="1"/>
  <c r="K1048" i="1"/>
  <c r="L1047" i="1"/>
  <c r="K1047" i="1"/>
  <c r="L1046" i="1"/>
  <c r="K1046" i="1"/>
  <c r="L1045" i="1"/>
  <c r="K1045" i="1"/>
  <c r="L1044" i="1"/>
  <c r="K1044" i="1"/>
  <c r="L1043" i="1"/>
  <c r="K1043" i="1"/>
  <c r="L1042" i="1"/>
  <c r="K1042" i="1"/>
  <c r="L1041" i="1"/>
  <c r="K1041" i="1"/>
  <c r="L1040" i="1"/>
  <c r="K1040" i="1"/>
  <c r="L1039" i="1"/>
  <c r="K1039" i="1"/>
  <c r="L1038" i="1"/>
  <c r="K1038" i="1"/>
  <c r="L1037" i="1"/>
  <c r="K1037" i="1"/>
  <c r="L1036" i="1"/>
  <c r="K1036" i="1"/>
  <c r="L1035" i="1"/>
  <c r="K1035" i="1"/>
  <c r="L1034" i="1"/>
  <c r="K1034" i="1"/>
  <c r="L1033" i="1"/>
  <c r="K1033" i="1"/>
  <c r="L1032" i="1"/>
  <c r="K1032" i="1"/>
  <c r="L1031" i="1"/>
  <c r="K1031" i="1"/>
  <c r="L1030" i="1"/>
  <c r="K1030" i="1"/>
  <c r="L1029" i="1"/>
  <c r="K1029" i="1"/>
  <c r="L1028" i="1"/>
  <c r="K1028" i="1"/>
  <c r="L1027" i="1"/>
  <c r="K1027" i="1"/>
  <c r="L1026" i="1"/>
  <c r="K1026" i="1"/>
  <c r="L1025" i="1"/>
  <c r="K1025" i="1"/>
  <c r="L1024" i="1"/>
  <c r="K1024" i="1"/>
  <c r="L1023" i="1"/>
  <c r="K1023" i="1"/>
  <c r="L1022" i="1"/>
  <c r="K1022" i="1"/>
  <c r="L1021" i="1"/>
  <c r="K1021" i="1"/>
  <c r="L1020" i="1"/>
  <c r="K1020" i="1"/>
  <c r="L1019" i="1"/>
  <c r="K1019" i="1"/>
  <c r="L1018" i="1"/>
  <c r="K1018" i="1"/>
  <c r="L1017" i="1"/>
  <c r="K1017" i="1"/>
  <c r="L1016" i="1"/>
  <c r="K1016" i="1"/>
  <c r="L1015" i="1"/>
  <c r="K1015" i="1"/>
  <c r="L1014" i="1"/>
  <c r="K1014" i="1"/>
  <c r="L1013" i="1"/>
  <c r="K1013" i="1"/>
  <c r="L1012" i="1"/>
  <c r="K1012" i="1"/>
  <c r="L1011" i="1"/>
  <c r="K1011" i="1"/>
  <c r="L1010" i="1"/>
  <c r="K1010" i="1"/>
  <c r="L1009" i="1"/>
  <c r="K1009" i="1"/>
  <c r="L1008" i="1"/>
  <c r="K1008" i="1"/>
  <c r="L1007" i="1"/>
  <c r="K1007" i="1"/>
  <c r="L1006" i="1"/>
  <c r="K1006" i="1"/>
  <c r="L1005" i="1"/>
  <c r="K1005" i="1"/>
  <c r="L1004" i="1"/>
  <c r="K1004" i="1"/>
  <c r="L1003" i="1"/>
  <c r="K1003" i="1"/>
  <c r="L1002" i="1"/>
  <c r="K1002" i="1"/>
  <c r="L1001" i="1"/>
  <c r="K1001" i="1"/>
  <c r="L1000" i="1"/>
  <c r="K1000" i="1"/>
  <c r="L999" i="1"/>
  <c r="K999" i="1"/>
  <c r="L998" i="1"/>
  <c r="K998" i="1"/>
  <c r="L997" i="1"/>
  <c r="K997" i="1"/>
  <c r="L996" i="1"/>
  <c r="K996" i="1"/>
  <c r="L995" i="1"/>
  <c r="K995" i="1"/>
  <c r="L994" i="1"/>
  <c r="K994" i="1"/>
  <c r="L993" i="1"/>
  <c r="K993" i="1"/>
  <c r="L992" i="1"/>
  <c r="K992" i="1"/>
  <c r="L991" i="1"/>
  <c r="K991" i="1"/>
  <c r="L990" i="1"/>
  <c r="K990" i="1"/>
  <c r="L989" i="1"/>
  <c r="K989" i="1"/>
  <c r="L988" i="1"/>
  <c r="K988" i="1"/>
  <c r="L987" i="1"/>
  <c r="K987" i="1"/>
  <c r="L986" i="1"/>
  <c r="K986" i="1"/>
  <c r="L985" i="1"/>
  <c r="K985" i="1"/>
  <c r="L984" i="1"/>
  <c r="K984" i="1"/>
  <c r="L983" i="1"/>
  <c r="K983" i="1"/>
  <c r="L982" i="1"/>
  <c r="K982" i="1"/>
  <c r="L981" i="1"/>
  <c r="K981" i="1"/>
  <c r="L980" i="1"/>
  <c r="K980" i="1"/>
  <c r="L979" i="1"/>
  <c r="K979" i="1"/>
  <c r="L978" i="1"/>
  <c r="K978" i="1"/>
  <c r="L977" i="1"/>
  <c r="K977" i="1"/>
  <c r="L976" i="1"/>
  <c r="K976" i="1"/>
  <c r="L975" i="1"/>
  <c r="K975" i="1"/>
  <c r="L974" i="1"/>
  <c r="K974" i="1"/>
  <c r="L973" i="1"/>
  <c r="K973" i="1"/>
  <c r="L972" i="1"/>
  <c r="K972" i="1"/>
  <c r="L971" i="1"/>
  <c r="K971" i="1"/>
  <c r="L970" i="1"/>
  <c r="K970" i="1"/>
  <c r="L969" i="1"/>
  <c r="K969" i="1"/>
  <c r="L968" i="1"/>
  <c r="K968" i="1"/>
  <c r="L967" i="1"/>
  <c r="K967" i="1"/>
  <c r="L966" i="1"/>
  <c r="K966" i="1"/>
  <c r="L965" i="1"/>
  <c r="K965" i="1"/>
  <c r="L964" i="1"/>
  <c r="K964" i="1"/>
  <c r="L963" i="1"/>
  <c r="K963" i="1"/>
  <c r="L962" i="1"/>
  <c r="K962" i="1"/>
  <c r="L961" i="1"/>
  <c r="K961" i="1"/>
  <c r="L960" i="1"/>
  <c r="K960" i="1"/>
  <c r="L959" i="1"/>
  <c r="K959" i="1"/>
  <c r="L958" i="1"/>
  <c r="K958" i="1"/>
  <c r="L957" i="1"/>
  <c r="K957" i="1"/>
  <c r="L956" i="1"/>
  <c r="K956" i="1"/>
  <c r="L955" i="1"/>
  <c r="K955" i="1"/>
  <c r="L954" i="1"/>
  <c r="K954" i="1"/>
  <c r="L953" i="1"/>
  <c r="K953" i="1"/>
  <c r="L952" i="1"/>
  <c r="K952" i="1"/>
  <c r="L951" i="1"/>
  <c r="K951" i="1"/>
  <c r="L950" i="1"/>
  <c r="K950" i="1"/>
  <c r="L949" i="1"/>
  <c r="K949" i="1"/>
  <c r="L948" i="1"/>
  <c r="K948" i="1"/>
  <c r="L947" i="1"/>
  <c r="K947" i="1"/>
  <c r="L946" i="1"/>
  <c r="K946" i="1"/>
  <c r="L945" i="1"/>
  <c r="K945" i="1"/>
  <c r="L944" i="1"/>
  <c r="K944" i="1"/>
  <c r="L943" i="1"/>
  <c r="K943" i="1"/>
  <c r="L942" i="1"/>
  <c r="K942" i="1"/>
  <c r="L941" i="1"/>
  <c r="K941" i="1"/>
  <c r="L940" i="1"/>
  <c r="K940" i="1"/>
  <c r="L939" i="1"/>
  <c r="K939" i="1"/>
  <c r="L938" i="1"/>
  <c r="K938" i="1"/>
  <c r="L937" i="1"/>
  <c r="K937" i="1"/>
  <c r="L936" i="1"/>
  <c r="K936" i="1"/>
  <c r="L935" i="1"/>
  <c r="K935" i="1"/>
  <c r="L934" i="1"/>
  <c r="K934" i="1"/>
  <c r="L933" i="1"/>
  <c r="K933" i="1"/>
  <c r="L932" i="1"/>
  <c r="K932" i="1"/>
  <c r="L931" i="1"/>
  <c r="K931" i="1"/>
  <c r="L930" i="1"/>
  <c r="K930" i="1"/>
  <c r="L929" i="1"/>
  <c r="K929" i="1"/>
  <c r="L928" i="1"/>
  <c r="K928" i="1"/>
  <c r="L927" i="1"/>
  <c r="K927" i="1"/>
  <c r="L926" i="1"/>
  <c r="K926" i="1"/>
  <c r="L925" i="1"/>
  <c r="K925" i="1"/>
  <c r="L924" i="1"/>
  <c r="K924" i="1"/>
  <c r="L923" i="1"/>
  <c r="K923" i="1"/>
  <c r="L922" i="1"/>
  <c r="K922" i="1"/>
  <c r="L921" i="1"/>
  <c r="K921" i="1"/>
  <c r="L920" i="1"/>
  <c r="K920" i="1"/>
  <c r="L919" i="1"/>
  <c r="K919" i="1"/>
  <c r="L918" i="1"/>
  <c r="K918" i="1"/>
  <c r="L917" i="1"/>
  <c r="K917" i="1"/>
  <c r="L916" i="1"/>
  <c r="K916" i="1"/>
  <c r="L915" i="1"/>
  <c r="K915" i="1"/>
  <c r="L914" i="1"/>
  <c r="K914" i="1"/>
  <c r="L913" i="1"/>
  <c r="K913" i="1"/>
  <c r="L912" i="1"/>
  <c r="K912" i="1"/>
  <c r="L911" i="1"/>
  <c r="K911" i="1"/>
  <c r="L910" i="1"/>
  <c r="K910" i="1"/>
  <c r="L909" i="1"/>
  <c r="K909" i="1"/>
  <c r="L908" i="1"/>
  <c r="K908" i="1"/>
  <c r="L907" i="1"/>
  <c r="K907" i="1"/>
  <c r="L906" i="1"/>
  <c r="K906" i="1"/>
  <c r="L905" i="1"/>
  <c r="K905" i="1"/>
  <c r="L904" i="1"/>
  <c r="K904" i="1"/>
  <c r="L903" i="1"/>
  <c r="K903" i="1"/>
  <c r="L902" i="1"/>
  <c r="K902" i="1"/>
  <c r="L901" i="1"/>
  <c r="K901" i="1"/>
  <c r="L900" i="1"/>
  <c r="K900" i="1"/>
  <c r="L899" i="1"/>
  <c r="K899" i="1"/>
  <c r="L898" i="1"/>
  <c r="K898" i="1"/>
  <c r="L897" i="1"/>
  <c r="K897" i="1"/>
  <c r="L896" i="1"/>
  <c r="K896" i="1"/>
  <c r="L895" i="1"/>
  <c r="K895" i="1"/>
  <c r="L894" i="1"/>
  <c r="K894" i="1"/>
  <c r="L893" i="1"/>
  <c r="K893" i="1"/>
  <c r="L892" i="1"/>
  <c r="K892" i="1"/>
  <c r="L891" i="1"/>
  <c r="K891" i="1"/>
  <c r="L890" i="1"/>
  <c r="K890" i="1"/>
  <c r="L889" i="1"/>
  <c r="K889" i="1"/>
  <c r="L888" i="1"/>
  <c r="K888" i="1"/>
  <c r="L887" i="1"/>
  <c r="K887" i="1"/>
  <c r="L886" i="1"/>
  <c r="K886" i="1"/>
  <c r="L885" i="1"/>
  <c r="K885" i="1"/>
  <c r="L884" i="1"/>
  <c r="K884" i="1"/>
  <c r="L883" i="1"/>
  <c r="K883" i="1"/>
  <c r="L882" i="1"/>
  <c r="K882" i="1"/>
  <c r="L881" i="1"/>
  <c r="K881" i="1"/>
  <c r="L880" i="1"/>
  <c r="K880" i="1"/>
  <c r="L879" i="1"/>
  <c r="K879" i="1"/>
  <c r="L878" i="1"/>
  <c r="K878" i="1"/>
  <c r="L877" i="1"/>
  <c r="K877" i="1"/>
  <c r="L876" i="1"/>
  <c r="K876" i="1"/>
  <c r="L875" i="1"/>
  <c r="K875" i="1"/>
  <c r="L874" i="1"/>
  <c r="K874" i="1"/>
  <c r="L873" i="1"/>
  <c r="K873" i="1"/>
  <c r="L872" i="1"/>
  <c r="K872" i="1"/>
  <c r="L871" i="1"/>
  <c r="K871" i="1"/>
  <c r="L870" i="1"/>
  <c r="K870" i="1"/>
  <c r="L869" i="1"/>
  <c r="K869" i="1"/>
  <c r="L868" i="1"/>
  <c r="K868" i="1"/>
  <c r="L867" i="1"/>
  <c r="K867" i="1"/>
  <c r="L866" i="1"/>
  <c r="K866" i="1"/>
  <c r="L865" i="1"/>
  <c r="K865" i="1"/>
  <c r="L864" i="1"/>
  <c r="K864" i="1"/>
  <c r="L863" i="1"/>
  <c r="K863" i="1"/>
  <c r="L862" i="1"/>
  <c r="K862" i="1"/>
  <c r="L861" i="1"/>
  <c r="K861" i="1"/>
  <c r="L860" i="1"/>
  <c r="K860" i="1"/>
  <c r="L859" i="1"/>
  <c r="K859" i="1"/>
  <c r="L858" i="1"/>
  <c r="K858" i="1"/>
  <c r="L857" i="1"/>
  <c r="K857" i="1"/>
  <c r="L856" i="1"/>
  <c r="K856" i="1"/>
  <c r="L855" i="1"/>
  <c r="K855" i="1"/>
  <c r="L854" i="1"/>
  <c r="K854" i="1"/>
  <c r="L853" i="1"/>
  <c r="K853" i="1"/>
  <c r="L852" i="1"/>
  <c r="K852" i="1"/>
  <c r="L851" i="1"/>
  <c r="K851" i="1"/>
  <c r="L850" i="1"/>
  <c r="K850" i="1"/>
  <c r="L849" i="1"/>
  <c r="K849" i="1"/>
  <c r="L848" i="1"/>
  <c r="K848" i="1"/>
  <c r="L847" i="1"/>
  <c r="K847" i="1"/>
  <c r="L846" i="1"/>
  <c r="K846" i="1"/>
  <c r="L845" i="1"/>
  <c r="K845" i="1"/>
  <c r="L844" i="1"/>
  <c r="K844" i="1"/>
  <c r="L843" i="1"/>
  <c r="K843" i="1"/>
  <c r="L842" i="1"/>
  <c r="K842" i="1"/>
  <c r="L841" i="1"/>
  <c r="K841" i="1"/>
  <c r="L840" i="1"/>
  <c r="K840" i="1"/>
  <c r="L839" i="1"/>
  <c r="K839" i="1"/>
  <c r="L838" i="1"/>
  <c r="K838" i="1"/>
  <c r="L837" i="1"/>
  <c r="K837" i="1"/>
  <c r="L836" i="1"/>
  <c r="K836" i="1"/>
  <c r="L835" i="1"/>
  <c r="K835" i="1"/>
  <c r="L834" i="1"/>
  <c r="K834" i="1"/>
  <c r="L833" i="1"/>
  <c r="K833" i="1"/>
  <c r="L832" i="1"/>
  <c r="K832" i="1"/>
  <c r="L831" i="1"/>
  <c r="K831" i="1"/>
  <c r="L830" i="1"/>
  <c r="K830" i="1"/>
  <c r="L829" i="1"/>
  <c r="K829" i="1"/>
  <c r="L828" i="1"/>
  <c r="K828" i="1"/>
  <c r="L827" i="1"/>
  <c r="K827" i="1"/>
  <c r="L826" i="1"/>
  <c r="K826" i="1"/>
  <c r="L825" i="1"/>
  <c r="K825" i="1"/>
  <c r="L824" i="1"/>
  <c r="K824" i="1"/>
  <c r="L823" i="1"/>
  <c r="K823" i="1"/>
  <c r="L822" i="1"/>
  <c r="K822" i="1"/>
  <c r="L821" i="1"/>
  <c r="K821" i="1"/>
  <c r="L820" i="1"/>
  <c r="K820" i="1"/>
  <c r="L819" i="1"/>
  <c r="K819" i="1"/>
  <c r="L818" i="1"/>
  <c r="K818" i="1"/>
  <c r="L817" i="1"/>
  <c r="K817" i="1"/>
  <c r="L816" i="1"/>
  <c r="K816" i="1"/>
  <c r="L815" i="1"/>
  <c r="K815" i="1"/>
  <c r="L814" i="1"/>
  <c r="K814" i="1"/>
  <c r="L813" i="1"/>
  <c r="K813" i="1"/>
  <c r="L812" i="1"/>
  <c r="K812" i="1"/>
  <c r="L811" i="1"/>
  <c r="K811" i="1"/>
  <c r="L810" i="1"/>
  <c r="K810" i="1"/>
  <c r="L809" i="1"/>
  <c r="K809" i="1"/>
  <c r="L808" i="1"/>
  <c r="K808" i="1"/>
  <c r="L807" i="1"/>
  <c r="K807" i="1"/>
  <c r="L806" i="1"/>
  <c r="K806" i="1"/>
  <c r="L805" i="1"/>
  <c r="K805" i="1"/>
  <c r="L804" i="1"/>
  <c r="K804" i="1"/>
  <c r="L803" i="1"/>
  <c r="K803" i="1"/>
  <c r="L802" i="1"/>
  <c r="K802" i="1"/>
  <c r="L801" i="1"/>
  <c r="K801" i="1"/>
  <c r="L800" i="1"/>
  <c r="K800" i="1"/>
  <c r="L799" i="1"/>
  <c r="K799" i="1"/>
  <c r="L798" i="1"/>
  <c r="K798" i="1"/>
  <c r="L797" i="1"/>
  <c r="K797" i="1"/>
  <c r="L796" i="1"/>
  <c r="K796" i="1"/>
  <c r="L795" i="1"/>
  <c r="K795" i="1"/>
  <c r="L794" i="1"/>
  <c r="K794" i="1"/>
  <c r="L793" i="1"/>
  <c r="K793" i="1"/>
  <c r="L792" i="1"/>
  <c r="K792" i="1"/>
  <c r="L791" i="1"/>
  <c r="K791" i="1"/>
  <c r="L790" i="1"/>
  <c r="K790" i="1"/>
  <c r="L789" i="1"/>
  <c r="K789" i="1"/>
  <c r="L788" i="1"/>
  <c r="K788" i="1"/>
  <c r="L787" i="1"/>
  <c r="K787" i="1"/>
  <c r="L786" i="1"/>
  <c r="K786" i="1"/>
  <c r="L785" i="1"/>
  <c r="K785" i="1"/>
  <c r="L784" i="1"/>
  <c r="K784" i="1"/>
  <c r="L783" i="1"/>
  <c r="K783" i="1"/>
  <c r="L782" i="1"/>
  <c r="K782" i="1"/>
  <c r="L781" i="1"/>
  <c r="K781" i="1"/>
  <c r="L780" i="1"/>
  <c r="K780" i="1"/>
  <c r="L779" i="1"/>
  <c r="K779" i="1"/>
  <c r="L778" i="1"/>
  <c r="K778" i="1"/>
  <c r="L777" i="1"/>
  <c r="K777" i="1"/>
  <c r="L776" i="1"/>
  <c r="K776" i="1"/>
  <c r="L775" i="1"/>
  <c r="K775" i="1"/>
  <c r="L774" i="1"/>
  <c r="K774" i="1"/>
  <c r="L773" i="1"/>
  <c r="K773" i="1"/>
  <c r="L772" i="1"/>
  <c r="K772" i="1"/>
  <c r="L771" i="1"/>
  <c r="K771" i="1"/>
  <c r="L770" i="1"/>
  <c r="K770" i="1"/>
  <c r="L769" i="1"/>
  <c r="K769" i="1"/>
  <c r="L768" i="1"/>
  <c r="K768" i="1"/>
  <c r="L767" i="1"/>
  <c r="K767" i="1"/>
  <c r="L766" i="1"/>
  <c r="K766" i="1"/>
  <c r="L765" i="1"/>
  <c r="K765" i="1"/>
  <c r="L764" i="1"/>
  <c r="K764" i="1"/>
  <c r="L763" i="1"/>
  <c r="K763" i="1"/>
  <c r="L762" i="1"/>
  <c r="K762" i="1"/>
  <c r="L761" i="1"/>
  <c r="K761" i="1"/>
  <c r="L760" i="1"/>
  <c r="K760" i="1"/>
  <c r="L759" i="1"/>
  <c r="K759" i="1"/>
  <c r="L758" i="1"/>
  <c r="K758" i="1"/>
  <c r="L757" i="1"/>
  <c r="K757" i="1"/>
  <c r="L756" i="1"/>
  <c r="K756" i="1"/>
  <c r="L755" i="1"/>
  <c r="K755" i="1"/>
  <c r="L754" i="1"/>
  <c r="K754" i="1"/>
  <c r="L753" i="1"/>
  <c r="K753" i="1"/>
  <c r="L752" i="1"/>
  <c r="K752" i="1"/>
  <c r="L751" i="1"/>
  <c r="K751" i="1"/>
  <c r="L750" i="1"/>
  <c r="K750" i="1"/>
  <c r="L749" i="1"/>
  <c r="K749" i="1"/>
  <c r="L748" i="1"/>
  <c r="K748" i="1"/>
  <c r="L747" i="1"/>
  <c r="K747" i="1"/>
  <c r="L746" i="1"/>
  <c r="K746" i="1"/>
  <c r="L745" i="1"/>
  <c r="K745" i="1"/>
  <c r="L744" i="1"/>
  <c r="K744" i="1"/>
  <c r="L743" i="1"/>
  <c r="K743" i="1"/>
  <c r="L742" i="1"/>
  <c r="K742" i="1"/>
  <c r="L741" i="1"/>
  <c r="K741" i="1"/>
  <c r="L740" i="1"/>
  <c r="K740" i="1"/>
  <c r="L739" i="1"/>
  <c r="K739" i="1"/>
  <c r="L738" i="1"/>
  <c r="K738" i="1"/>
  <c r="L737" i="1"/>
  <c r="K737" i="1"/>
  <c r="L736" i="1"/>
  <c r="K736" i="1"/>
  <c r="L735" i="1"/>
  <c r="K735" i="1"/>
  <c r="L734" i="1"/>
  <c r="K734" i="1"/>
  <c r="L733" i="1"/>
  <c r="K733" i="1"/>
  <c r="L732" i="1"/>
  <c r="K732" i="1"/>
  <c r="L731" i="1"/>
  <c r="K731" i="1"/>
  <c r="L730" i="1"/>
  <c r="K730" i="1"/>
  <c r="L729" i="1"/>
  <c r="K729" i="1"/>
  <c r="L728" i="1"/>
  <c r="K728" i="1"/>
  <c r="L727" i="1"/>
  <c r="K727" i="1"/>
  <c r="L726" i="1"/>
  <c r="K726" i="1"/>
  <c r="L725" i="1"/>
  <c r="K725" i="1"/>
  <c r="L724" i="1"/>
  <c r="K724" i="1"/>
  <c r="L723" i="1"/>
  <c r="K723" i="1"/>
  <c r="L722" i="1"/>
  <c r="K722" i="1"/>
  <c r="L721" i="1"/>
  <c r="K721" i="1"/>
  <c r="L720" i="1"/>
  <c r="K720" i="1"/>
  <c r="L719" i="1"/>
  <c r="K719" i="1"/>
  <c r="L718" i="1"/>
  <c r="K718" i="1"/>
  <c r="L717" i="1"/>
  <c r="K717" i="1"/>
  <c r="L716" i="1"/>
  <c r="K716" i="1"/>
  <c r="L715" i="1"/>
  <c r="K715" i="1"/>
  <c r="L714" i="1"/>
  <c r="K714" i="1"/>
  <c r="L713" i="1"/>
  <c r="K713" i="1"/>
  <c r="L712" i="1"/>
  <c r="K712" i="1"/>
  <c r="L711" i="1"/>
  <c r="K711" i="1"/>
  <c r="L710" i="1"/>
  <c r="K710" i="1"/>
  <c r="L709" i="1"/>
  <c r="K709" i="1"/>
  <c r="L708" i="1"/>
  <c r="K708" i="1"/>
  <c r="L707" i="1"/>
  <c r="K707" i="1"/>
  <c r="L706" i="1"/>
  <c r="K706" i="1"/>
  <c r="L705" i="1"/>
  <c r="K705" i="1"/>
  <c r="L704" i="1"/>
  <c r="K704" i="1"/>
  <c r="L703" i="1"/>
  <c r="K703" i="1"/>
  <c r="L702" i="1"/>
  <c r="K702" i="1"/>
  <c r="L701" i="1"/>
  <c r="K701" i="1"/>
  <c r="L700" i="1"/>
  <c r="K700" i="1"/>
  <c r="L699" i="1"/>
  <c r="K699" i="1"/>
  <c r="L698" i="1"/>
  <c r="K698" i="1"/>
  <c r="L697" i="1"/>
  <c r="K697" i="1"/>
  <c r="L696" i="1"/>
  <c r="K696" i="1"/>
  <c r="L695" i="1"/>
  <c r="K695" i="1"/>
  <c r="L694" i="1"/>
  <c r="K694" i="1"/>
  <c r="L693" i="1"/>
  <c r="K693" i="1"/>
  <c r="L692" i="1"/>
  <c r="K692" i="1"/>
  <c r="L691" i="1"/>
  <c r="K691" i="1"/>
  <c r="L690" i="1"/>
  <c r="K690" i="1"/>
  <c r="L689" i="1"/>
  <c r="K689" i="1"/>
  <c r="L688" i="1"/>
  <c r="K688" i="1"/>
  <c r="L687" i="1"/>
  <c r="K687" i="1"/>
  <c r="L686" i="1"/>
  <c r="K686" i="1"/>
  <c r="L685" i="1"/>
  <c r="K685" i="1"/>
  <c r="L684" i="1"/>
  <c r="K684" i="1"/>
  <c r="L683" i="1"/>
  <c r="K683" i="1"/>
  <c r="L682" i="1"/>
  <c r="K682" i="1"/>
  <c r="L681" i="1"/>
  <c r="K681" i="1"/>
  <c r="L680" i="1"/>
  <c r="K680" i="1"/>
  <c r="L679" i="1"/>
  <c r="K679" i="1"/>
  <c r="L678" i="1"/>
  <c r="K678" i="1"/>
  <c r="L677" i="1"/>
  <c r="K677" i="1"/>
  <c r="L676" i="1"/>
  <c r="K676" i="1"/>
  <c r="L675" i="1"/>
  <c r="K675" i="1"/>
  <c r="L674" i="1"/>
  <c r="K674" i="1"/>
  <c r="L673" i="1"/>
  <c r="K673" i="1"/>
  <c r="L672" i="1"/>
  <c r="K672" i="1"/>
  <c r="L671" i="1"/>
  <c r="K671" i="1"/>
  <c r="L670" i="1"/>
  <c r="K670" i="1"/>
  <c r="L669" i="1"/>
  <c r="K669" i="1"/>
  <c r="L668" i="1"/>
  <c r="K668" i="1"/>
  <c r="L667" i="1"/>
  <c r="K667" i="1"/>
  <c r="L666" i="1"/>
  <c r="K666" i="1"/>
  <c r="L665" i="1"/>
  <c r="K665" i="1"/>
  <c r="L664" i="1"/>
  <c r="K664" i="1"/>
  <c r="L663" i="1"/>
  <c r="K663" i="1"/>
  <c r="L662" i="1"/>
  <c r="K662" i="1"/>
  <c r="L661" i="1"/>
  <c r="K661" i="1"/>
  <c r="L660" i="1"/>
  <c r="K660" i="1"/>
  <c r="L659" i="1"/>
  <c r="K659" i="1"/>
  <c r="L658" i="1"/>
  <c r="K658" i="1"/>
  <c r="L657" i="1"/>
  <c r="K657" i="1"/>
  <c r="L656" i="1"/>
  <c r="K656" i="1"/>
  <c r="L655" i="1"/>
  <c r="K655" i="1"/>
  <c r="L654" i="1"/>
  <c r="K654" i="1"/>
  <c r="L653" i="1"/>
  <c r="K653" i="1"/>
  <c r="L652" i="1"/>
  <c r="K652" i="1"/>
  <c r="L651" i="1"/>
  <c r="K651" i="1"/>
  <c r="L650" i="1"/>
  <c r="K650" i="1"/>
  <c r="L649" i="1"/>
  <c r="K649" i="1"/>
  <c r="L648" i="1"/>
  <c r="K648" i="1"/>
  <c r="L647" i="1"/>
  <c r="K647" i="1"/>
  <c r="L646" i="1"/>
  <c r="K646" i="1"/>
  <c r="L645" i="1"/>
  <c r="K645" i="1"/>
  <c r="L644" i="1"/>
  <c r="K644" i="1"/>
  <c r="L643" i="1"/>
  <c r="K643" i="1"/>
  <c r="L642" i="1"/>
  <c r="K642" i="1"/>
  <c r="L641" i="1"/>
  <c r="K641" i="1"/>
  <c r="L640" i="1"/>
  <c r="K640" i="1"/>
  <c r="L639" i="1"/>
  <c r="K639" i="1"/>
  <c r="L638" i="1"/>
  <c r="K638" i="1"/>
  <c r="L637" i="1"/>
  <c r="K637" i="1"/>
  <c r="L636" i="1"/>
  <c r="K636" i="1"/>
  <c r="L635" i="1"/>
  <c r="K635" i="1"/>
  <c r="L634" i="1"/>
  <c r="K634" i="1"/>
  <c r="L633" i="1"/>
  <c r="K633" i="1"/>
  <c r="L632" i="1"/>
  <c r="K632" i="1"/>
  <c r="L631" i="1"/>
  <c r="K631" i="1"/>
  <c r="L630" i="1"/>
  <c r="K630" i="1"/>
  <c r="L629" i="1"/>
  <c r="K629" i="1"/>
  <c r="L628" i="1"/>
  <c r="K628" i="1"/>
  <c r="L627" i="1"/>
  <c r="K627" i="1"/>
  <c r="L626" i="1"/>
  <c r="K626" i="1"/>
  <c r="L625" i="1"/>
  <c r="K625" i="1"/>
  <c r="L624" i="1"/>
  <c r="K624" i="1"/>
  <c r="L623" i="1"/>
  <c r="K623" i="1"/>
  <c r="L622" i="1"/>
  <c r="K622" i="1"/>
  <c r="L621" i="1"/>
  <c r="K621" i="1"/>
  <c r="L620" i="1"/>
  <c r="K620" i="1"/>
  <c r="L619" i="1"/>
  <c r="K619" i="1"/>
  <c r="L618" i="1"/>
  <c r="K618" i="1"/>
  <c r="L617" i="1"/>
  <c r="K617" i="1"/>
  <c r="L616" i="1"/>
  <c r="K616" i="1"/>
  <c r="L615" i="1"/>
  <c r="K615" i="1"/>
  <c r="L614" i="1"/>
  <c r="K614" i="1"/>
  <c r="L613" i="1"/>
  <c r="K613" i="1"/>
  <c r="L612" i="1"/>
  <c r="K612" i="1"/>
  <c r="L611" i="1"/>
  <c r="K611" i="1"/>
  <c r="L610" i="1"/>
  <c r="K610" i="1"/>
  <c r="L609" i="1"/>
  <c r="K609" i="1"/>
  <c r="L608" i="1"/>
  <c r="K608" i="1"/>
  <c r="L607" i="1"/>
  <c r="K607" i="1"/>
  <c r="L606" i="1"/>
  <c r="K606" i="1"/>
  <c r="L605" i="1"/>
  <c r="K605" i="1"/>
  <c r="L604" i="1"/>
  <c r="K604" i="1"/>
  <c r="L603" i="1"/>
  <c r="K603" i="1"/>
  <c r="L602" i="1"/>
  <c r="K602" i="1"/>
  <c r="L601" i="1"/>
  <c r="K601" i="1"/>
  <c r="L600" i="1"/>
  <c r="K600" i="1"/>
  <c r="L599" i="1"/>
  <c r="K599" i="1"/>
  <c r="L598" i="1"/>
  <c r="K598" i="1"/>
  <c r="L597" i="1"/>
  <c r="K597" i="1"/>
  <c r="L596" i="1"/>
  <c r="K596" i="1"/>
  <c r="L595" i="1"/>
  <c r="K595" i="1"/>
  <c r="L594" i="1"/>
  <c r="K594" i="1"/>
  <c r="L593" i="1"/>
  <c r="K593" i="1"/>
  <c r="L592" i="1"/>
  <c r="K592" i="1"/>
  <c r="L591" i="1"/>
  <c r="K591" i="1"/>
  <c r="L590" i="1"/>
  <c r="K590" i="1"/>
  <c r="L589" i="1"/>
  <c r="K589" i="1"/>
  <c r="L588" i="1"/>
  <c r="K588" i="1"/>
  <c r="L587" i="1"/>
  <c r="K587" i="1"/>
  <c r="L586" i="1"/>
  <c r="K586" i="1"/>
  <c r="L585" i="1"/>
  <c r="K585" i="1"/>
  <c r="L584" i="1"/>
  <c r="K584" i="1"/>
  <c r="L583" i="1"/>
  <c r="K583" i="1"/>
  <c r="L582" i="1"/>
  <c r="K582" i="1"/>
  <c r="L581" i="1"/>
  <c r="K581" i="1"/>
  <c r="L580" i="1"/>
  <c r="K580" i="1"/>
  <c r="L579" i="1"/>
  <c r="K579" i="1"/>
  <c r="L578" i="1"/>
  <c r="K578" i="1"/>
  <c r="L577" i="1"/>
  <c r="K577" i="1"/>
  <c r="L576" i="1"/>
  <c r="K576" i="1"/>
  <c r="L575" i="1"/>
  <c r="K575" i="1"/>
  <c r="L574" i="1"/>
  <c r="K574" i="1"/>
  <c r="L573" i="1"/>
  <c r="K573" i="1"/>
  <c r="L572" i="1"/>
  <c r="K572" i="1"/>
  <c r="L571" i="1"/>
  <c r="K571" i="1"/>
  <c r="L570" i="1"/>
  <c r="K570" i="1"/>
  <c r="L569" i="1"/>
  <c r="K569" i="1"/>
  <c r="L568" i="1"/>
  <c r="K568" i="1"/>
  <c r="L567" i="1"/>
  <c r="K567" i="1"/>
  <c r="L566" i="1"/>
  <c r="K566" i="1"/>
  <c r="L565" i="1"/>
  <c r="K565" i="1"/>
  <c r="L564" i="1"/>
  <c r="K564" i="1"/>
  <c r="L563" i="1"/>
  <c r="K563" i="1"/>
  <c r="L562" i="1"/>
  <c r="K562" i="1"/>
  <c r="L561" i="1"/>
  <c r="K561" i="1"/>
  <c r="L560" i="1"/>
  <c r="K560" i="1"/>
  <c r="L559" i="1"/>
  <c r="K559" i="1"/>
  <c r="L558" i="1"/>
  <c r="K558" i="1"/>
  <c r="L557" i="1"/>
  <c r="K557" i="1"/>
  <c r="L556" i="1"/>
  <c r="K556" i="1"/>
  <c r="L555" i="1"/>
  <c r="K555" i="1"/>
  <c r="L554" i="1"/>
  <c r="K554" i="1"/>
  <c r="L553" i="1"/>
  <c r="K553" i="1"/>
  <c r="L552" i="1"/>
  <c r="K552" i="1"/>
  <c r="L551" i="1"/>
  <c r="K551" i="1"/>
  <c r="L550" i="1"/>
  <c r="K550" i="1"/>
  <c r="L549" i="1"/>
  <c r="K549" i="1"/>
  <c r="L548" i="1"/>
  <c r="K548" i="1"/>
  <c r="L547" i="1"/>
  <c r="K547" i="1"/>
  <c r="L546" i="1"/>
  <c r="K546" i="1"/>
  <c r="L545" i="1"/>
  <c r="K545" i="1"/>
  <c r="L544" i="1"/>
  <c r="K544" i="1"/>
  <c r="L543" i="1"/>
  <c r="K543" i="1"/>
  <c r="L542" i="1"/>
  <c r="K542" i="1"/>
  <c r="L541" i="1"/>
  <c r="K541" i="1"/>
  <c r="L540" i="1"/>
  <c r="K540" i="1"/>
  <c r="L539" i="1"/>
  <c r="K539" i="1"/>
  <c r="L538" i="1"/>
  <c r="K538" i="1"/>
  <c r="L537" i="1"/>
  <c r="K537" i="1"/>
  <c r="L536" i="1"/>
  <c r="K536" i="1"/>
  <c r="L535" i="1"/>
  <c r="K535" i="1"/>
  <c r="L534" i="1"/>
  <c r="K534" i="1"/>
  <c r="L533" i="1"/>
  <c r="K533" i="1"/>
  <c r="L532" i="1"/>
  <c r="K532" i="1"/>
  <c r="L531" i="1"/>
  <c r="K531" i="1"/>
  <c r="L530" i="1"/>
  <c r="K530" i="1"/>
  <c r="L529" i="1"/>
  <c r="K529" i="1"/>
  <c r="L528" i="1"/>
  <c r="K528" i="1"/>
  <c r="L527" i="1"/>
  <c r="K527" i="1"/>
  <c r="L526" i="1"/>
  <c r="K526" i="1"/>
  <c r="L525" i="1"/>
  <c r="K525" i="1"/>
  <c r="L524" i="1"/>
  <c r="K524" i="1"/>
  <c r="L523" i="1"/>
  <c r="K523" i="1"/>
  <c r="L522" i="1"/>
  <c r="K522" i="1"/>
  <c r="L521" i="1"/>
  <c r="K521" i="1"/>
  <c r="L520" i="1"/>
  <c r="K520" i="1"/>
  <c r="L519" i="1"/>
  <c r="K519" i="1"/>
  <c r="L518" i="1"/>
  <c r="K518" i="1"/>
  <c r="L517" i="1"/>
  <c r="K517" i="1"/>
  <c r="L516" i="1"/>
  <c r="K516" i="1"/>
  <c r="L515" i="1"/>
  <c r="K515" i="1"/>
  <c r="L514" i="1"/>
  <c r="K514" i="1"/>
  <c r="L513" i="1"/>
  <c r="K513" i="1"/>
  <c r="L512" i="1"/>
  <c r="K512" i="1"/>
  <c r="L511" i="1"/>
  <c r="K511" i="1"/>
  <c r="L510" i="1"/>
  <c r="K510" i="1"/>
  <c r="L509" i="1"/>
  <c r="K509" i="1"/>
  <c r="L508" i="1"/>
  <c r="K508" i="1"/>
  <c r="L507" i="1"/>
  <c r="K507" i="1"/>
  <c r="L506" i="1"/>
  <c r="K506" i="1"/>
  <c r="L505" i="1"/>
  <c r="K505" i="1"/>
  <c r="L504" i="1"/>
  <c r="K504" i="1"/>
  <c r="L503" i="1"/>
  <c r="K503" i="1"/>
  <c r="L502" i="1"/>
  <c r="K502" i="1"/>
  <c r="L501" i="1"/>
  <c r="K501" i="1"/>
  <c r="L500" i="1"/>
  <c r="K500" i="1"/>
  <c r="L499" i="1"/>
  <c r="K499" i="1"/>
  <c r="L498" i="1"/>
  <c r="K498" i="1"/>
  <c r="L497" i="1"/>
  <c r="K497" i="1"/>
  <c r="L496" i="1"/>
  <c r="K496" i="1"/>
  <c r="L495" i="1"/>
  <c r="K495" i="1"/>
  <c r="L494" i="1"/>
  <c r="K494" i="1"/>
  <c r="L493" i="1"/>
  <c r="K493" i="1"/>
  <c r="L492" i="1"/>
  <c r="K492" i="1"/>
  <c r="L491" i="1"/>
  <c r="K491" i="1"/>
  <c r="L490" i="1"/>
  <c r="K490" i="1"/>
  <c r="L489" i="1"/>
  <c r="K489" i="1"/>
  <c r="L488" i="1"/>
  <c r="K488" i="1"/>
  <c r="L487" i="1"/>
  <c r="K487" i="1"/>
  <c r="L486" i="1"/>
  <c r="K486" i="1"/>
  <c r="L485" i="1"/>
  <c r="K485" i="1"/>
  <c r="L484" i="1"/>
  <c r="K484" i="1"/>
  <c r="L483" i="1"/>
  <c r="K483" i="1"/>
  <c r="L482" i="1"/>
  <c r="K482" i="1"/>
  <c r="L481" i="1"/>
  <c r="K481" i="1"/>
  <c r="L480" i="1"/>
  <c r="K480" i="1"/>
  <c r="L479" i="1"/>
  <c r="K479" i="1"/>
  <c r="L478" i="1"/>
  <c r="K478" i="1"/>
  <c r="L477" i="1"/>
  <c r="K477" i="1"/>
  <c r="L476" i="1"/>
  <c r="K476" i="1"/>
  <c r="L475" i="1"/>
  <c r="K475" i="1"/>
  <c r="L474" i="1"/>
  <c r="K474" i="1"/>
  <c r="L473" i="1"/>
  <c r="K473" i="1"/>
  <c r="L472" i="1"/>
  <c r="K472" i="1"/>
  <c r="L471" i="1"/>
  <c r="K471" i="1"/>
  <c r="L470" i="1"/>
  <c r="K470" i="1"/>
  <c r="L469" i="1"/>
  <c r="K469" i="1"/>
  <c r="L468" i="1"/>
  <c r="K468" i="1"/>
  <c r="L467" i="1"/>
  <c r="K467" i="1"/>
  <c r="L466" i="1"/>
  <c r="K466" i="1"/>
  <c r="L465" i="1"/>
  <c r="K465" i="1"/>
  <c r="L464" i="1"/>
  <c r="K464" i="1"/>
  <c r="L463" i="1"/>
  <c r="K463" i="1"/>
  <c r="L462" i="1"/>
  <c r="K462" i="1"/>
  <c r="L461" i="1"/>
  <c r="K461" i="1"/>
  <c r="L460" i="1"/>
  <c r="K460" i="1"/>
  <c r="L459" i="1"/>
  <c r="K459" i="1"/>
  <c r="L458" i="1"/>
  <c r="K458" i="1"/>
  <c r="L457" i="1"/>
  <c r="K457" i="1"/>
  <c r="L456" i="1"/>
  <c r="K456" i="1"/>
  <c r="L455" i="1"/>
  <c r="K455" i="1"/>
  <c r="L454" i="1"/>
  <c r="K454" i="1"/>
  <c r="L453" i="1"/>
  <c r="K453" i="1"/>
  <c r="L452" i="1"/>
  <c r="K452" i="1"/>
  <c r="L451" i="1"/>
  <c r="K451" i="1"/>
  <c r="L450" i="1"/>
  <c r="K450" i="1"/>
  <c r="L449" i="1"/>
  <c r="K449" i="1"/>
  <c r="L448" i="1"/>
  <c r="K448" i="1"/>
  <c r="L447" i="1"/>
  <c r="K447" i="1"/>
  <c r="L446" i="1"/>
  <c r="K446" i="1"/>
  <c r="L445" i="1"/>
  <c r="K445" i="1"/>
  <c r="L444" i="1"/>
  <c r="K444" i="1"/>
  <c r="L443" i="1"/>
  <c r="K443" i="1"/>
  <c r="L442" i="1"/>
  <c r="K442" i="1"/>
  <c r="L441" i="1"/>
  <c r="K441" i="1"/>
  <c r="L440" i="1"/>
  <c r="K440" i="1"/>
  <c r="L439" i="1"/>
  <c r="K439" i="1"/>
  <c r="L438" i="1"/>
  <c r="K438" i="1"/>
  <c r="L437" i="1"/>
  <c r="K437" i="1"/>
  <c r="L436" i="1"/>
  <c r="K436" i="1"/>
  <c r="L435" i="1"/>
  <c r="K435" i="1"/>
  <c r="L434" i="1"/>
  <c r="K434" i="1"/>
  <c r="L433" i="1"/>
  <c r="K433" i="1"/>
  <c r="L432" i="1"/>
  <c r="K432" i="1"/>
  <c r="L431" i="1"/>
  <c r="K431" i="1"/>
  <c r="L430" i="1"/>
  <c r="K430" i="1"/>
  <c r="L429" i="1"/>
  <c r="K429" i="1"/>
  <c r="L428" i="1"/>
  <c r="K428" i="1"/>
  <c r="L427" i="1"/>
  <c r="K427" i="1"/>
  <c r="L426" i="1"/>
  <c r="K426" i="1"/>
  <c r="L425" i="1"/>
  <c r="K425" i="1"/>
  <c r="L424" i="1"/>
  <c r="K424" i="1"/>
  <c r="L423" i="1"/>
  <c r="K423" i="1"/>
  <c r="L422" i="1"/>
  <c r="K422" i="1"/>
  <c r="L421" i="1"/>
  <c r="K421" i="1"/>
  <c r="L420" i="1"/>
  <c r="K420" i="1"/>
  <c r="L419" i="1"/>
  <c r="K419" i="1"/>
  <c r="L418" i="1"/>
  <c r="K418" i="1"/>
  <c r="L417" i="1"/>
  <c r="K417" i="1"/>
  <c r="L416" i="1"/>
  <c r="K416" i="1"/>
  <c r="L415" i="1"/>
  <c r="K415" i="1"/>
  <c r="L414" i="1"/>
  <c r="K414" i="1"/>
  <c r="L413" i="1"/>
  <c r="K413" i="1"/>
  <c r="L412" i="1"/>
  <c r="K412" i="1"/>
  <c r="L411" i="1"/>
  <c r="K411" i="1"/>
  <c r="L410" i="1"/>
  <c r="K410" i="1"/>
  <c r="L409" i="1"/>
  <c r="K409" i="1"/>
  <c r="L408" i="1"/>
  <c r="K408" i="1"/>
  <c r="L407" i="1"/>
  <c r="K407" i="1"/>
  <c r="L406" i="1"/>
  <c r="K406" i="1"/>
  <c r="L405" i="1"/>
  <c r="K405" i="1"/>
  <c r="L404" i="1"/>
  <c r="K404" i="1"/>
  <c r="L403" i="1"/>
  <c r="K403" i="1"/>
  <c r="L402" i="1"/>
  <c r="K402" i="1"/>
  <c r="L401" i="1"/>
  <c r="K401" i="1"/>
  <c r="L400" i="1"/>
  <c r="K400" i="1"/>
  <c r="L399" i="1"/>
  <c r="K399" i="1"/>
  <c r="L398" i="1"/>
  <c r="K398" i="1"/>
  <c r="L397" i="1"/>
  <c r="K397" i="1"/>
  <c r="L396" i="1"/>
  <c r="K396" i="1"/>
  <c r="L395" i="1"/>
  <c r="K395" i="1"/>
  <c r="L394" i="1"/>
  <c r="K394" i="1"/>
  <c r="L393" i="1"/>
  <c r="K393" i="1"/>
  <c r="L392" i="1"/>
  <c r="K392" i="1"/>
  <c r="L391" i="1"/>
  <c r="K391" i="1"/>
  <c r="L390" i="1"/>
  <c r="K390" i="1"/>
  <c r="L389" i="1"/>
  <c r="K389" i="1"/>
  <c r="L388" i="1"/>
  <c r="K388" i="1"/>
  <c r="L387" i="1"/>
  <c r="K387" i="1"/>
  <c r="L386" i="1"/>
  <c r="K386" i="1"/>
  <c r="L385" i="1"/>
  <c r="K385" i="1"/>
  <c r="L384" i="1"/>
  <c r="K384" i="1"/>
  <c r="L383" i="1"/>
  <c r="K383" i="1"/>
  <c r="L382" i="1"/>
  <c r="K382" i="1"/>
  <c r="L381" i="1"/>
  <c r="K381" i="1"/>
  <c r="L380" i="1"/>
  <c r="K380" i="1"/>
  <c r="L379" i="1"/>
  <c r="K379" i="1"/>
  <c r="L378" i="1"/>
  <c r="K378" i="1"/>
  <c r="L377" i="1"/>
  <c r="K377" i="1"/>
  <c r="L376" i="1"/>
  <c r="K376" i="1"/>
  <c r="L375" i="1"/>
  <c r="K375" i="1"/>
  <c r="L374" i="1"/>
  <c r="K374" i="1"/>
  <c r="L373" i="1"/>
  <c r="K373" i="1"/>
  <c r="L372" i="1"/>
  <c r="K372" i="1"/>
  <c r="L371" i="1"/>
  <c r="K371" i="1"/>
  <c r="L370" i="1"/>
  <c r="K370" i="1"/>
  <c r="L369" i="1"/>
  <c r="K369" i="1"/>
  <c r="L368" i="1"/>
  <c r="K368" i="1"/>
  <c r="L367" i="1"/>
  <c r="K367" i="1"/>
  <c r="L366" i="1"/>
  <c r="K366" i="1"/>
  <c r="L365" i="1"/>
  <c r="K365" i="1"/>
  <c r="L364" i="1"/>
  <c r="K364" i="1"/>
  <c r="L363" i="1"/>
  <c r="K363" i="1"/>
  <c r="L362" i="1"/>
  <c r="K362" i="1"/>
  <c r="L361" i="1"/>
  <c r="K361" i="1"/>
  <c r="L360" i="1"/>
  <c r="K360" i="1"/>
  <c r="L359" i="1"/>
  <c r="K359" i="1"/>
  <c r="L358" i="1"/>
  <c r="K358" i="1"/>
  <c r="L357" i="1"/>
  <c r="K357" i="1"/>
  <c r="L356" i="1"/>
  <c r="K356" i="1"/>
  <c r="L355" i="1"/>
  <c r="K355" i="1"/>
  <c r="L354" i="1"/>
  <c r="K354" i="1"/>
  <c r="L353" i="1"/>
  <c r="K353" i="1"/>
  <c r="L352" i="1"/>
  <c r="K352" i="1"/>
  <c r="L351" i="1"/>
  <c r="K351" i="1"/>
  <c r="L350" i="1"/>
  <c r="K350" i="1"/>
  <c r="L349" i="1"/>
  <c r="K349" i="1"/>
  <c r="L348" i="1"/>
  <c r="K348" i="1"/>
  <c r="L347" i="1"/>
  <c r="K347" i="1"/>
  <c r="L346" i="1"/>
  <c r="K346" i="1"/>
  <c r="L345" i="1"/>
  <c r="K345" i="1"/>
  <c r="L344" i="1"/>
  <c r="K344" i="1"/>
  <c r="L343" i="1"/>
  <c r="K343" i="1"/>
  <c r="L342" i="1"/>
  <c r="K342" i="1"/>
  <c r="L341" i="1"/>
  <c r="K341" i="1"/>
  <c r="L340" i="1"/>
  <c r="K340" i="1"/>
  <c r="L339" i="1"/>
  <c r="K339" i="1"/>
  <c r="L338" i="1"/>
  <c r="K338" i="1"/>
  <c r="L337" i="1"/>
  <c r="K337" i="1"/>
  <c r="L336" i="1"/>
  <c r="K336" i="1"/>
  <c r="L335" i="1"/>
  <c r="K335" i="1"/>
  <c r="L334" i="1"/>
  <c r="K334" i="1"/>
  <c r="L333" i="1"/>
  <c r="K333" i="1"/>
  <c r="L332" i="1"/>
  <c r="K332" i="1"/>
  <c r="L331" i="1"/>
  <c r="K331" i="1"/>
  <c r="L330" i="1"/>
  <c r="K330" i="1"/>
  <c r="L329" i="1"/>
  <c r="K329" i="1"/>
  <c r="L328" i="1"/>
  <c r="K328" i="1"/>
  <c r="L327" i="1"/>
  <c r="K327" i="1"/>
  <c r="L326" i="1"/>
  <c r="K326" i="1"/>
  <c r="L325" i="1"/>
  <c r="K325" i="1"/>
  <c r="L324" i="1"/>
  <c r="K324" i="1"/>
  <c r="L323" i="1"/>
  <c r="K323" i="1"/>
  <c r="L322" i="1"/>
  <c r="K322" i="1"/>
  <c r="L321" i="1"/>
  <c r="K321" i="1"/>
  <c r="L320" i="1"/>
  <c r="K320" i="1"/>
  <c r="L319" i="1"/>
  <c r="K319" i="1"/>
  <c r="L318" i="1"/>
  <c r="K318" i="1"/>
  <c r="L317" i="1"/>
  <c r="K317" i="1"/>
  <c r="L316" i="1"/>
  <c r="K316" i="1"/>
  <c r="L315" i="1"/>
  <c r="K315" i="1"/>
  <c r="L314" i="1"/>
  <c r="K314" i="1"/>
  <c r="L313" i="1"/>
  <c r="K313" i="1"/>
  <c r="L312" i="1"/>
  <c r="K312" i="1"/>
  <c r="L311" i="1"/>
  <c r="K311" i="1"/>
  <c r="L310" i="1"/>
  <c r="K310" i="1"/>
  <c r="L309" i="1"/>
  <c r="K309" i="1"/>
  <c r="L308" i="1"/>
  <c r="K308" i="1"/>
  <c r="L307" i="1"/>
  <c r="K307" i="1"/>
  <c r="L306" i="1"/>
  <c r="K306" i="1"/>
  <c r="L305" i="1"/>
  <c r="K305" i="1"/>
  <c r="L304" i="1"/>
  <c r="K304" i="1"/>
  <c r="L303" i="1"/>
  <c r="K303" i="1"/>
  <c r="L302" i="1"/>
  <c r="K302" i="1"/>
  <c r="L301" i="1"/>
  <c r="K301" i="1"/>
  <c r="L300" i="1"/>
  <c r="K300" i="1"/>
  <c r="L299" i="1"/>
  <c r="K299" i="1"/>
  <c r="L298" i="1"/>
  <c r="K298" i="1"/>
  <c r="L297" i="1"/>
  <c r="K297" i="1"/>
  <c r="L296" i="1"/>
  <c r="K296" i="1"/>
  <c r="L295" i="1"/>
  <c r="K295" i="1"/>
  <c r="L294" i="1"/>
  <c r="K294" i="1"/>
  <c r="L293" i="1"/>
  <c r="K293" i="1"/>
  <c r="L292" i="1"/>
  <c r="K292" i="1"/>
  <c r="L291" i="1"/>
  <c r="K291" i="1"/>
  <c r="L290" i="1"/>
  <c r="K290" i="1"/>
  <c r="L289" i="1"/>
  <c r="K289" i="1"/>
  <c r="L288" i="1"/>
  <c r="K288" i="1"/>
  <c r="L287" i="1"/>
  <c r="K287" i="1"/>
  <c r="L286" i="1"/>
  <c r="K286" i="1"/>
  <c r="L285" i="1"/>
  <c r="K285" i="1"/>
  <c r="L284" i="1"/>
  <c r="K284" i="1"/>
  <c r="L283" i="1"/>
  <c r="K283" i="1"/>
  <c r="L282" i="1"/>
  <c r="K282" i="1"/>
  <c r="L281" i="1"/>
  <c r="K281" i="1"/>
  <c r="L280" i="1"/>
  <c r="K280" i="1"/>
  <c r="L279" i="1"/>
  <c r="K279" i="1"/>
  <c r="L278" i="1"/>
  <c r="K278" i="1"/>
  <c r="L277" i="1"/>
  <c r="K277" i="1"/>
  <c r="L276" i="1"/>
  <c r="K276" i="1"/>
  <c r="L275" i="1"/>
  <c r="K275" i="1"/>
  <c r="L274" i="1"/>
  <c r="K274" i="1"/>
  <c r="L273" i="1"/>
  <c r="K273" i="1"/>
  <c r="L272" i="1"/>
  <c r="K272" i="1"/>
  <c r="L271" i="1"/>
  <c r="K271" i="1"/>
  <c r="L270" i="1"/>
  <c r="K270" i="1"/>
  <c r="L269" i="1"/>
  <c r="K269" i="1"/>
  <c r="L268" i="1"/>
  <c r="K268" i="1"/>
  <c r="L267" i="1"/>
  <c r="K267" i="1"/>
  <c r="L266" i="1"/>
  <c r="K266" i="1"/>
  <c r="L265" i="1"/>
  <c r="K265" i="1"/>
  <c r="L264" i="1"/>
  <c r="K264" i="1"/>
  <c r="L263" i="1"/>
  <c r="K263" i="1"/>
  <c r="L262" i="1"/>
  <c r="K262" i="1"/>
  <c r="L261" i="1"/>
  <c r="K261" i="1"/>
  <c r="L260" i="1"/>
  <c r="K260" i="1"/>
  <c r="L259" i="1"/>
  <c r="K259" i="1"/>
  <c r="L258" i="1"/>
  <c r="K258" i="1"/>
  <c r="L257" i="1"/>
  <c r="K257" i="1"/>
  <c r="L256" i="1"/>
  <c r="K256" i="1"/>
  <c r="L255" i="1"/>
  <c r="K255" i="1"/>
  <c r="L254" i="1"/>
  <c r="K254" i="1"/>
  <c r="L253" i="1"/>
  <c r="K253" i="1"/>
  <c r="L252" i="1"/>
  <c r="K252" i="1"/>
  <c r="L251" i="1"/>
  <c r="K251" i="1"/>
  <c r="L250" i="1"/>
  <c r="K250" i="1"/>
  <c r="L249" i="1"/>
  <c r="K249" i="1"/>
  <c r="L248" i="1"/>
  <c r="K248" i="1"/>
  <c r="L247" i="1"/>
  <c r="K247" i="1"/>
  <c r="L246" i="1"/>
  <c r="K246" i="1"/>
  <c r="L245" i="1"/>
  <c r="K245" i="1"/>
  <c r="L244" i="1"/>
  <c r="K244" i="1"/>
  <c r="L243" i="1"/>
  <c r="K243" i="1"/>
  <c r="L242" i="1"/>
  <c r="K242" i="1"/>
  <c r="L241" i="1"/>
  <c r="K241" i="1"/>
  <c r="L240" i="1"/>
  <c r="K240" i="1"/>
  <c r="L239" i="1"/>
  <c r="K239" i="1"/>
  <c r="L238" i="1"/>
  <c r="K238" i="1"/>
  <c r="L237" i="1"/>
  <c r="K237" i="1"/>
  <c r="L236" i="1"/>
  <c r="K236" i="1"/>
  <c r="L235" i="1"/>
  <c r="K235" i="1"/>
  <c r="L234" i="1"/>
  <c r="K234" i="1"/>
  <c r="L233" i="1"/>
  <c r="K233" i="1"/>
  <c r="L232" i="1"/>
  <c r="K232" i="1"/>
  <c r="L231" i="1"/>
  <c r="K231" i="1"/>
  <c r="L230" i="1"/>
  <c r="K230" i="1"/>
  <c r="L229" i="1"/>
  <c r="K229" i="1"/>
  <c r="L228" i="1"/>
  <c r="K228" i="1"/>
  <c r="L227" i="1"/>
  <c r="K227" i="1"/>
  <c r="L226" i="1"/>
  <c r="K226" i="1"/>
  <c r="L225" i="1"/>
  <c r="K225" i="1"/>
  <c r="L224" i="1"/>
  <c r="K224" i="1"/>
  <c r="L223" i="1"/>
  <c r="K223" i="1"/>
  <c r="L222" i="1"/>
  <c r="K222" i="1"/>
  <c r="L221" i="1"/>
  <c r="K221" i="1"/>
  <c r="L220" i="1"/>
  <c r="K220" i="1"/>
  <c r="L219" i="1"/>
  <c r="K219" i="1"/>
  <c r="L218" i="1"/>
  <c r="K218" i="1"/>
  <c r="L217" i="1"/>
  <c r="K217" i="1"/>
  <c r="L216" i="1"/>
  <c r="K216" i="1"/>
  <c r="L215" i="1"/>
  <c r="K215" i="1"/>
  <c r="L214" i="1"/>
  <c r="K214" i="1"/>
  <c r="L213" i="1"/>
  <c r="K213" i="1"/>
  <c r="L212" i="1"/>
  <c r="K212" i="1"/>
  <c r="L211" i="1"/>
  <c r="K211" i="1"/>
  <c r="L210" i="1"/>
  <c r="K210" i="1"/>
  <c r="L209" i="1"/>
  <c r="K209" i="1"/>
  <c r="L208" i="1"/>
  <c r="K208" i="1"/>
  <c r="L207" i="1"/>
  <c r="K207" i="1"/>
  <c r="L206" i="1"/>
  <c r="K206" i="1"/>
  <c r="L205" i="1"/>
  <c r="K205" i="1"/>
  <c r="L204" i="1"/>
  <c r="K204" i="1"/>
  <c r="L203" i="1"/>
  <c r="K203" i="1"/>
  <c r="L202" i="1"/>
  <c r="K202" i="1"/>
  <c r="L201" i="1"/>
  <c r="K201" i="1"/>
  <c r="L200" i="1"/>
  <c r="K200" i="1"/>
  <c r="L199" i="1"/>
  <c r="K199" i="1"/>
  <c r="L198" i="1"/>
  <c r="K198" i="1"/>
  <c r="L197" i="1"/>
  <c r="K197" i="1"/>
  <c r="L196" i="1"/>
  <c r="K196" i="1"/>
  <c r="L195" i="1"/>
  <c r="K195" i="1"/>
  <c r="L194" i="1"/>
  <c r="K194" i="1"/>
  <c r="L193" i="1"/>
  <c r="K193" i="1"/>
  <c r="L192" i="1"/>
  <c r="K192" i="1"/>
  <c r="L191" i="1"/>
  <c r="K191" i="1"/>
  <c r="L190" i="1"/>
  <c r="K190" i="1"/>
  <c r="L189" i="1"/>
  <c r="K189" i="1"/>
  <c r="L188" i="1"/>
  <c r="K188" i="1"/>
  <c r="L187" i="1"/>
  <c r="K187" i="1"/>
  <c r="L186" i="1"/>
  <c r="K186" i="1"/>
  <c r="L185" i="1"/>
  <c r="K185" i="1"/>
  <c r="L184" i="1"/>
  <c r="K184" i="1"/>
  <c r="L183" i="1"/>
  <c r="K183" i="1"/>
  <c r="L182" i="1"/>
  <c r="K182" i="1"/>
  <c r="L181" i="1"/>
  <c r="K181" i="1"/>
  <c r="L180" i="1"/>
  <c r="K180" i="1"/>
  <c r="L179" i="1"/>
  <c r="K179" i="1"/>
  <c r="L178" i="1"/>
  <c r="K178" i="1"/>
  <c r="L177" i="1"/>
  <c r="K177" i="1"/>
  <c r="L176" i="1"/>
  <c r="K176" i="1"/>
  <c r="L175" i="1"/>
  <c r="K175" i="1"/>
  <c r="L174" i="1"/>
  <c r="K174" i="1"/>
  <c r="L173" i="1"/>
  <c r="K173" i="1"/>
  <c r="L172" i="1"/>
  <c r="K172" i="1"/>
  <c r="L171" i="1"/>
  <c r="K171" i="1"/>
  <c r="L170" i="1"/>
  <c r="K170" i="1"/>
  <c r="L169" i="1"/>
  <c r="K169" i="1"/>
  <c r="L168" i="1"/>
  <c r="K168" i="1"/>
  <c r="L167" i="1"/>
  <c r="K167" i="1"/>
  <c r="L166" i="1"/>
  <c r="K166" i="1"/>
  <c r="L165" i="1"/>
  <c r="K165" i="1"/>
  <c r="L164" i="1"/>
  <c r="K164" i="1"/>
  <c r="L163" i="1"/>
  <c r="K163" i="1"/>
  <c r="L162" i="1"/>
  <c r="K162" i="1"/>
  <c r="L161" i="1"/>
  <c r="K161" i="1"/>
  <c r="L160" i="1"/>
  <c r="K160" i="1"/>
  <c r="L159" i="1"/>
  <c r="K159" i="1"/>
  <c r="L158" i="1"/>
  <c r="K158" i="1"/>
  <c r="L157" i="1"/>
  <c r="K157" i="1"/>
  <c r="L156" i="1"/>
  <c r="K156" i="1"/>
  <c r="L155" i="1"/>
  <c r="K155" i="1"/>
  <c r="L154" i="1"/>
  <c r="K154" i="1"/>
  <c r="L153" i="1"/>
  <c r="K153" i="1"/>
  <c r="L152" i="1"/>
  <c r="K152" i="1"/>
  <c r="L151" i="1"/>
  <c r="K151" i="1"/>
  <c r="L150" i="1"/>
  <c r="K150" i="1"/>
  <c r="L149" i="1"/>
  <c r="K149" i="1"/>
  <c r="L148" i="1"/>
  <c r="K148" i="1"/>
  <c r="L147" i="1"/>
  <c r="K147" i="1"/>
  <c r="L146" i="1"/>
  <c r="K146" i="1"/>
  <c r="L145" i="1"/>
  <c r="K145" i="1"/>
  <c r="L144" i="1"/>
  <c r="K144" i="1"/>
  <c r="L143" i="1"/>
  <c r="K143" i="1"/>
  <c r="L142" i="1"/>
  <c r="K142" i="1"/>
  <c r="L141" i="1"/>
  <c r="K141" i="1"/>
  <c r="L140" i="1"/>
  <c r="K140" i="1"/>
  <c r="L139" i="1"/>
  <c r="K139" i="1"/>
  <c r="L138" i="1"/>
  <c r="K138" i="1"/>
  <c r="L137" i="1"/>
  <c r="K137" i="1"/>
  <c r="L136" i="1"/>
  <c r="K136" i="1"/>
  <c r="L135" i="1"/>
  <c r="K135" i="1"/>
  <c r="L134" i="1"/>
  <c r="K134" i="1"/>
  <c r="L133" i="1"/>
  <c r="K133" i="1"/>
  <c r="L132" i="1"/>
  <c r="K132" i="1"/>
  <c r="AU131" i="1"/>
  <c r="L131" i="1"/>
  <c r="K131" i="1"/>
  <c r="AU130" i="1"/>
  <c r="L130" i="1"/>
  <c r="K130" i="1"/>
  <c r="AU129" i="1"/>
  <c r="L129" i="1"/>
  <c r="K129" i="1"/>
  <c r="AU128" i="1"/>
  <c r="L128" i="1"/>
  <c r="K128" i="1"/>
  <c r="AU127" i="1"/>
  <c r="L127" i="1"/>
  <c r="K127" i="1"/>
  <c r="AU126" i="1"/>
  <c r="L126" i="1"/>
  <c r="K126" i="1"/>
  <c r="AU125" i="1"/>
  <c r="L125" i="1"/>
  <c r="K125" i="1"/>
  <c r="AU124" i="1"/>
  <c r="L124" i="1"/>
  <c r="K124" i="1"/>
  <c r="AU123" i="1"/>
  <c r="L123" i="1"/>
  <c r="K123" i="1"/>
  <c r="AU122" i="1"/>
  <c r="L122" i="1"/>
  <c r="K122" i="1"/>
  <c r="AU121" i="1"/>
  <c r="L121" i="1"/>
  <c r="K121" i="1"/>
  <c r="AU120" i="1"/>
  <c r="L120" i="1"/>
  <c r="K120" i="1"/>
  <c r="AU119" i="1"/>
  <c r="L119" i="1"/>
  <c r="K119" i="1"/>
  <c r="AU118" i="1"/>
  <c r="L118" i="1"/>
  <c r="K118" i="1"/>
  <c r="AU117" i="1"/>
  <c r="L117" i="1"/>
  <c r="K117" i="1"/>
  <c r="AU116" i="1"/>
  <c r="L116" i="1"/>
  <c r="K116" i="1"/>
  <c r="AU115" i="1"/>
  <c r="L115" i="1"/>
  <c r="K115" i="1"/>
  <c r="AU114" i="1"/>
  <c r="L114" i="1"/>
  <c r="K114" i="1"/>
  <c r="AU113" i="1"/>
  <c r="L113" i="1"/>
  <c r="K113" i="1"/>
  <c r="AU112" i="1"/>
  <c r="L112" i="1"/>
  <c r="K112" i="1"/>
  <c r="AU111" i="1"/>
  <c r="L111" i="1"/>
  <c r="K111" i="1"/>
  <c r="AU110" i="1"/>
  <c r="L110" i="1"/>
  <c r="K110" i="1"/>
  <c r="AU109" i="1"/>
  <c r="L109" i="1"/>
  <c r="K109" i="1"/>
  <c r="AU108" i="1"/>
  <c r="L108" i="1"/>
  <c r="K108" i="1"/>
  <c r="AU107" i="1"/>
  <c r="L107" i="1"/>
  <c r="K107" i="1"/>
  <c r="AU106" i="1"/>
  <c r="L106" i="1"/>
  <c r="K106" i="1"/>
  <c r="AU105" i="1"/>
  <c r="L105" i="1"/>
  <c r="K105" i="1"/>
  <c r="AU104" i="1"/>
  <c r="L104" i="1"/>
  <c r="K104" i="1"/>
  <c r="AU103" i="1"/>
  <c r="L103" i="1"/>
  <c r="K103" i="1"/>
  <c r="AU102" i="1"/>
  <c r="L102" i="1"/>
  <c r="K102" i="1"/>
  <c r="AU101" i="1"/>
  <c r="L101" i="1"/>
  <c r="K101" i="1"/>
  <c r="AU100" i="1"/>
  <c r="L100" i="1"/>
  <c r="K100" i="1"/>
  <c r="AU99" i="1"/>
  <c r="L99" i="1"/>
  <c r="K99" i="1"/>
  <c r="AU98" i="1"/>
  <c r="L98" i="1"/>
  <c r="K98" i="1"/>
  <c r="AU97" i="1"/>
  <c r="L97" i="1"/>
  <c r="K97" i="1"/>
  <c r="AU96" i="1"/>
  <c r="L96" i="1"/>
  <c r="K96" i="1"/>
  <c r="AU95" i="1"/>
  <c r="L95" i="1"/>
  <c r="K95" i="1"/>
  <c r="AU94" i="1"/>
  <c r="L94" i="1"/>
  <c r="K94" i="1"/>
  <c r="AU93" i="1"/>
  <c r="L93" i="1"/>
  <c r="K93" i="1"/>
  <c r="AU92" i="1"/>
  <c r="L92" i="1"/>
  <c r="K92" i="1"/>
  <c r="AU91" i="1"/>
  <c r="L91" i="1"/>
  <c r="K91" i="1"/>
  <c r="AU90" i="1"/>
  <c r="L90" i="1"/>
  <c r="K90" i="1"/>
  <c r="AU89" i="1"/>
  <c r="L89" i="1"/>
  <c r="K89" i="1"/>
  <c r="AU88" i="1"/>
  <c r="L88" i="1"/>
  <c r="K88" i="1"/>
  <c r="AU87" i="1"/>
  <c r="L87" i="1"/>
  <c r="K87" i="1"/>
  <c r="AU86" i="1"/>
  <c r="L86" i="1"/>
  <c r="K86" i="1"/>
  <c r="AU85" i="1"/>
  <c r="L85" i="1"/>
  <c r="K85" i="1"/>
  <c r="AU84" i="1"/>
  <c r="L84" i="1"/>
  <c r="K84" i="1"/>
  <c r="AU83" i="1"/>
  <c r="L83" i="1"/>
  <c r="K83" i="1"/>
  <c r="AU82" i="1"/>
  <c r="L82" i="1"/>
  <c r="K82" i="1"/>
  <c r="AU81" i="1"/>
  <c r="L81" i="1"/>
  <c r="K81" i="1"/>
  <c r="AU80" i="1"/>
  <c r="L80" i="1"/>
  <c r="K80" i="1"/>
  <c r="AU79" i="1"/>
  <c r="L79" i="1"/>
  <c r="K79" i="1"/>
  <c r="AU78" i="1"/>
  <c r="L78" i="1"/>
  <c r="K78" i="1"/>
  <c r="AU77" i="1"/>
  <c r="L77" i="1"/>
  <c r="K77" i="1"/>
  <c r="AU76" i="1"/>
  <c r="L76" i="1"/>
  <c r="K76" i="1"/>
  <c r="AU75" i="1"/>
  <c r="L75" i="1"/>
  <c r="K75" i="1"/>
  <c r="AU74" i="1"/>
  <c r="L74" i="1"/>
  <c r="K74" i="1"/>
  <c r="AU73" i="1"/>
  <c r="L73" i="1"/>
  <c r="K73" i="1"/>
  <c r="AU72" i="1"/>
  <c r="L72" i="1"/>
  <c r="K72" i="1"/>
  <c r="AU71" i="1"/>
  <c r="L71" i="1"/>
  <c r="K71" i="1"/>
  <c r="AU70" i="1"/>
  <c r="L70" i="1"/>
  <c r="K70" i="1"/>
  <c r="AU69" i="1"/>
  <c r="L69" i="1"/>
  <c r="K69" i="1"/>
  <c r="AU68" i="1"/>
  <c r="L68" i="1"/>
  <c r="K68" i="1"/>
  <c r="AU67" i="1"/>
  <c r="L67" i="1"/>
  <c r="K67" i="1"/>
  <c r="AU66" i="1"/>
  <c r="L66" i="1"/>
  <c r="K66" i="1"/>
  <c r="AU65" i="1"/>
  <c r="L65" i="1"/>
  <c r="K65" i="1"/>
  <c r="AU64" i="1"/>
  <c r="L64" i="1"/>
  <c r="K64" i="1"/>
  <c r="AU63" i="1"/>
  <c r="L63" i="1"/>
  <c r="K63" i="1"/>
  <c r="AU62" i="1"/>
  <c r="L62" i="1"/>
  <c r="K62" i="1"/>
  <c r="AU61" i="1"/>
  <c r="L61" i="1"/>
  <c r="K61" i="1"/>
  <c r="AU60" i="1"/>
  <c r="L60" i="1"/>
  <c r="K60" i="1"/>
  <c r="AU59" i="1"/>
  <c r="L59" i="1"/>
  <c r="K59" i="1"/>
  <c r="AU58" i="1"/>
  <c r="L58" i="1"/>
  <c r="K58" i="1"/>
  <c r="AU57" i="1"/>
  <c r="L57" i="1"/>
  <c r="K57" i="1"/>
  <c r="AU56" i="1"/>
  <c r="L56" i="1"/>
  <c r="K56" i="1"/>
  <c r="AU55" i="1"/>
  <c r="L55" i="1"/>
  <c r="K55" i="1"/>
  <c r="AU54" i="1"/>
  <c r="L54" i="1"/>
  <c r="K54" i="1"/>
  <c r="AU53" i="1"/>
  <c r="L53" i="1"/>
  <c r="K53" i="1"/>
  <c r="AU52" i="1"/>
  <c r="L52" i="1"/>
  <c r="K52" i="1"/>
  <c r="AU51" i="1"/>
  <c r="L51" i="1"/>
  <c r="K51" i="1"/>
  <c r="AU50" i="1"/>
  <c r="L50" i="1"/>
  <c r="K50" i="1"/>
  <c r="AU49" i="1"/>
  <c r="L49" i="1"/>
  <c r="K49" i="1"/>
  <c r="AU48" i="1"/>
  <c r="L48" i="1"/>
  <c r="K48" i="1"/>
  <c r="AU47" i="1"/>
  <c r="L47" i="1"/>
  <c r="K47" i="1"/>
  <c r="AU46" i="1"/>
  <c r="L46" i="1"/>
  <c r="K46" i="1"/>
  <c r="AU45" i="1"/>
  <c r="L45" i="1"/>
  <c r="K45" i="1"/>
  <c r="AU44" i="1"/>
  <c r="L44" i="1"/>
  <c r="K44" i="1"/>
  <c r="AU43" i="1"/>
  <c r="L43" i="1"/>
  <c r="K43" i="1"/>
  <c r="AU42" i="1"/>
  <c r="L42" i="1"/>
  <c r="K42" i="1"/>
  <c r="AU41" i="1"/>
  <c r="L41" i="1"/>
  <c r="K41" i="1"/>
  <c r="AU40" i="1"/>
  <c r="L40" i="1"/>
  <c r="K40" i="1"/>
  <c r="AU39" i="1"/>
  <c r="L39" i="1"/>
  <c r="K39" i="1"/>
  <c r="AU38" i="1"/>
  <c r="L38" i="1"/>
  <c r="K38" i="1"/>
  <c r="AU37" i="1"/>
  <c r="L37" i="1"/>
  <c r="K37" i="1"/>
  <c r="AU36" i="1"/>
  <c r="L36" i="1"/>
  <c r="K36" i="1"/>
  <c r="AU35" i="1"/>
  <c r="L35" i="1"/>
  <c r="K35" i="1"/>
  <c r="AU34" i="1"/>
  <c r="L34" i="1"/>
  <c r="K34" i="1"/>
  <c r="AU33" i="1"/>
  <c r="L33" i="1"/>
  <c r="K33" i="1"/>
  <c r="AU32" i="1"/>
  <c r="L32" i="1"/>
  <c r="K32" i="1"/>
  <c r="AU31" i="1"/>
  <c r="L31" i="1"/>
  <c r="K31" i="1"/>
  <c r="AU30" i="1"/>
  <c r="L30" i="1"/>
  <c r="K30" i="1"/>
  <c r="AU29" i="1"/>
  <c r="L29" i="1"/>
  <c r="K29" i="1"/>
  <c r="AU28" i="1"/>
  <c r="L28" i="1"/>
  <c r="K28" i="1"/>
  <c r="AU27" i="1"/>
  <c r="L27" i="1"/>
  <c r="K27" i="1"/>
  <c r="AU26" i="1"/>
  <c r="L26" i="1"/>
  <c r="K26" i="1"/>
  <c r="AU25" i="1"/>
  <c r="L25" i="1"/>
  <c r="K25" i="1"/>
  <c r="AU24" i="1"/>
  <c r="L24" i="1"/>
  <c r="K24" i="1"/>
  <c r="AU23" i="1"/>
  <c r="L23" i="1"/>
  <c r="K23" i="1"/>
  <c r="AU22" i="1"/>
  <c r="L22" i="1"/>
  <c r="K22" i="1"/>
  <c r="AU21" i="1"/>
  <c r="L21" i="1"/>
  <c r="K21" i="1"/>
  <c r="AU20" i="1"/>
  <c r="L20" i="1"/>
  <c r="K20" i="1"/>
  <c r="AU19" i="1"/>
  <c r="L19" i="1"/>
  <c r="K19" i="1"/>
  <c r="AU18" i="1"/>
  <c r="L18" i="1"/>
  <c r="K18" i="1"/>
  <c r="AU17" i="1"/>
  <c r="L17" i="1"/>
  <c r="K17" i="1"/>
  <c r="AU16" i="1"/>
  <c r="L16" i="1"/>
  <c r="K16" i="1"/>
  <c r="AU15" i="1"/>
  <c r="L15" i="1"/>
  <c r="K15" i="1"/>
  <c r="AU14" i="1"/>
  <c r="L14" i="1"/>
  <c r="K14" i="1"/>
  <c r="AU13" i="1"/>
  <c r="L13" i="1"/>
  <c r="K13" i="1"/>
  <c r="AU12" i="1"/>
  <c r="L12" i="1"/>
  <c r="K12" i="1"/>
  <c r="AU11" i="1"/>
  <c r="L11" i="1"/>
  <c r="K11" i="1"/>
  <c r="AU10" i="1"/>
  <c r="L10" i="1"/>
  <c r="K10" i="1"/>
  <c r="AU9" i="1"/>
  <c r="L9" i="1"/>
  <c r="K9" i="1"/>
  <c r="AU8" i="1"/>
  <c r="L8" i="1"/>
  <c r="K8" i="1"/>
  <c r="AU7" i="1"/>
  <c r="L7" i="1"/>
  <c r="K7" i="1"/>
  <c r="AU6" i="1"/>
  <c r="L6" i="1"/>
  <c r="K6" i="1"/>
  <c r="AU5" i="1"/>
  <c r="L5" i="1"/>
  <c r="K5" i="1"/>
  <c r="AU4" i="1"/>
  <c r="L4" i="1"/>
  <c r="K4" i="1"/>
  <c r="AU3" i="1"/>
  <c r="L3" i="1"/>
  <c r="K3" i="1"/>
  <c r="AU2" i="1"/>
  <c r="L2" i="1"/>
  <c r="K2" i="1"/>
  <c r="H47" i="13" l="1"/>
  <c r="C47" i="13"/>
  <c r="H79" i="13"/>
  <c r="L78" i="13" s="1"/>
  <c r="H59" i="13"/>
  <c r="L58" i="13" s="1"/>
  <c r="D12" i="6"/>
  <c r="F8" i="6"/>
  <c r="E4" i="6"/>
  <c r="C5" i="6"/>
  <c r="C6" i="6"/>
  <c r="C7" i="6"/>
  <c r="E12" i="6"/>
  <c r="F4" i="6"/>
  <c r="D5" i="6"/>
  <c r="D6" i="6"/>
  <c r="R12" i="6"/>
  <c r="D3" i="3"/>
  <c r="T11" i="6"/>
  <c r="C9" i="6"/>
  <c r="C10" i="6"/>
  <c r="E9" i="6"/>
  <c r="D9" i="6"/>
  <c r="D10" i="6"/>
  <c r="R27" i="3"/>
  <c r="S27" i="3" s="1"/>
  <c r="T27" i="3" s="1"/>
  <c r="AE25" i="3"/>
  <c r="AF25" i="3" s="1"/>
  <c r="AG25" i="3" s="1"/>
  <c r="D23" i="3"/>
  <c r="R3" i="3"/>
  <c r="S3" i="3" s="1"/>
  <c r="AB3" i="3"/>
  <c r="U3" i="3"/>
  <c r="Y3" i="3" s="1"/>
  <c r="P3" i="3"/>
  <c r="Q4" i="3"/>
  <c r="U5" i="3"/>
  <c r="Y5" i="3" s="1"/>
  <c r="N6" i="3"/>
  <c r="AO7" i="3"/>
  <c r="AC7" i="3"/>
  <c r="Q5" i="3"/>
  <c r="AO5" i="3"/>
  <c r="AH5" i="3"/>
  <c r="AL5" i="3" s="1"/>
  <c r="AC5" i="3"/>
  <c r="AD5" i="3" s="1"/>
  <c r="AC6" i="3"/>
  <c r="AO6" i="3"/>
  <c r="E4" i="3"/>
  <c r="F4" i="3" s="1"/>
  <c r="J4" i="3" s="1"/>
  <c r="A5" i="3"/>
  <c r="H4" i="3"/>
  <c r="L4" i="3" s="1"/>
  <c r="AR5" i="3"/>
  <c r="AS5" i="3" s="1"/>
  <c r="AT5" i="3" s="1"/>
  <c r="R5" i="3"/>
  <c r="S5" i="3" s="1"/>
  <c r="T5" i="3" s="1"/>
  <c r="AC8" i="3"/>
  <c r="AO8" i="3"/>
  <c r="BB9" i="3"/>
  <c r="AP9" i="3"/>
  <c r="D4" i="3"/>
  <c r="AC4" i="3"/>
  <c r="AD4" i="3" s="1"/>
  <c r="AO4" i="3"/>
  <c r="AN6" i="3"/>
  <c r="AN27" i="3"/>
  <c r="AB32" i="3"/>
  <c r="R23" i="13"/>
  <c r="S23" i="13" s="1"/>
  <c r="E23" i="13"/>
  <c r="F23" i="13" s="1"/>
  <c r="E4" i="13"/>
  <c r="F4" i="13" s="1"/>
  <c r="E3" i="13"/>
  <c r="F3" i="13" s="1"/>
  <c r="E44" i="13"/>
  <c r="F44" i="13" s="1"/>
  <c r="G44" i="13" s="1"/>
  <c r="R3" i="13"/>
  <c r="S3" i="13" s="1"/>
  <c r="E23" i="3"/>
  <c r="F23" i="3" s="1"/>
  <c r="T8" i="6"/>
  <c r="T12" i="6"/>
  <c r="E3" i="3"/>
  <c r="F3" i="3" s="1"/>
  <c r="U4" i="3"/>
  <c r="Y4" i="3" s="1"/>
  <c r="AE4" i="3"/>
  <c r="AF4" i="3" s="1"/>
  <c r="AG4" i="3" s="1"/>
  <c r="BA5" i="3"/>
  <c r="AA6" i="3"/>
  <c r="AC9" i="3"/>
  <c r="AO10" i="3"/>
  <c r="AO12" i="3"/>
  <c r="AO14" i="3"/>
  <c r="AB16" i="3"/>
  <c r="P16" i="3"/>
  <c r="AP18" i="3"/>
  <c r="AU18" i="3"/>
  <c r="AY17" i="3" s="1"/>
  <c r="BB18" i="3"/>
  <c r="AB23" i="3"/>
  <c r="U23" i="3"/>
  <c r="Y23" i="3" s="1"/>
  <c r="P23" i="3"/>
  <c r="Q24" i="3"/>
  <c r="N28" i="3"/>
  <c r="Q27" i="3"/>
  <c r="U27" i="3"/>
  <c r="Y27" i="3" s="1"/>
  <c r="BB27" i="3"/>
  <c r="AU27" i="3"/>
  <c r="AY27" i="3" s="1"/>
  <c r="AP27" i="3"/>
  <c r="AQ27" i="3" s="1"/>
  <c r="P32" i="3"/>
  <c r="BB33" i="3"/>
  <c r="AP33" i="3"/>
  <c r="F3" i="6"/>
  <c r="T9" i="6"/>
  <c r="H55" i="6" s="1"/>
  <c r="R4" i="3"/>
  <c r="S4" i="3" s="1"/>
  <c r="T4" i="3" s="1"/>
  <c r="P11" i="3"/>
  <c r="P13" i="3"/>
  <c r="P15" i="3"/>
  <c r="AC18" i="3"/>
  <c r="U19" i="3"/>
  <c r="Y18" i="3" s="1"/>
  <c r="AB19" i="3"/>
  <c r="R23" i="3"/>
  <c r="S23" i="3" s="1"/>
  <c r="BA25" i="3"/>
  <c r="BB25" i="3"/>
  <c r="AU25" i="3"/>
  <c r="AY25" i="3" s="1"/>
  <c r="AC27" i="3"/>
  <c r="AC35" i="3"/>
  <c r="AO35" i="3"/>
  <c r="D23" i="13"/>
  <c r="D24" i="13"/>
  <c r="D4" i="13"/>
  <c r="T3" i="6"/>
  <c r="T4" i="6"/>
  <c r="T5" i="6"/>
  <c r="T6" i="6"/>
  <c r="E52" i="6" s="1"/>
  <c r="T7" i="6"/>
  <c r="T10" i="6"/>
  <c r="I56" i="6" s="1"/>
  <c r="AE5" i="3"/>
  <c r="AF5" i="3" s="1"/>
  <c r="AG5" i="3" s="1"/>
  <c r="AO11" i="3"/>
  <c r="AO13" i="3"/>
  <c r="AO15" i="3"/>
  <c r="AO17" i="3"/>
  <c r="AH17" i="3"/>
  <c r="AL16" i="3" s="1"/>
  <c r="A25" i="3"/>
  <c r="H24" i="3"/>
  <c r="L24" i="3" s="1"/>
  <c r="D24" i="3"/>
  <c r="E24" i="3"/>
  <c r="F24" i="3" s="1"/>
  <c r="G24" i="3" s="1"/>
  <c r="AQ25" i="3"/>
  <c r="AB26" i="3"/>
  <c r="U26" i="3"/>
  <c r="Y26" i="3" s="1"/>
  <c r="P26" i="3"/>
  <c r="Q26" i="3" s="1"/>
  <c r="AC29" i="3"/>
  <c r="AO29" i="3"/>
  <c r="D3" i="6"/>
  <c r="C3" i="6"/>
  <c r="AB34" i="3"/>
  <c r="F7" i="6"/>
  <c r="Q25" i="3"/>
  <c r="AE26" i="3"/>
  <c r="AF26" i="3" s="1"/>
  <c r="AG26" i="3" s="1"/>
  <c r="AB28" i="3"/>
  <c r="U28" i="3"/>
  <c r="Y28" i="3" s="1"/>
  <c r="AC31" i="3"/>
  <c r="P34" i="3"/>
  <c r="AP36" i="3"/>
  <c r="BB36" i="3"/>
  <c r="E11" i="6"/>
  <c r="E7" i="6"/>
  <c r="E3" i="6"/>
  <c r="E10" i="6"/>
  <c r="E6" i="6"/>
  <c r="E5" i="6"/>
  <c r="R8" i="6"/>
  <c r="C15" i="6" s="1"/>
  <c r="R11" i="6"/>
  <c r="AB24" i="3"/>
  <c r="U24" i="3"/>
  <c r="Y24" i="3" s="1"/>
  <c r="AR25" i="3"/>
  <c r="AS25" i="3" s="1"/>
  <c r="AT25" i="3" s="1"/>
  <c r="R26" i="3"/>
  <c r="S26" i="3" s="1"/>
  <c r="T26" i="3" s="1"/>
  <c r="R25" i="3"/>
  <c r="S25" i="3" s="1"/>
  <c r="AH25" i="3"/>
  <c r="AL25" i="3" s="1"/>
  <c r="AC25" i="3"/>
  <c r="AD25" i="3" s="1"/>
  <c r="AA27" i="3"/>
  <c r="AH27" i="3" s="1"/>
  <c r="AL27" i="3" s="1"/>
  <c r="Q28" i="3"/>
  <c r="AB30" i="3"/>
  <c r="BB31" i="3"/>
  <c r="AC33" i="3"/>
  <c r="AO37" i="3"/>
  <c r="AH37" i="3"/>
  <c r="AL36" i="3" s="1"/>
  <c r="AC37" i="3"/>
  <c r="AB38" i="3"/>
  <c r="U38" i="3"/>
  <c r="Y37" i="3" s="1"/>
  <c r="AH39" i="3"/>
  <c r="AL38" i="3" s="1"/>
  <c r="AU39" i="3"/>
  <c r="AY38" i="3" s="1"/>
  <c r="F10" i="6"/>
  <c r="F6" i="6"/>
  <c r="F9" i="6"/>
  <c r="F5" i="6"/>
  <c r="G2" i="6"/>
  <c r="F12" i="6"/>
  <c r="R4" i="6"/>
  <c r="E8" i="6"/>
  <c r="F11" i="6"/>
  <c r="N5" i="13"/>
  <c r="R4" i="13"/>
  <c r="S4" i="13" s="1"/>
  <c r="T4" i="13" s="1"/>
  <c r="Q4" i="13"/>
  <c r="Y4" i="13"/>
  <c r="J57" i="6"/>
  <c r="C68" i="13"/>
  <c r="H88" i="13"/>
  <c r="AE24" i="3"/>
  <c r="AF24" i="3" s="1"/>
  <c r="AG24" i="3" s="1"/>
  <c r="D7" i="6"/>
  <c r="D11" i="6"/>
  <c r="R24" i="3"/>
  <c r="S24" i="3" s="1"/>
  <c r="T24" i="3" s="1"/>
  <c r="D4" i="6"/>
  <c r="D8" i="6"/>
  <c r="J1" i="13"/>
  <c r="D3" i="13"/>
  <c r="P6" i="13"/>
  <c r="P7" i="13"/>
  <c r="Y3" i="13"/>
  <c r="P3" i="13"/>
  <c r="P15" i="13"/>
  <c r="Y24" i="13"/>
  <c r="N25" i="13"/>
  <c r="R24" i="13"/>
  <c r="S24" i="13" s="1"/>
  <c r="T24" i="13" s="1"/>
  <c r="R84" i="13"/>
  <c r="S84" i="13" s="1"/>
  <c r="Y64" i="13"/>
  <c r="P64" i="13"/>
  <c r="Q64" i="13" s="1"/>
  <c r="E5" i="13"/>
  <c r="F5" i="13" s="1"/>
  <c r="G5" i="13" s="1"/>
  <c r="L5" i="13"/>
  <c r="A6" i="13"/>
  <c r="D5" i="13"/>
  <c r="D6" i="13"/>
  <c r="P10" i="13"/>
  <c r="P14" i="13"/>
  <c r="H49" i="13"/>
  <c r="C29" i="13"/>
  <c r="C30" i="13"/>
  <c r="H50" i="13"/>
  <c r="H75" i="13"/>
  <c r="C55" i="13"/>
  <c r="N46" i="13"/>
  <c r="R45" i="13"/>
  <c r="S45" i="13" s="1"/>
  <c r="T45" i="13" s="1"/>
  <c r="P11" i="13"/>
  <c r="E25" i="13"/>
  <c r="F25" i="13" s="1"/>
  <c r="G25" i="13" s="1"/>
  <c r="Q24" i="13"/>
  <c r="A26" i="13"/>
  <c r="H58" i="13"/>
  <c r="L57" i="13" s="1"/>
  <c r="C38" i="13"/>
  <c r="E43" i="13"/>
  <c r="F43" i="13" s="1"/>
  <c r="L43" i="13"/>
  <c r="H63" i="13"/>
  <c r="P48" i="13"/>
  <c r="H71" i="13"/>
  <c r="C51" i="13"/>
  <c r="P16" i="13"/>
  <c r="Q16" i="13" s="1"/>
  <c r="P18" i="13"/>
  <c r="H64" i="13"/>
  <c r="L44" i="13"/>
  <c r="C44" i="13"/>
  <c r="D44" i="13" s="1"/>
  <c r="H45" i="13"/>
  <c r="L25" i="13"/>
  <c r="H46" i="13"/>
  <c r="C26" i="13"/>
  <c r="D26" i="13" s="1"/>
  <c r="C43" i="13"/>
  <c r="C48" i="13"/>
  <c r="P57" i="13"/>
  <c r="Q23" i="13"/>
  <c r="W21" i="13"/>
  <c r="D25" i="13"/>
  <c r="H73" i="13"/>
  <c r="C53" i="13"/>
  <c r="C36" i="13"/>
  <c r="Y44" i="13"/>
  <c r="P44" i="13"/>
  <c r="Q44" i="13" s="1"/>
  <c r="A47" i="13"/>
  <c r="A67" i="13"/>
  <c r="N85" i="13"/>
  <c r="E24" i="13"/>
  <c r="F24" i="13" s="1"/>
  <c r="G24" i="13" s="1"/>
  <c r="H57" i="13"/>
  <c r="L56" i="13" s="1"/>
  <c r="C37" i="13"/>
  <c r="H52" i="13"/>
  <c r="N66" i="13"/>
  <c r="P45" i="13"/>
  <c r="Q45" i="13" s="1"/>
  <c r="P49" i="13"/>
  <c r="P53" i="13"/>
  <c r="P19" i="13"/>
  <c r="C27" i="13"/>
  <c r="C32" i="13"/>
  <c r="C33" i="13"/>
  <c r="Y45" i="13"/>
  <c r="C67" i="13"/>
  <c r="D67" i="13" s="1"/>
  <c r="H54" i="13"/>
  <c r="R44" i="13"/>
  <c r="S44" i="13" s="1"/>
  <c r="T44" i="13" s="1"/>
  <c r="A85" i="13"/>
  <c r="R64" i="13"/>
  <c r="S64" i="13" s="1"/>
  <c r="T64" i="13" s="1"/>
  <c r="C79" i="13" l="1"/>
  <c r="D47" i="13"/>
  <c r="H99" i="13"/>
  <c r="L98" i="13" s="1"/>
  <c r="H67" i="13"/>
  <c r="L67" i="13" s="1"/>
  <c r="J50" i="6"/>
  <c r="K55" i="6"/>
  <c r="G55" i="6"/>
  <c r="I50" i="6"/>
  <c r="F51" i="6"/>
  <c r="G51" i="6"/>
  <c r="W27" i="3"/>
  <c r="I58" i="6"/>
  <c r="X24" i="13"/>
  <c r="E57" i="6"/>
  <c r="E56" i="6"/>
  <c r="H50" i="6"/>
  <c r="C50" i="6"/>
  <c r="E50" i="6"/>
  <c r="H56" i="6"/>
  <c r="I55" i="6"/>
  <c r="X27" i="3"/>
  <c r="E54" i="6"/>
  <c r="I54" i="6"/>
  <c r="B50" i="6"/>
  <c r="C57" i="6"/>
  <c r="I52" i="6"/>
  <c r="H53" i="6"/>
  <c r="AJ4" i="3"/>
  <c r="J24" i="13"/>
  <c r="W45" i="13"/>
  <c r="J55" i="6"/>
  <c r="J54" i="6"/>
  <c r="G57" i="6"/>
  <c r="G56" i="6"/>
  <c r="J56" i="6"/>
  <c r="D52" i="6"/>
  <c r="J52" i="6"/>
  <c r="G54" i="6"/>
  <c r="K57" i="6"/>
  <c r="H54" i="6"/>
  <c r="G52" i="6"/>
  <c r="H52" i="6"/>
  <c r="J49" i="6"/>
  <c r="E53" i="6"/>
  <c r="E55" i="6"/>
  <c r="B57" i="6"/>
  <c r="C55" i="6"/>
  <c r="K54" i="6"/>
  <c r="G50" i="6"/>
  <c r="I57" i="6"/>
  <c r="H57" i="6"/>
  <c r="H49" i="6"/>
  <c r="G53" i="6"/>
  <c r="E49" i="6"/>
  <c r="W24" i="13"/>
  <c r="W4" i="13"/>
  <c r="AW25" i="3"/>
  <c r="AJ24" i="3"/>
  <c r="X4" i="13"/>
  <c r="W4" i="3"/>
  <c r="W5" i="3"/>
  <c r="AJ26" i="3"/>
  <c r="F55" i="6"/>
  <c r="B54" i="6"/>
  <c r="F50" i="6"/>
  <c r="B52" i="6"/>
  <c r="B49" i="6"/>
  <c r="F53" i="6"/>
  <c r="K52" i="6"/>
  <c r="F54" i="6"/>
  <c r="F57" i="6"/>
  <c r="F56" i="6"/>
  <c r="F52" i="6"/>
  <c r="F49" i="6"/>
  <c r="I53" i="6"/>
  <c r="D56" i="6"/>
  <c r="K24" i="13"/>
  <c r="B55" i="6"/>
  <c r="B51" i="6"/>
  <c r="G49" i="6"/>
  <c r="B53" i="6"/>
  <c r="K53" i="6"/>
  <c r="I49" i="6"/>
  <c r="C49" i="6"/>
  <c r="K50" i="6"/>
  <c r="C17" i="6"/>
  <c r="C18" i="6"/>
  <c r="T84" i="13"/>
  <c r="W84" i="13"/>
  <c r="P65" i="13"/>
  <c r="Q65" i="13" s="1"/>
  <c r="Y65" i="13"/>
  <c r="H93" i="13"/>
  <c r="C73" i="13"/>
  <c r="T23" i="3"/>
  <c r="W23" i="3"/>
  <c r="W23" i="13"/>
  <c r="T23" i="13"/>
  <c r="X23" i="13" s="1"/>
  <c r="AP8" i="3"/>
  <c r="BB8" i="3"/>
  <c r="R65" i="13"/>
  <c r="S65" i="13" s="1"/>
  <c r="J44" i="13"/>
  <c r="X44" i="13"/>
  <c r="C56" i="13"/>
  <c r="P77" i="13"/>
  <c r="D43" i="13"/>
  <c r="J41" i="13"/>
  <c r="L46" i="13"/>
  <c r="H66" i="13"/>
  <c r="C46" i="13"/>
  <c r="D46" i="13" s="1"/>
  <c r="K44" i="13"/>
  <c r="H91" i="13"/>
  <c r="C71" i="13"/>
  <c r="P56" i="13"/>
  <c r="J5" i="13"/>
  <c r="P43" i="13"/>
  <c r="R43" i="13"/>
  <c r="S43" i="13" s="1"/>
  <c r="Y43" i="13"/>
  <c r="Y46" i="13"/>
  <c r="P46" i="13"/>
  <c r="Q46" i="13" s="1"/>
  <c r="D55" i="6"/>
  <c r="J51" i="6"/>
  <c r="K51" i="6"/>
  <c r="D58" i="6"/>
  <c r="B58" i="6"/>
  <c r="D57" i="6"/>
  <c r="G9" i="6"/>
  <c r="G5" i="6"/>
  <c r="H2" i="6"/>
  <c r="G12" i="6"/>
  <c r="G8" i="6"/>
  <c r="G4" i="6"/>
  <c r="G11" i="6"/>
  <c r="G6" i="6"/>
  <c r="G3" i="6"/>
  <c r="G7" i="6"/>
  <c r="G10" i="6"/>
  <c r="AC38" i="3"/>
  <c r="AH38" i="3"/>
  <c r="AL37" i="3" s="1"/>
  <c r="AO38" i="3"/>
  <c r="AK25" i="3"/>
  <c r="W26" i="3"/>
  <c r="AO28" i="3"/>
  <c r="AH28" i="3"/>
  <c r="AL28" i="3" s="1"/>
  <c r="AC28" i="3"/>
  <c r="K49" i="6"/>
  <c r="D53" i="6"/>
  <c r="BB29" i="3"/>
  <c r="AP29" i="3"/>
  <c r="K24" i="3"/>
  <c r="AD27" i="3"/>
  <c r="BC25" i="3"/>
  <c r="BD25" i="3" s="1"/>
  <c r="BH25" i="3"/>
  <c r="BL25" i="3" s="1"/>
  <c r="AH19" i="3"/>
  <c r="AL18" i="3" s="1"/>
  <c r="AC19" i="3"/>
  <c r="AO19" i="3"/>
  <c r="K58" i="6"/>
  <c r="AP14" i="3"/>
  <c r="BB14" i="3"/>
  <c r="C54" i="6"/>
  <c r="J3" i="13"/>
  <c r="G3" i="13"/>
  <c r="K3" i="13" s="1"/>
  <c r="AN7" i="3"/>
  <c r="AR6" i="3"/>
  <c r="AS6" i="3" s="1"/>
  <c r="AT6" i="3" s="1"/>
  <c r="AU4" i="3"/>
  <c r="AY4" i="3" s="1"/>
  <c r="AP4" i="3"/>
  <c r="AQ4" i="3" s="1"/>
  <c r="BB4" i="3"/>
  <c r="J24" i="3"/>
  <c r="AU6" i="3"/>
  <c r="AY6" i="3" s="1"/>
  <c r="AP6" i="3"/>
  <c r="AQ6" i="3" s="1"/>
  <c r="BB6" i="3"/>
  <c r="BB5" i="3"/>
  <c r="AU5" i="3"/>
  <c r="AY5" i="3" s="1"/>
  <c r="AP5" i="3"/>
  <c r="AQ5" i="3" s="1"/>
  <c r="AX5" i="3" s="1"/>
  <c r="AC3" i="3"/>
  <c r="AE3" i="3"/>
  <c r="AF3" i="3" s="1"/>
  <c r="AO3" i="3"/>
  <c r="AH3" i="3"/>
  <c r="AL3" i="3" s="1"/>
  <c r="H65" i="13"/>
  <c r="C45" i="13"/>
  <c r="D45" i="13" s="1"/>
  <c r="L45" i="13"/>
  <c r="J43" i="13"/>
  <c r="G43" i="13"/>
  <c r="E26" i="13"/>
  <c r="F26" i="13" s="1"/>
  <c r="G26" i="13" s="1"/>
  <c r="K26" i="13" s="1"/>
  <c r="A27" i="13"/>
  <c r="P51" i="13"/>
  <c r="H69" i="13"/>
  <c r="C49" i="13"/>
  <c r="P50" i="13"/>
  <c r="BB13" i="3"/>
  <c r="AP13" i="3"/>
  <c r="AO32" i="3"/>
  <c r="AC32" i="3"/>
  <c r="R6" i="3"/>
  <c r="S6" i="3" s="1"/>
  <c r="T6" i="3" s="1"/>
  <c r="N7" i="3"/>
  <c r="A86" i="13"/>
  <c r="P69" i="13"/>
  <c r="R66" i="13"/>
  <c r="S66" i="13" s="1"/>
  <c r="T66" i="13" s="1"/>
  <c r="N67" i="13"/>
  <c r="E45" i="13"/>
  <c r="F45" i="13" s="1"/>
  <c r="C57" i="13"/>
  <c r="H77" i="13"/>
  <c r="L76" i="13" s="1"/>
  <c r="H95" i="13"/>
  <c r="C75" i="13"/>
  <c r="L6" i="13"/>
  <c r="A7" i="13"/>
  <c r="E6" i="13"/>
  <c r="F6" i="13" s="1"/>
  <c r="G6" i="13" s="1"/>
  <c r="K6" i="13" s="1"/>
  <c r="X64" i="13"/>
  <c r="P47" i="13"/>
  <c r="E51" i="6"/>
  <c r="D51" i="6"/>
  <c r="G58" i="6"/>
  <c r="F58" i="6"/>
  <c r="C56" i="6"/>
  <c r="B56" i="6"/>
  <c r="AO30" i="3"/>
  <c r="AC30" i="3"/>
  <c r="AO24" i="3"/>
  <c r="AC24" i="3"/>
  <c r="AD24" i="3" s="1"/>
  <c r="AK24" i="3" s="1"/>
  <c r="AH24" i="3"/>
  <c r="AL24" i="3" s="1"/>
  <c r="AJ25" i="3"/>
  <c r="W24" i="3"/>
  <c r="C52" i="6"/>
  <c r="I51" i="6"/>
  <c r="D49" i="6"/>
  <c r="AO34" i="3"/>
  <c r="AC34" i="3"/>
  <c r="C53" i="6"/>
  <c r="AO26" i="3"/>
  <c r="AC26" i="3"/>
  <c r="AD26" i="3" s="1"/>
  <c r="AK26" i="3" s="1"/>
  <c r="AH26" i="3"/>
  <c r="AL26" i="3" s="1"/>
  <c r="BB15" i="3"/>
  <c r="AP15" i="3"/>
  <c r="BB11" i="3"/>
  <c r="AP11" i="3"/>
  <c r="BB35" i="3"/>
  <c r="AP35" i="3"/>
  <c r="BC33" i="3"/>
  <c r="BC27" i="3"/>
  <c r="R28" i="3"/>
  <c r="S28" i="3" s="1"/>
  <c r="T28" i="3" s="1"/>
  <c r="X28" i="3" s="1"/>
  <c r="N29" i="3"/>
  <c r="AE23" i="3"/>
  <c r="AF23" i="3" s="1"/>
  <c r="AO23" i="3"/>
  <c r="AH23" i="3"/>
  <c r="AL23" i="3" s="1"/>
  <c r="AC23" i="3"/>
  <c r="AP12" i="3"/>
  <c r="BB12" i="3"/>
  <c r="AA7" i="3"/>
  <c r="AD7" i="3" s="1"/>
  <c r="AE6" i="3"/>
  <c r="AF6" i="3" s="1"/>
  <c r="AG6" i="3" s="1"/>
  <c r="J23" i="3"/>
  <c r="G23" i="3"/>
  <c r="K23" i="3" s="1"/>
  <c r="J4" i="13"/>
  <c r="G4" i="13"/>
  <c r="K4" i="13" s="1"/>
  <c r="AK4" i="3"/>
  <c r="BC9" i="3"/>
  <c r="AH6" i="3"/>
  <c r="AL6" i="3" s="1"/>
  <c r="E5" i="3"/>
  <c r="F5" i="3" s="1"/>
  <c r="J5" i="3" s="1"/>
  <c r="H5" i="3"/>
  <c r="L5" i="3" s="1"/>
  <c r="D5" i="3"/>
  <c r="A6" i="3"/>
  <c r="AD6" i="3"/>
  <c r="X5" i="3"/>
  <c r="BB7" i="3"/>
  <c r="AU7" i="3"/>
  <c r="AY7" i="3" s="1"/>
  <c r="AP7" i="3"/>
  <c r="AQ7" i="3" s="1"/>
  <c r="X4" i="3"/>
  <c r="W3" i="3"/>
  <c r="T3" i="3"/>
  <c r="P73" i="13"/>
  <c r="C52" i="13"/>
  <c r="H72" i="13"/>
  <c r="P79" i="13"/>
  <c r="E47" i="13"/>
  <c r="F47" i="13" s="1"/>
  <c r="G47" i="13" s="1"/>
  <c r="A48" i="13"/>
  <c r="L47" i="13"/>
  <c r="W44" i="13"/>
  <c r="Y84" i="13"/>
  <c r="P84" i="13"/>
  <c r="Q84" i="13" s="1"/>
  <c r="D68" i="13"/>
  <c r="AU37" i="3"/>
  <c r="AY36" i="3" s="1"/>
  <c r="BB37" i="3"/>
  <c r="AP37" i="3"/>
  <c r="BC31" i="3"/>
  <c r="AA28" i="3"/>
  <c r="AE27" i="3"/>
  <c r="AF27" i="3" s="1"/>
  <c r="AG27" i="3" s="1"/>
  <c r="X26" i="3"/>
  <c r="Q23" i="3"/>
  <c r="W21" i="3"/>
  <c r="BA6" i="3"/>
  <c r="BE5" i="3"/>
  <c r="BF5" i="3" s="1"/>
  <c r="BG5" i="3" s="1"/>
  <c r="N86" i="13"/>
  <c r="R85" i="13"/>
  <c r="S85" i="13" s="1"/>
  <c r="T85" i="13" s="1"/>
  <c r="E67" i="13"/>
  <c r="F67" i="13" s="1"/>
  <c r="G67" i="13" s="1"/>
  <c r="K67" i="13" s="1"/>
  <c r="A68" i="13"/>
  <c r="D48" i="13"/>
  <c r="L26" i="13"/>
  <c r="P58" i="13"/>
  <c r="H83" i="13"/>
  <c r="E63" i="13"/>
  <c r="F63" i="13" s="1"/>
  <c r="L63" i="13"/>
  <c r="C63" i="13"/>
  <c r="C99" i="13"/>
  <c r="C54" i="13"/>
  <c r="H74" i="13"/>
  <c r="X45" i="13"/>
  <c r="P52" i="13"/>
  <c r="E46" i="13"/>
  <c r="F46" i="13" s="1"/>
  <c r="K25" i="13"/>
  <c r="H84" i="13"/>
  <c r="L64" i="13"/>
  <c r="C64" i="13"/>
  <c r="D64" i="13" s="1"/>
  <c r="E64" i="13"/>
  <c r="F64" i="13" s="1"/>
  <c r="W64" i="13"/>
  <c r="P68" i="13"/>
  <c r="C58" i="13"/>
  <c r="H78" i="13"/>
  <c r="L77" i="13" s="1"/>
  <c r="J25" i="13"/>
  <c r="R46" i="13"/>
  <c r="S46" i="13" s="1"/>
  <c r="T46" i="13" s="1"/>
  <c r="N47" i="13"/>
  <c r="Y47" i="13" s="1"/>
  <c r="C50" i="13"/>
  <c r="H70" i="13"/>
  <c r="K5" i="13"/>
  <c r="P54" i="13"/>
  <c r="N26" i="13"/>
  <c r="Y25" i="13"/>
  <c r="R25" i="13"/>
  <c r="S25" i="13" s="1"/>
  <c r="T25" i="13" s="1"/>
  <c r="Q25" i="13"/>
  <c r="P55" i="13"/>
  <c r="Q3" i="13"/>
  <c r="W1" i="13"/>
  <c r="H58" i="6"/>
  <c r="C51" i="6"/>
  <c r="H51" i="6"/>
  <c r="C58" i="6"/>
  <c r="D54" i="6"/>
  <c r="D50" i="6"/>
  <c r="C88" i="13"/>
  <c r="E58" i="6"/>
  <c r="J58" i="6"/>
  <c r="N6" i="13"/>
  <c r="R5" i="13"/>
  <c r="S5" i="13" s="1"/>
  <c r="T5" i="13" s="1"/>
  <c r="Q5" i="13"/>
  <c r="Y5" i="13"/>
  <c r="K56" i="6"/>
  <c r="C16" i="6"/>
  <c r="T25" i="3"/>
  <c r="X25" i="3" s="1"/>
  <c r="W25" i="3"/>
  <c r="BC36" i="3"/>
  <c r="J53" i="6"/>
  <c r="AX25" i="3"/>
  <c r="E25" i="3"/>
  <c r="F25" i="3" s="1"/>
  <c r="G25" i="3" s="1"/>
  <c r="A26" i="3"/>
  <c r="D25" i="3"/>
  <c r="H25" i="3"/>
  <c r="L25" i="3" s="1"/>
  <c r="AP17" i="3"/>
  <c r="AU17" i="3"/>
  <c r="AY16" i="3" s="1"/>
  <c r="BB17" i="3"/>
  <c r="BE25" i="3"/>
  <c r="BF25" i="3" s="1"/>
  <c r="BG25" i="3" s="1"/>
  <c r="BA26" i="3"/>
  <c r="X24" i="3"/>
  <c r="BH18" i="3"/>
  <c r="BL17" i="3" s="1"/>
  <c r="BC18" i="3"/>
  <c r="AO16" i="3"/>
  <c r="AC16" i="3"/>
  <c r="AP10" i="3"/>
  <c r="BB10" i="3"/>
  <c r="U6" i="3"/>
  <c r="Y6" i="3" s="1"/>
  <c r="G3" i="3"/>
  <c r="J3" i="3"/>
  <c r="T3" i="13"/>
  <c r="W3" i="13"/>
  <c r="J23" i="13"/>
  <c r="G23" i="13"/>
  <c r="K23" i="13" s="1"/>
  <c r="AR27" i="3"/>
  <c r="AS27" i="3" s="1"/>
  <c r="AT27" i="3" s="1"/>
  <c r="AX27" i="3" s="1"/>
  <c r="AN28" i="3"/>
  <c r="AR4" i="3"/>
  <c r="AS4" i="3" s="1"/>
  <c r="Q6" i="3"/>
  <c r="AW5" i="3"/>
  <c r="G4" i="3"/>
  <c r="AK5" i="3"/>
  <c r="AJ5" i="3"/>
  <c r="W1" i="3"/>
  <c r="Q3" i="3"/>
  <c r="K47" i="13" l="1"/>
  <c r="H87" i="13"/>
  <c r="C87" i="13"/>
  <c r="X6" i="3"/>
  <c r="X84" i="13"/>
  <c r="AK6" i="3"/>
  <c r="AJ27" i="3"/>
  <c r="J47" i="13"/>
  <c r="X23" i="3"/>
  <c r="K25" i="3"/>
  <c r="X5" i="13"/>
  <c r="W25" i="13"/>
  <c r="W6" i="3"/>
  <c r="J26" i="13"/>
  <c r="J25" i="3"/>
  <c r="BJ5" i="3"/>
  <c r="BK25" i="3"/>
  <c r="X3" i="3"/>
  <c r="X3" i="13"/>
  <c r="X25" i="13"/>
  <c r="AK27" i="3"/>
  <c r="AN29" i="3"/>
  <c r="AR28" i="3"/>
  <c r="AS28" i="3" s="1"/>
  <c r="AT28" i="3" s="1"/>
  <c r="AD3" i="3"/>
  <c r="AJ1" i="3"/>
  <c r="BH6" i="3"/>
  <c r="BL6" i="3" s="1"/>
  <c r="BC6" i="3"/>
  <c r="BD6" i="3" s="1"/>
  <c r="K4" i="3"/>
  <c r="H94" i="13"/>
  <c r="C74" i="13"/>
  <c r="D63" i="13"/>
  <c r="J61" i="13"/>
  <c r="A69" i="13"/>
  <c r="E68" i="13"/>
  <c r="F68" i="13" s="1"/>
  <c r="G68" i="13" s="1"/>
  <c r="K68" i="13" s="1"/>
  <c r="L68" i="13"/>
  <c r="W85" i="13"/>
  <c r="BE6" i="3"/>
  <c r="BF6" i="3" s="1"/>
  <c r="BG6" i="3" s="1"/>
  <c r="BA7" i="3"/>
  <c r="AE28" i="3"/>
  <c r="AF28" i="3" s="1"/>
  <c r="AG28" i="3" s="1"/>
  <c r="AA29" i="3"/>
  <c r="BH37" i="3"/>
  <c r="BL36" i="3" s="1"/>
  <c r="BC37" i="3"/>
  <c r="E6" i="3"/>
  <c r="F6" i="3" s="1"/>
  <c r="J6" i="3" s="1"/>
  <c r="A7" i="3"/>
  <c r="H6" i="3"/>
  <c r="L6" i="3" s="1"/>
  <c r="D6" i="3"/>
  <c r="BC12" i="3"/>
  <c r="AD23" i="3"/>
  <c r="AJ21" i="3"/>
  <c r="N30" i="3"/>
  <c r="U29" i="3"/>
  <c r="Y29" i="3" s="1"/>
  <c r="R29" i="3"/>
  <c r="S29" i="3" s="1"/>
  <c r="T29" i="3" s="1"/>
  <c r="Q29" i="3"/>
  <c r="AP26" i="3"/>
  <c r="AQ26" i="3" s="1"/>
  <c r="AU26" i="3"/>
  <c r="AY26" i="3" s="1"/>
  <c r="BB26" i="3"/>
  <c r="AR26" i="3"/>
  <c r="AS26" i="3" s="1"/>
  <c r="C95" i="13"/>
  <c r="W66" i="13"/>
  <c r="AP32" i="3"/>
  <c r="BB32" i="3"/>
  <c r="A28" i="13"/>
  <c r="E27" i="13"/>
  <c r="F27" i="13" s="1"/>
  <c r="G27" i="13" s="1"/>
  <c r="L27" i="13"/>
  <c r="AX6" i="3"/>
  <c r="BH4" i="3"/>
  <c r="BL4" i="3" s="1"/>
  <c r="BC4" i="3"/>
  <c r="BD4" i="3" s="1"/>
  <c r="BE4" i="3"/>
  <c r="BF4" i="3" s="1"/>
  <c r="AW6" i="3"/>
  <c r="AP28" i="3"/>
  <c r="AQ28" i="3" s="1"/>
  <c r="BB28" i="3"/>
  <c r="AU28" i="3"/>
  <c r="AY28" i="3" s="1"/>
  <c r="Y66" i="13"/>
  <c r="P66" i="13"/>
  <c r="Q66" i="13" s="1"/>
  <c r="X66" i="13" s="1"/>
  <c r="P63" i="13"/>
  <c r="R63" i="13"/>
  <c r="S63" i="13" s="1"/>
  <c r="Y63" i="13"/>
  <c r="P75" i="13"/>
  <c r="G64" i="13"/>
  <c r="K64" i="13" s="1"/>
  <c r="J64" i="13"/>
  <c r="P72" i="13"/>
  <c r="C83" i="13"/>
  <c r="E83" i="13"/>
  <c r="F83" i="13" s="1"/>
  <c r="L83" i="13"/>
  <c r="P78" i="13"/>
  <c r="P89" i="13"/>
  <c r="BC13" i="3"/>
  <c r="P71" i="13"/>
  <c r="BB38" i="3"/>
  <c r="AU38" i="3"/>
  <c r="AY37" i="3" s="1"/>
  <c r="AP38" i="3"/>
  <c r="T65" i="13"/>
  <c r="X65" i="13" s="1"/>
  <c r="W65" i="13"/>
  <c r="C93" i="13"/>
  <c r="BH17" i="3"/>
  <c r="BL16" i="3" s="1"/>
  <c r="BC17" i="3"/>
  <c r="P88" i="13"/>
  <c r="N87" i="13"/>
  <c r="R86" i="13"/>
  <c r="S86" i="13" s="1"/>
  <c r="T86" i="13" s="1"/>
  <c r="A49" i="13"/>
  <c r="E48" i="13"/>
  <c r="F48" i="13" s="1"/>
  <c r="G48" i="13" s="1"/>
  <c r="K48" i="13" s="1"/>
  <c r="L48" i="13"/>
  <c r="H92" i="13"/>
  <c r="C72" i="13"/>
  <c r="P93" i="13"/>
  <c r="BC7" i="3"/>
  <c r="BD7" i="3" s="1"/>
  <c r="BH7" i="3"/>
  <c r="BL7" i="3" s="1"/>
  <c r="BC15" i="3"/>
  <c r="AP34" i="3"/>
  <c r="BB34" i="3"/>
  <c r="Q47" i="13"/>
  <c r="J6" i="13"/>
  <c r="G45" i="13"/>
  <c r="K45" i="13" s="1"/>
  <c r="J45" i="13"/>
  <c r="U7" i="3"/>
  <c r="Y7" i="3" s="1"/>
  <c r="N8" i="3"/>
  <c r="R7" i="3"/>
  <c r="S7" i="3" s="1"/>
  <c r="T7" i="3" s="1"/>
  <c r="Q7" i="3"/>
  <c r="P70" i="13"/>
  <c r="D49" i="13"/>
  <c r="AR3" i="3"/>
  <c r="AS3" i="3" s="1"/>
  <c r="BB3" i="3"/>
  <c r="AU3" i="3"/>
  <c r="AY3" i="3" s="1"/>
  <c r="AP3" i="3"/>
  <c r="AR7" i="3"/>
  <c r="AS7" i="3" s="1"/>
  <c r="AT7" i="3" s="1"/>
  <c r="AX7" i="3" s="1"/>
  <c r="AN8" i="3"/>
  <c r="AQ8" i="3" s="1"/>
  <c r="BC29" i="3"/>
  <c r="K43" i="13"/>
  <c r="K3" i="3"/>
  <c r="BB16" i="3"/>
  <c r="AP16" i="3"/>
  <c r="BA27" i="3"/>
  <c r="BE26" i="3"/>
  <c r="BF26" i="3" s="1"/>
  <c r="BG26" i="3" s="1"/>
  <c r="G5" i="3"/>
  <c r="AE7" i="3"/>
  <c r="AF7" i="3" s="1"/>
  <c r="AG7" i="3" s="1"/>
  <c r="AK7" i="3" s="1"/>
  <c r="AA8" i="3"/>
  <c r="AH7" i="3"/>
  <c r="AL7" i="3" s="1"/>
  <c r="AJ23" i="3"/>
  <c r="AG23" i="3"/>
  <c r="BC35" i="3"/>
  <c r="AP24" i="3"/>
  <c r="AQ24" i="3" s="1"/>
  <c r="AU24" i="3"/>
  <c r="AY24" i="3" s="1"/>
  <c r="BB24" i="3"/>
  <c r="AR24" i="3"/>
  <c r="AS24" i="3" s="1"/>
  <c r="AU19" i="3"/>
  <c r="AY18" i="3" s="1"/>
  <c r="BB19" i="3"/>
  <c r="AP19" i="3"/>
  <c r="AQ29" i="3"/>
  <c r="H12" i="6"/>
  <c r="H8" i="6"/>
  <c r="H4" i="6"/>
  <c r="H11" i="6"/>
  <c r="H7" i="6"/>
  <c r="H3" i="6"/>
  <c r="H10" i="6"/>
  <c r="H5" i="6"/>
  <c r="H9" i="6"/>
  <c r="I2" i="6"/>
  <c r="H6" i="6"/>
  <c r="W41" i="13"/>
  <c r="Q43" i="13"/>
  <c r="P76" i="13"/>
  <c r="C91" i="13"/>
  <c r="P97" i="13"/>
  <c r="BC8" i="3"/>
  <c r="R26" i="13"/>
  <c r="S26" i="13" s="1"/>
  <c r="T26" i="13" s="1"/>
  <c r="N27" i="13"/>
  <c r="Y26" i="13"/>
  <c r="Q26" i="13"/>
  <c r="N48" i="13"/>
  <c r="R47" i="13"/>
  <c r="S47" i="13" s="1"/>
  <c r="T47" i="13" s="1"/>
  <c r="P99" i="13"/>
  <c r="AW27" i="3"/>
  <c r="BJ25" i="3"/>
  <c r="A27" i="3"/>
  <c r="H26" i="3"/>
  <c r="L26" i="3" s="1"/>
  <c r="D26" i="3"/>
  <c r="E26" i="3"/>
  <c r="F26" i="3" s="1"/>
  <c r="G26" i="3" s="1"/>
  <c r="W5" i="13"/>
  <c r="C78" i="13"/>
  <c r="H98" i="13"/>
  <c r="L97" i="13" s="1"/>
  <c r="AT4" i="3"/>
  <c r="AX4" i="3" s="1"/>
  <c r="AW4" i="3"/>
  <c r="BC10" i="3"/>
  <c r="R6" i="13"/>
  <c r="S6" i="13" s="1"/>
  <c r="T6" i="13" s="1"/>
  <c r="N7" i="13"/>
  <c r="Y6" i="13"/>
  <c r="Q6" i="13"/>
  <c r="P74" i="13"/>
  <c r="H90" i="13"/>
  <c r="C70" i="13"/>
  <c r="W46" i="13"/>
  <c r="C84" i="13"/>
  <c r="D84" i="13" s="1"/>
  <c r="L84" i="13"/>
  <c r="E84" i="13"/>
  <c r="F84" i="13" s="1"/>
  <c r="G46" i="13"/>
  <c r="K46" i="13" s="1"/>
  <c r="J46" i="13"/>
  <c r="J63" i="13"/>
  <c r="G63" i="13"/>
  <c r="J67" i="13"/>
  <c r="D27" i="13"/>
  <c r="AJ6" i="3"/>
  <c r="BB23" i="3"/>
  <c r="AU23" i="3"/>
  <c r="AY23" i="3" s="1"/>
  <c r="AP23" i="3"/>
  <c r="AR23" i="3"/>
  <c r="AS23" i="3" s="1"/>
  <c r="W28" i="3"/>
  <c r="BC11" i="3"/>
  <c r="AP30" i="3"/>
  <c r="BB30" i="3"/>
  <c r="P67" i="13"/>
  <c r="Q67" i="13" s="1"/>
  <c r="Y67" i="13"/>
  <c r="A8" i="13"/>
  <c r="D7" i="13"/>
  <c r="L7" i="13"/>
  <c r="E7" i="13"/>
  <c r="F7" i="13" s="1"/>
  <c r="G7" i="13" s="1"/>
  <c r="C77" i="13"/>
  <c r="H97" i="13"/>
  <c r="L96" i="13" s="1"/>
  <c r="N68" i="13"/>
  <c r="R67" i="13"/>
  <c r="S67" i="13" s="1"/>
  <c r="T67" i="13" s="1"/>
  <c r="A87" i="13"/>
  <c r="C69" i="13"/>
  <c r="D69" i="13" s="1"/>
  <c r="L69" i="13"/>
  <c r="H89" i="13"/>
  <c r="H85" i="13"/>
  <c r="C65" i="13"/>
  <c r="D65" i="13" s="1"/>
  <c r="L65" i="13"/>
  <c r="E65" i="13"/>
  <c r="F65" i="13" s="1"/>
  <c r="AG3" i="3"/>
  <c r="AJ3" i="3"/>
  <c r="BC5" i="3"/>
  <c r="BD5" i="3" s="1"/>
  <c r="BK5" i="3" s="1"/>
  <c r="BH5" i="3"/>
  <c r="BL5" i="3" s="1"/>
  <c r="BC14" i="3"/>
  <c r="AD28" i="3"/>
  <c r="X46" i="13"/>
  <c r="T43" i="13"/>
  <c r="W43" i="13"/>
  <c r="H86" i="13"/>
  <c r="L66" i="13"/>
  <c r="C66" i="13"/>
  <c r="D66" i="13" s="1"/>
  <c r="E66" i="13"/>
  <c r="F66" i="13" s="1"/>
  <c r="C76" i="13"/>
  <c r="Y85" i="13"/>
  <c r="P85" i="13"/>
  <c r="Q85" i="13" s="1"/>
  <c r="X85" i="13" s="1"/>
  <c r="E86" i="13" l="1"/>
  <c r="F86" i="13" s="1"/>
  <c r="G86" i="13" s="1"/>
  <c r="AK28" i="3"/>
  <c r="K27" i="13"/>
  <c r="W26" i="13"/>
  <c r="J27" i="13"/>
  <c r="AX28" i="3"/>
  <c r="J7" i="13"/>
  <c r="J26" i="3"/>
  <c r="AW7" i="3"/>
  <c r="W86" i="13"/>
  <c r="BJ6" i="3"/>
  <c r="J68" i="13"/>
  <c r="X26" i="13"/>
  <c r="K26" i="3"/>
  <c r="P96" i="13"/>
  <c r="X67" i="13"/>
  <c r="BE23" i="3"/>
  <c r="BF23" i="3" s="1"/>
  <c r="BC23" i="3"/>
  <c r="BH23" i="3"/>
  <c r="BL23" i="3" s="1"/>
  <c r="C90" i="13"/>
  <c r="P94" i="13"/>
  <c r="X43" i="13"/>
  <c r="I11" i="6"/>
  <c r="I7" i="6"/>
  <c r="I3" i="6"/>
  <c r="I10" i="6"/>
  <c r="I6" i="6"/>
  <c r="I9" i="6"/>
  <c r="I4" i="6"/>
  <c r="I12" i="6"/>
  <c r="I8" i="6"/>
  <c r="J2" i="6"/>
  <c r="I5" i="6"/>
  <c r="BH19" i="3"/>
  <c r="BL18" i="3" s="1"/>
  <c r="BC19" i="3"/>
  <c r="AJ7" i="3"/>
  <c r="BE27" i="3"/>
  <c r="BF27" i="3" s="1"/>
  <c r="BG27" i="3" s="1"/>
  <c r="BA28" i="3"/>
  <c r="BH27" i="3"/>
  <c r="BL27" i="3" s="1"/>
  <c r="AW3" i="3"/>
  <c r="AT3" i="3"/>
  <c r="W7" i="3"/>
  <c r="BC34" i="3"/>
  <c r="K5" i="3"/>
  <c r="C92" i="13"/>
  <c r="J48" i="13"/>
  <c r="N88" i="13"/>
  <c r="R87" i="13"/>
  <c r="S87" i="13" s="1"/>
  <c r="T87" i="13" s="1"/>
  <c r="P91" i="13"/>
  <c r="D83" i="13"/>
  <c r="J81" i="13"/>
  <c r="T63" i="13"/>
  <c r="W63" i="13"/>
  <c r="BH26" i="3"/>
  <c r="BL26" i="3" s="1"/>
  <c r="BC26" i="3"/>
  <c r="BD26" i="3" s="1"/>
  <c r="BK26" i="3" s="1"/>
  <c r="BD27" i="3"/>
  <c r="W29" i="3"/>
  <c r="E7" i="3"/>
  <c r="F7" i="3" s="1"/>
  <c r="J7" i="3" s="1"/>
  <c r="A8" i="3"/>
  <c r="H7" i="3"/>
  <c r="L7" i="3" s="1"/>
  <c r="D7" i="3"/>
  <c r="AJ28" i="3"/>
  <c r="E69" i="13"/>
  <c r="F69" i="13" s="1"/>
  <c r="G69" i="13" s="1"/>
  <c r="K69" i="13" s="1"/>
  <c r="A70" i="13"/>
  <c r="AK3" i="3"/>
  <c r="AR29" i="3"/>
  <c r="AS29" i="3" s="1"/>
  <c r="AT29" i="3" s="1"/>
  <c r="AX29" i="3" s="1"/>
  <c r="AN30" i="3"/>
  <c r="AQ30" i="3" s="1"/>
  <c r="AU29" i="3"/>
  <c r="AY29" i="3" s="1"/>
  <c r="G66" i="13"/>
  <c r="K66" i="13" s="1"/>
  <c r="J66" i="13"/>
  <c r="BC16" i="3"/>
  <c r="BC3" i="3"/>
  <c r="BE3" i="3"/>
  <c r="BF3" i="3" s="1"/>
  <c r="BH3" i="3"/>
  <c r="BL3" i="3" s="1"/>
  <c r="J86" i="13"/>
  <c r="W67" i="13"/>
  <c r="K7" i="13"/>
  <c r="Y87" i="13"/>
  <c r="P87" i="13"/>
  <c r="Q87" i="13" s="1"/>
  <c r="AT23" i="3"/>
  <c r="AW23" i="3"/>
  <c r="X6" i="13"/>
  <c r="W6" i="13"/>
  <c r="E27" i="3"/>
  <c r="F27" i="3" s="1"/>
  <c r="G27" i="3" s="1"/>
  <c r="H27" i="3"/>
  <c r="L27" i="3" s="1"/>
  <c r="D27" i="3"/>
  <c r="A28" i="3"/>
  <c r="W47" i="13"/>
  <c r="R27" i="13"/>
  <c r="S27" i="13" s="1"/>
  <c r="T27" i="13" s="1"/>
  <c r="Y27" i="13"/>
  <c r="N28" i="13"/>
  <c r="Q27" i="13"/>
  <c r="AT24" i="3"/>
  <c r="AX24" i="3" s="1"/>
  <c r="AW24" i="3"/>
  <c r="AN9" i="3"/>
  <c r="AR8" i="3"/>
  <c r="AS8" i="3" s="1"/>
  <c r="AT8" i="3" s="1"/>
  <c r="AX8" i="3" s="1"/>
  <c r="AU8" i="3"/>
  <c r="AY8" i="3" s="1"/>
  <c r="AQ3" i="3"/>
  <c r="AW1" i="3"/>
  <c r="P90" i="13"/>
  <c r="R8" i="3"/>
  <c r="S8" i="3" s="1"/>
  <c r="T8" i="3" s="1"/>
  <c r="N9" i="3"/>
  <c r="Q8" i="3"/>
  <c r="U8" i="3"/>
  <c r="Y8" i="3" s="1"/>
  <c r="A50" i="13"/>
  <c r="E49" i="13"/>
  <c r="F49" i="13" s="1"/>
  <c r="G49" i="13" s="1"/>
  <c r="K49" i="13" s="1"/>
  <c r="L49" i="13"/>
  <c r="BC38" i="3"/>
  <c r="BH38" i="3"/>
  <c r="BL37" i="3" s="1"/>
  <c r="P98" i="13"/>
  <c r="W61" i="13"/>
  <c r="Q63" i="13"/>
  <c r="Y86" i="13"/>
  <c r="P86" i="13"/>
  <c r="Q86" i="13" s="1"/>
  <c r="X86" i="13" s="1"/>
  <c r="A29" i="13"/>
  <c r="E28" i="13"/>
  <c r="F28" i="13" s="1"/>
  <c r="G28" i="13" s="1"/>
  <c r="L28" i="13"/>
  <c r="D28" i="13"/>
  <c r="X29" i="3"/>
  <c r="R30" i="3"/>
  <c r="S30" i="3" s="1"/>
  <c r="T30" i="3" s="1"/>
  <c r="N31" i="3"/>
  <c r="Q30" i="3"/>
  <c r="U30" i="3"/>
  <c r="Y30" i="3" s="1"/>
  <c r="G6" i="3"/>
  <c r="BA8" i="3"/>
  <c r="BE7" i="3"/>
  <c r="BF7" i="3" s="1"/>
  <c r="BG7" i="3" s="1"/>
  <c r="BK7" i="3" s="1"/>
  <c r="C94" i="13"/>
  <c r="BK6" i="3"/>
  <c r="G65" i="13"/>
  <c r="K65" i="13" s="1"/>
  <c r="J65" i="13"/>
  <c r="C97" i="13"/>
  <c r="D70" i="13"/>
  <c r="N8" i="13"/>
  <c r="R7" i="13"/>
  <c r="S7" i="13" s="1"/>
  <c r="T7" i="13" s="1"/>
  <c r="Y7" i="13"/>
  <c r="Q7" i="13"/>
  <c r="C98" i="13"/>
  <c r="Q88" i="13"/>
  <c r="G83" i="13"/>
  <c r="J83" i="13"/>
  <c r="P92" i="13"/>
  <c r="BC32" i="3"/>
  <c r="AT26" i="3"/>
  <c r="AX26" i="3" s="1"/>
  <c r="AW26" i="3"/>
  <c r="AK23" i="3"/>
  <c r="C89" i="13"/>
  <c r="C96" i="13"/>
  <c r="C86" i="13"/>
  <c r="D86" i="13" s="1"/>
  <c r="L86" i="13"/>
  <c r="L85" i="13"/>
  <c r="C85" i="13"/>
  <c r="D85" i="13" s="1"/>
  <c r="E85" i="13"/>
  <c r="F85" i="13" s="1"/>
  <c r="E87" i="13"/>
  <c r="F87" i="13" s="1"/>
  <c r="G87" i="13" s="1"/>
  <c r="A88" i="13"/>
  <c r="D87" i="13"/>
  <c r="L87" i="13"/>
  <c r="R68" i="13"/>
  <c r="S68" i="13" s="1"/>
  <c r="T68" i="13" s="1"/>
  <c r="N69" i="13"/>
  <c r="Y68" i="13"/>
  <c r="E8" i="13"/>
  <c r="F8" i="13" s="1"/>
  <c r="G8" i="13" s="1"/>
  <c r="D8" i="13"/>
  <c r="L8" i="13"/>
  <c r="A9" i="13"/>
  <c r="BC30" i="3"/>
  <c r="AQ23" i="3"/>
  <c r="AW21" i="3"/>
  <c r="G84" i="13"/>
  <c r="K84" i="13" s="1"/>
  <c r="J84" i="13"/>
  <c r="R48" i="13"/>
  <c r="S48" i="13" s="1"/>
  <c r="T48" i="13" s="1"/>
  <c r="N49" i="13"/>
  <c r="Y48" i="13"/>
  <c r="Q48" i="13"/>
  <c r="BH24" i="3"/>
  <c r="BL24" i="3" s="1"/>
  <c r="BC24" i="3"/>
  <c r="BD24" i="3" s="1"/>
  <c r="BE24" i="3"/>
  <c r="BF24" i="3" s="1"/>
  <c r="AA9" i="3"/>
  <c r="AE8" i="3"/>
  <c r="AF8" i="3" s="1"/>
  <c r="AG8" i="3" s="1"/>
  <c r="AH8" i="3"/>
  <c r="AL8" i="3" s="1"/>
  <c r="AD8" i="3"/>
  <c r="BJ26" i="3"/>
  <c r="X7" i="3"/>
  <c r="X47" i="13"/>
  <c r="Q68" i="13"/>
  <c r="P95" i="13"/>
  <c r="R83" i="13"/>
  <c r="S83" i="13" s="1"/>
  <c r="Y83" i="13"/>
  <c r="P83" i="13"/>
  <c r="BH28" i="3"/>
  <c r="BL28" i="3" s="1"/>
  <c r="BC28" i="3"/>
  <c r="BD28" i="3" s="1"/>
  <c r="BG4" i="3"/>
  <c r="BK4" i="3" s="1"/>
  <c r="BJ4" i="3"/>
  <c r="AA30" i="3"/>
  <c r="AE29" i="3"/>
  <c r="AF29" i="3" s="1"/>
  <c r="AG29" i="3" s="1"/>
  <c r="AH29" i="3"/>
  <c r="AL29" i="3" s="1"/>
  <c r="AD29" i="3"/>
  <c r="K63" i="13"/>
  <c r="AW28" i="3"/>
  <c r="K86" i="13" l="1"/>
  <c r="J49" i="13"/>
  <c r="X63" i="13"/>
  <c r="X87" i="13"/>
  <c r="W48" i="13"/>
  <c r="K27" i="3"/>
  <c r="J27" i="3"/>
  <c r="K6" i="3"/>
  <c r="AW8" i="3"/>
  <c r="BK27" i="3"/>
  <c r="BJ27" i="3"/>
  <c r="AJ29" i="3"/>
  <c r="AJ8" i="3"/>
  <c r="AX3" i="3"/>
  <c r="AK8" i="3"/>
  <c r="AX23" i="3"/>
  <c r="K8" i="13"/>
  <c r="W7" i="13"/>
  <c r="J28" i="13"/>
  <c r="W8" i="3"/>
  <c r="X48" i="13"/>
  <c r="X7" i="13"/>
  <c r="X30" i="3"/>
  <c r="K28" i="13"/>
  <c r="X8" i="3"/>
  <c r="K87" i="13"/>
  <c r="A89" i="13"/>
  <c r="E88" i="13"/>
  <c r="F88" i="13" s="1"/>
  <c r="G88" i="13" s="1"/>
  <c r="L88" i="13"/>
  <c r="D88" i="13"/>
  <c r="G85" i="13"/>
  <c r="K85" i="13" s="1"/>
  <c r="J85" i="13"/>
  <c r="D89" i="13"/>
  <c r="N32" i="3"/>
  <c r="U31" i="3"/>
  <c r="Y31" i="3" s="1"/>
  <c r="R31" i="3"/>
  <c r="S31" i="3" s="1"/>
  <c r="T31" i="3" s="1"/>
  <c r="Q31" i="3"/>
  <c r="A51" i="13"/>
  <c r="E50" i="13"/>
  <c r="F50" i="13" s="1"/>
  <c r="G50" i="13" s="1"/>
  <c r="L50" i="13"/>
  <c r="D50" i="13"/>
  <c r="U9" i="3"/>
  <c r="Y9" i="3" s="1"/>
  <c r="N10" i="3"/>
  <c r="R9" i="3"/>
  <c r="S9" i="3" s="1"/>
  <c r="T9" i="3" s="1"/>
  <c r="Q9" i="3"/>
  <c r="X27" i="13"/>
  <c r="W27" i="13"/>
  <c r="AW29" i="3"/>
  <c r="J69" i="13"/>
  <c r="R88" i="13"/>
  <c r="S88" i="13" s="1"/>
  <c r="T88" i="13" s="1"/>
  <c r="X88" i="13" s="1"/>
  <c r="N89" i="13"/>
  <c r="Y88" i="13"/>
  <c r="J10" i="6"/>
  <c r="J6" i="6"/>
  <c r="J9" i="6"/>
  <c r="J5" i="6"/>
  <c r="K2" i="6"/>
  <c r="J12" i="6"/>
  <c r="J7" i="6"/>
  <c r="J4" i="6"/>
  <c r="J8" i="6"/>
  <c r="J11" i="6"/>
  <c r="J3" i="6"/>
  <c r="BJ23" i="3"/>
  <c r="BG23" i="3"/>
  <c r="N9" i="13"/>
  <c r="Y8" i="13"/>
  <c r="R8" i="13"/>
  <c r="S8" i="13" s="1"/>
  <c r="T8" i="13" s="1"/>
  <c r="Q8" i="13"/>
  <c r="BE8" i="3"/>
  <c r="BF8" i="3" s="1"/>
  <c r="BG8" i="3" s="1"/>
  <c r="BA9" i="3"/>
  <c r="BH8" i="3"/>
  <c r="BL8" i="3" s="1"/>
  <c r="K83" i="13"/>
  <c r="BJ21" i="3"/>
  <c r="BD23" i="3"/>
  <c r="AA10" i="3"/>
  <c r="AE9" i="3"/>
  <c r="AF9" i="3" s="1"/>
  <c r="AG9" i="3" s="1"/>
  <c r="AH9" i="3"/>
  <c r="AL9" i="3" s="1"/>
  <c r="AD9" i="3"/>
  <c r="X68" i="13"/>
  <c r="N50" i="13"/>
  <c r="R49" i="13"/>
  <c r="S49" i="13" s="1"/>
  <c r="T49" i="13" s="1"/>
  <c r="Y49" i="13"/>
  <c r="Q49" i="13"/>
  <c r="Y28" i="13"/>
  <c r="N29" i="13"/>
  <c r="R28" i="13"/>
  <c r="S28" i="13" s="1"/>
  <c r="T28" i="13" s="1"/>
  <c r="Q28" i="13"/>
  <c r="BG3" i="3"/>
  <c r="BJ3" i="3"/>
  <c r="E8" i="3"/>
  <c r="F8" i="3" s="1"/>
  <c r="J8" i="3" s="1"/>
  <c r="A9" i="3"/>
  <c r="H8" i="3"/>
  <c r="L8" i="3" s="1"/>
  <c r="D8" i="3"/>
  <c r="BA29" i="3"/>
  <c r="BE28" i="3"/>
  <c r="BF28" i="3" s="1"/>
  <c r="BG28" i="3" s="1"/>
  <c r="BK28" i="3" s="1"/>
  <c r="BD8" i="3"/>
  <c r="N70" i="13"/>
  <c r="R69" i="13"/>
  <c r="S69" i="13" s="1"/>
  <c r="T69" i="13" s="1"/>
  <c r="Y69" i="13"/>
  <c r="Q69" i="13"/>
  <c r="Q83" i="13"/>
  <c r="W81" i="13"/>
  <c r="E9" i="13"/>
  <c r="F9" i="13" s="1"/>
  <c r="G9" i="13" s="1"/>
  <c r="L9" i="13"/>
  <c r="A10" i="13"/>
  <c r="D9" i="13"/>
  <c r="J8" i="13"/>
  <c r="W68" i="13"/>
  <c r="AK29" i="3"/>
  <c r="AE30" i="3"/>
  <c r="AF30" i="3" s="1"/>
  <c r="AG30" i="3" s="1"/>
  <c r="AA31" i="3"/>
  <c r="AH30" i="3"/>
  <c r="AL30" i="3" s="1"/>
  <c r="AD30" i="3"/>
  <c r="W83" i="13"/>
  <c r="T83" i="13"/>
  <c r="BG24" i="3"/>
  <c r="BK24" i="3" s="1"/>
  <c r="BJ24" i="3"/>
  <c r="J87" i="13"/>
  <c r="BJ7" i="3"/>
  <c r="W30" i="3"/>
  <c r="E29" i="13"/>
  <c r="F29" i="13" s="1"/>
  <c r="G29" i="13" s="1"/>
  <c r="A30" i="13"/>
  <c r="L29" i="13"/>
  <c r="D29" i="13"/>
  <c r="AR9" i="3"/>
  <c r="AS9" i="3" s="1"/>
  <c r="AT9" i="3" s="1"/>
  <c r="AN10" i="3"/>
  <c r="AU9" i="3"/>
  <c r="AY9" i="3" s="1"/>
  <c r="AQ9" i="3"/>
  <c r="A29" i="3"/>
  <c r="H28" i="3"/>
  <c r="L28" i="3" s="1"/>
  <c r="D28" i="3"/>
  <c r="E28" i="3"/>
  <c r="F28" i="3" s="1"/>
  <c r="G28" i="3" s="1"/>
  <c r="BJ1" i="3"/>
  <c r="BD3" i="3"/>
  <c r="AN31" i="3"/>
  <c r="AR30" i="3"/>
  <c r="AS30" i="3" s="1"/>
  <c r="AT30" i="3" s="1"/>
  <c r="AX30" i="3" s="1"/>
  <c r="AU30" i="3"/>
  <c r="AY30" i="3" s="1"/>
  <c r="A71" i="13"/>
  <c r="E70" i="13"/>
  <c r="F70" i="13" s="1"/>
  <c r="G70" i="13" s="1"/>
  <c r="K70" i="13" s="1"/>
  <c r="L70" i="13"/>
  <c r="G7" i="3"/>
  <c r="W87" i="13"/>
  <c r="BK8" i="3" l="1"/>
  <c r="BJ8" i="3"/>
  <c r="BK3" i="3"/>
  <c r="AW30" i="3"/>
  <c r="J28" i="3"/>
  <c r="W49" i="13"/>
  <c r="J50" i="13"/>
  <c r="X49" i="13"/>
  <c r="W88" i="13"/>
  <c r="W28" i="13"/>
  <c r="J29" i="13"/>
  <c r="AJ30" i="3"/>
  <c r="X83" i="13"/>
  <c r="X31" i="3"/>
  <c r="BK23" i="3"/>
  <c r="K29" i="13"/>
  <c r="AK30" i="3"/>
  <c r="X28" i="13"/>
  <c r="K50" i="13"/>
  <c r="A31" i="13"/>
  <c r="E30" i="13"/>
  <c r="F30" i="13" s="1"/>
  <c r="G30" i="13" s="1"/>
  <c r="L30" i="13"/>
  <c r="D30" i="13"/>
  <c r="BA10" i="3"/>
  <c r="BE9" i="3"/>
  <c r="BF9" i="3" s="1"/>
  <c r="BG9" i="3" s="1"/>
  <c r="BH9" i="3"/>
  <c r="BL9" i="3" s="1"/>
  <c r="BD9" i="3"/>
  <c r="E51" i="13"/>
  <c r="F51" i="13" s="1"/>
  <c r="G51" i="13" s="1"/>
  <c r="L51" i="13"/>
  <c r="A52" i="13"/>
  <c r="D51" i="13"/>
  <c r="E71" i="13"/>
  <c r="F71" i="13" s="1"/>
  <c r="G71" i="13" s="1"/>
  <c r="A72" i="13"/>
  <c r="L71" i="13"/>
  <c r="D71" i="13"/>
  <c r="AR31" i="3"/>
  <c r="AS31" i="3" s="1"/>
  <c r="AT31" i="3" s="1"/>
  <c r="AN32" i="3"/>
  <c r="AQ31" i="3"/>
  <c r="AU31" i="3"/>
  <c r="AY31" i="3" s="1"/>
  <c r="AX9" i="3"/>
  <c r="AW9" i="3"/>
  <c r="K9" i="13"/>
  <c r="J9" i="13"/>
  <c r="W69" i="13"/>
  <c r="BJ28" i="3"/>
  <c r="AJ9" i="3"/>
  <c r="R89" i="13"/>
  <c r="S89" i="13" s="1"/>
  <c r="T89" i="13" s="1"/>
  <c r="N90" i="13"/>
  <c r="Y89" i="13"/>
  <c r="Q89" i="13"/>
  <c r="W9" i="3"/>
  <c r="K88" i="13"/>
  <c r="E89" i="13"/>
  <c r="F89" i="13" s="1"/>
  <c r="G89" i="13" s="1"/>
  <c r="K89" i="13" s="1"/>
  <c r="A90" i="13"/>
  <c r="L89" i="13"/>
  <c r="R32" i="3"/>
  <c r="S32" i="3" s="1"/>
  <c r="T32" i="3" s="1"/>
  <c r="N33" i="3"/>
  <c r="U32" i="3"/>
  <c r="Y32" i="3" s="1"/>
  <c r="Q32" i="3"/>
  <c r="E29" i="3"/>
  <c r="F29" i="3" s="1"/>
  <c r="G29" i="3" s="1"/>
  <c r="H29" i="3"/>
  <c r="L29" i="3" s="1"/>
  <c r="A30" i="3"/>
  <c r="D29" i="3"/>
  <c r="K7" i="3"/>
  <c r="G8" i="3"/>
  <c r="R50" i="13"/>
  <c r="S50" i="13" s="1"/>
  <c r="T50" i="13" s="1"/>
  <c r="N51" i="13"/>
  <c r="Y50" i="13"/>
  <c r="Q50" i="13"/>
  <c r="K28" i="3"/>
  <c r="AA32" i="3"/>
  <c r="AE31" i="3"/>
  <c r="AF31" i="3" s="1"/>
  <c r="AG31" i="3" s="1"/>
  <c r="AH31" i="3"/>
  <c r="AL31" i="3" s="1"/>
  <c r="AD31" i="3"/>
  <c r="L10" i="13"/>
  <c r="A11" i="13"/>
  <c r="E10" i="13"/>
  <c r="F10" i="13" s="1"/>
  <c r="G10" i="13" s="1"/>
  <c r="D10" i="13"/>
  <c r="BE29" i="3"/>
  <c r="BF29" i="3" s="1"/>
  <c r="BG29" i="3" s="1"/>
  <c r="BA30" i="3"/>
  <c r="BH29" i="3"/>
  <c r="BL29" i="3" s="1"/>
  <c r="BD29" i="3"/>
  <c r="AK9" i="3"/>
  <c r="AA11" i="3"/>
  <c r="AE10" i="3"/>
  <c r="AF10" i="3" s="1"/>
  <c r="AG10" i="3" s="1"/>
  <c r="AD10" i="3"/>
  <c r="AH10" i="3"/>
  <c r="AL10" i="3" s="1"/>
  <c r="W8" i="13"/>
  <c r="R10" i="3"/>
  <c r="S10" i="3" s="1"/>
  <c r="T10" i="3" s="1"/>
  <c r="Q10" i="3"/>
  <c r="N11" i="3"/>
  <c r="U10" i="3"/>
  <c r="Y10" i="3" s="1"/>
  <c r="J70" i="13"/>
  <c r="AN11" i="3"/>
  <c r="AR10" i="3"/>
  <c r="AS10" i="3" s="1"/>
  <c r="AT10" i="3" s="1"/>
  <c r="AU10" i="3"/>
  <c r="AY10" i="3" s="1"/>
  <c r="AQ10" i="3"/>
  <c r="X69" i="13"/>
  <c r="R70" i="13"/>
  <c r="S70" i="13" s="1"/>
  <c r="T70" i="13" s="1"/>
  <c r="N71" i="13"/>
  <c r="Y70" i="13"/>
  <c r="Q70" i="13"/>
  <c r="E9" i="3"/>
  <c r="F9" i="3" s="1"/>
  <c r="A10" i="3"/>
  <c r="H9" i="3"/>
  <c r="L9" i="3" s="1"/>
  <c r="D9" i="3"/>
  <c r="Q29" i="13"/>
  <c r="Y29" i="13"/>
  <c r="R29" i="13"/>
  <c r="S29" i="13" s="1"/>
  <c r="T29" i="13" s="1"/>
  <c r="N30" i="13"/>
  <c r="X8" i="13"/>
  <c r="N10" i="13"/>
  <c r="R9" i="13"/>
  <c r="S9" i="13" s="1"/>
  <c r="T9" i="13" s="1"/>
  <c r="Y9" i="13"/>
  <c r="Q9" i="13"/>
  <c r="K9" i="6"/>
  <c r="K5" i="6"/>
  <c r="L2" i="6"/>
  <c r="K12" i="6"/>
  <c r="K8" i="6"/>
  <c r="K4" i="6"/>
  <c r="K11" i="6"/>
  <c r="K10" i="6"/>
  <c r="K6" i="6"/>
  <c r="K3" i="6"/>
  <c r="K7" i="6"/>
  <c r="X9" i="3"/>
  <c r="W31" i="3"/>
  <c r="J88" i="13"/>
  <c r="X89" i="13" l="1"/>
  <c r="J10" i="13"/>
  <c r="X10" i="3"/>
  <c r="W32" i="3"/>
  <c r="J89" i="13"/>
  <c r="AW31" i="3"/>
  <c r="AJ31" i="3"/>
  <c r="AX10" i="3"/>
  <c r="X9" i="13"/>
  <c r="X29" i="13"/>
  <c r="BJ29" i="3"/>
  <c r="X70" i="13"/>
  <c r="W70" i="13"/>
  <c r="AW10" i="3"/>
  <c r="W10" i="3"/>
  <c r="W89" i="13"/>
  <c r="BK9" i="3"/>
  <c r="J30" i="13"/>
  <c r="K29" i="3"/>
  <c r="J29" i="3"/>
  <c r="X32" i="3"/>
  <c r="AK31" i="3"/>
  <c r="BK29" i="3"/>
  <c r="X50" i="13"/>
  <c r="A12" i="13"/>
  <c r="L11" i="13"/>
  <c r="E11" i="13"/>
  <c r="F11" i="13" s="1"/>
  <c r="G11" i="13" s="1"/>
  <c r="D11" i="13"/>
  <c r="AN33" i="3"/>
  <c r="AR32" i="3"/>
  <c r="AS32" i="3" s="1"/>
  <c r="AT32" i="3" s="1"/>
  <c r="AU32" i="3"/>
  <c r="AY32" i="3" s="1"/>
  <c r="AQ32" i="3"/>
  <c r="L12" i="6"/>
  <c r="L8" i="6"/>
  <c r="L4" i="6"/>
  <c r="L11" i="6"/>
  <c r="L7" i="6"/>
  <c r="L3" i="6"/>
  <c r="L10" i="6"/>
  <c r="L9" i="6"/>
  <c r="L6" i="6"/>
  <c r="M2" i="6"/>
  <c r="L5" i="6"/>
  <c r="W29" i="13"/>
  <c r="E10" i="3"/>
  <c r="F10" i="3" s="1"/>
  <c r="A11" i="3"/>
  <c r="H10" i="3"/>
  <c r="L10" i="3" s="1"/>
  <c r="D10" i="3"/>
  <c r="N12" i="3"/>
  <c r="R11" i="3"/>
  <c r="S11" i="3" s="1"/>
  <c r="T11" i="3" s="1"/>
  <c r="U11" i="3"/>
  <c r="Y11" i="3" s="1"/>
  <c r="Q11" i="3"/>
  <c r="AJ10" i="3"/>
  <c r="K10" i="13"/>
  <c r="A31" i="3"/>
  <c r="H30" i="3"/>
  <c r="L30" i="3" s="1"/>
  <c r="D30" i="3"/>
  <c r="E30" i="3"/>
  <c r="F30" i="3" s="1"/>
  <c r="G30" i="3" s="1"/>
  <c r="R90" i="13"/>
  <c r="S90" i="13" s="1"/>
  <c r="T90" i="13" s="1"/>
  <c r="N91" i="13"/>
  <c r="Y90" i="13"/>
  <c r="Q90" i="13"/>
  <c r="K8" i="3"/>
  <c r="A73" i="13"/>
  <c r="E72" i="13"/>
  <c r="F72" i="13" s="1"/>
  <c r="G72" i="13" s="1"/>
  <c r="L72" i="13"/>
  <c r="D72" i="13"/>
  <c r="K51" i="13"/>
  <c r="J51" i="13"/>
  <c r="BJ9" i="3"/>
  <c r="G9" i="3"/>
  <c r="N72" i="13"/>
  <c r="R71" i="13"/>
  <c r="S71" i="13" s="1"/>
  <c r="T71" i="13" s="1"/>
  <c r="Y71" i="13"/>
  <c r="Q71" i="13"/>
  <c r="AE32" i="3"/>
  <c r="AF32" i="3" s="1"/>
  <c r="AG32" i="3" s="1"/>
  <c r="AA33" i="3"/>
  <c r="AH32" i="3"/>
  <c r="AL32" i="3" s="1"/>
  <c r="AD32" i="3"/>
  <c r="W50" i="13"/>
  <c r="N34" i="3"/>
  <c r="R33" i="3"/>
  <c r="S33" i="3" s="1"/>
  <c r="T33" i="3" s="1"/>
  <c r="Q33" i="3"/>
  <c r="U33" i="3"/>
  <c r="Y33" i="3" s="1"/>
  <c r="A91" i="13"/>
  <c r="E90" i="13"/>
  <c r="F90" i="13" s="1"/>
  <c r="G90" i="13" s="1"/>
  <c r="L90" i="13"/>
  <c r="D90" i="13"/>
  <c r="BE10" i="3"/>
  <c r="BF10" i="3" s="1"/>
  <c r="BG10" i="3" s="1"/>
  <c r="BA11" i="3"/>
  <c r="BH10" i="3"/>
  <c r="BL10" i="3" s="1"/>
  <c r="BD10" i="3"/>
  <c r="A32" i="13"/>
  <c r="L31" i="13"/>
  <c r="E31" i="13"/>
  <c r="F31" i="13" s="1"/>
  <c r="G31" i="13" s="1"/>
  <c r="D31" i="13"/>
  <c r="R10" i="13"/>
  <c r="S10" i="13" s="1"/>
  <c r="T10" i="13" s="1"/>
  <c r="N11" i="13"/>
  <c r="Y10" i="13"/>
  <c r="Q10" i="13"/>
  <c r="R30" i="13"/>
  <c r="S30" i="13" s="1"/>
  <c r="T30" i="13" s="1"/>
  <c r="N31" i="13"/>
  <c r="Y30" i="13"/>
  <c r="Q30" i="13"/>
  <c r="AR11" i="3"/>
  <c r="AS11" i="3" s="1"/>
  <c r="AT11" i="3" s="1"/>
  <c r="AN12" i="3"/>
  <c r="AU11" i="3"/>
  <c r="AY11" i="3" s="1"/>
  <c r="AQ11" i="3"/>
  <c r="AE11" i="3"/>
  <c r="AF11" i="3" s="1"/>
  <c r="AG11" i="3" s="1"/>
  <c r="AA12" i="3"/>
  <c r="AD11" i="3"/>
  <c r="AH11" i="3"/>
  <c r="AL11" i="3" s="1"/>
  <c r="BA31" i="3"/>
  <c r="BE30" i="3"/>
  <c r="BF30" i="3" s="1"/>
  <c r="BG30" i="3" s="1"/>
  <c r="BH30" i="3"/>
  <c r="BL30" i="3" s="1"/>
  <c r="BD30" i="3"/>
  <c r="A53" i="13"/>
  <c r="E52" i="13"/>
  <c r="F52" i="13" s="1"/>
  <c r="G52" i="13" s="1"/>
  <c r="L52" i="13"/>
  <c r="D52" i="13"/>
  <c r="W9" i="13"/>
  <c r="J9" i="3"/>
  <c r="AK10" i="3"/>
  <c r="R51" i="13"/>
  <c r="S51" i="13" s="1"/>
  <c r="T51" i="13" s="1"/>
  <c r="N52" i="13"/>
  <c r="Y51" i="13"/>
  <c r="Q51" i="13"/>
  <c r="AX31" i="3"/>
  <c r="K71" i="13"/>
  <c r="J71" i="13"/>
  <c r="K30" i="13"/>
  <c r="K9" i="3" l="1"/>
  <c r="W51" i="13"/>
  <c r="J52" i="13"/>
  <c r="J30" i="3"/>
  <c r="J31" i="13"/>
  <c r="AJ11" i="3"/>
  <c r="X30" i="13"/>
  <c r="W30" i="13"/>
  <c r="AW32" i="3"/>
  <c r="X51" i="13"/>
  <c r="K52" i="13"/>
  <c r="BJ30" i="3"/>
  <c r="K31" i="13"/>
  <c r="W71" i="13"/>
  <c r="X11" i="3"/>
  <c r="BK30" i="3"/>
  <c r="X71" i="13"/>
  <c r="X33" i="3"/>
  <c r="K30" i="3"/>
  <c r="R12" i="3"/>
  <c r="S12" i="3" s="1"/>
  <c r="T12" i="3" s="1"/>
  <c r="Q12" i="3"/>
  <c r="N13" i="3"/>
  <c r="U12" i="3"/>
  <c r="Y12" i="3" s="1"/>
  <c r="G10" i="3"/>
  <c r="BE31" i="3"/>
  <c r="BF31" i="3" s="1"/>
  <c r="BG31" i="3" s="1"/>
  <c r="BA32" i="3"/>
  <c r="BH31" i="3"/>
  <c r="BL31" i="3" s="1"/>
  <c r="BD31" i="3"/>
  <c r="AN13" i="3"/>
  <c r="AR12" i="3"/>
  <c r="AS12" i="3" s="1"/>
  <c r="AT12" i="3" s="1"/>
  <c r="AU12" i="3"/>
  <c r="AY12" i="3" s="1"/>
  <c r="AQ12" i="3"/>
  <c r="X10" i="13"/>
  <c r="W10" i="13"/>
  <c r="BA12" i="3"/>
  <c r="BE11" i="3"/>
  <c r="BF11" i="3" s="1"/>
  <c r="BG11" i="3" s="1"/>
  <c r="BH11" i="3"/>
  <c r="BL11" i="3" s="1"/>
  <c r="BD11" i="3"/>
  <c r="K90" i="13"/>
  <c r="E91" i="13"/>
  <c r="F91" i="13" s="1"/>
  <c r="G91" i="13" s="1"/>
  <c r="A92" i="13"/>
  <c r="L91" i="13"/>
  <c r="D91" i="13"/>
  <c r="AA34" i="3"/>
  <c r="AE33" i="3"/>
  <c r="AF33" i="3" s="1"/>
  <c r="AG33" i="3" s="1"/>
  <c r="AH33" i="3"/>
  <c r="AL33" i="3" s="1"/>
  <c r="AD33" i="3"/>
  <c r="J72" i="13"/>
  <c r="E31" i="3"/>
  <c r="F31" i="3" s="1"/>
  <c r="G31" i="3" s="1"/>
  <c r="A32" i="3"/>
  <c r="H31" i="3"/>
  <c r="L31" i="3" s="1"/>
  <c r="D31" i="3"/>
  <c r="J10" i="3"/>
  <c r="AX32" i="3"/>
  <c r="AR33" i="3"/>
  <c r="AS33" i="3" s="1"/>
  <c r="AT33" i="3" s="1"/>
  <c r="AN34" i="3"/>
  <c r="AU33" i="3"/>
  <c r="AY33" i="3" s="1"/>
  <c r="AQ33" i="3"/>
  <c r="Y31" i="13"/>
  <c r="N32" i="13"/>
  <c r="R31" i="13"/>
  <c r="S31" i="13" s="1"/>
  <c r="T31" i="13" s="1"/>
  <c r="Q31" i="13"/>
  <c r="E32" i="13"/>
  <c r="F32" i="13" s="1"/>
  <c r="G32" i="13" s="1"/>
  <c r="A33" i="13"/>
  <c r="L32" i="13"/>
  <c r="D32" i="13"/>
  <c r="R34" i="3"/>
  <c r="S34" i="3" s="1"/>
  <c r="T34" i="3" s="1"/>
  <c r="N35" i="3"/>
  <c r="U34" i="3"/>
  <c r="Y34" i="3" s="1"/>
  <c r="Q34" i="3"/>
  <c r="K72" i="13"/>
  <c r="E73" i="13"/>
  <c r="F73" i="13" s="1"/>
  <c r="G73" i="13" s="1"/>
  <c r="A74" i="13"/>
  <c r="L73" i="13"/>
  <c r="D73" i="13"/>
  <c r="R91" i="13"/>
  <c r="S91" i="13" s="1"/>
  <c r="T91" i="13" s="1"/>
  <c r="N92" i="13"/>
  <c r="Y91" i="13"/>
  <c r="Q91" i="13"/>
  <c r="W11" i="3"/>
  <c r="J11" i="13"/>
  <c r="E12" i="13"/>
  <c r="F12" i="13" s="1"/>
  <c r="G12" i="13" s="1"/>
  <c r="A13" i="13"/>
  <c r="L12" i="13"/>
  <c r="D12" i="13"/>
  <c r="R52" i="13"/>
  <c r="S52" i="13" s="1"/>
  <c r="T52" i="13" s="1"/>
  <c r="N53" i="13"/>
  <c r="Y52" i="13"/>
  <c r="Q52" i="13"/>
  <c r="E53" i="13"/>
  <c r="F53" i="13" s="1"/>
  <c r="G53" i="13" s="1"/>
  <c r="A54" i="13"/>
  <c r="L53" i="13"/>
  <c r="D53" i="13"/>
  <c r="AA13" i="3"/>
  <c r="AE12" i="3"/>
  <c r="AF12" i="3" s="1"/>
  <c r="AG12" i="3" s="1"/>
  <c r="AD12" i="3"/>
  <c r="AH12" i="3"/>
  <c r="AL12" i="3" s="1"/>
  <c r="R72" i="13"/>
  <c r="S72" i="13" s="1"/>
  <c r="T72" i="13" s="1"/>
  <c r="N73" i="13"/>
  <c r="Y72" i="13"/>
  <c r="Q72" i="13"/>
  <c r="X90" i="13"/>
  <c r="AK11" i="3"/>
  <c r="AX11" i="3"/>
  <c r="AW11" i="3"/>
  <c r="R11" i="13"/>
  <c r="S11" i="13" s="1"/>
  <c r="T11" i="13" s="1"/>
  <c r="N12" i="13"/>
  <c r="Y11" i="13"/>
  <c r="Q11" i="13"/>
  <c r="BK10" i="3"/>
  <c r="BJ10" i="3"/>
  <c r="J90" i="13"/>
  <c r="W33" i="3"/>
  <c r="AK32" i="3"/>
  <c r="AJ32" i="3"/>
  <c r="W90" i="13"/>
  <c r="A12" i="3"/>
  <c r="H11" i="3"/>
  <c r="L11" i="3" s="1"/>
  <c r="E11" i="3"/>
  <c r="F11" i="3" s="1"/>
  <c r="D11" i="3"/>
  <c r="M11" i="6"/>
  <c r="M7" i="6"/>
  <c r="M3" i="6"/>
  <c r="M10" i="6"/>
  <c r="M6" i="6"/>
  <c r="M9" i="6"/>
  <c r="M8" i="6"/>
  <c r="N2" i="6"/>
  <c r="M12" i="6"/>
  <c r="M5" i="6"/>
  <c r="M4" i="6"/>
  <c r="K11" i="13"/>
  <c r="X11" i="13" l="1"/>
  <c r="X12" i="3"/>
  <c r="W11" i="13"/>
  <c r="W31" i="13"/>
  <c r="X31" i="13"/>
  <c r="J32" i="13"/>
  <c r="AW33" i="3"/>
  <c r="W52" i="13"/>
  <c r="J73" i="13"/>
  <c r="AW12" i="3"/>
  <c r="AK12" i="3"/>
  <c r="K32" i="13"/>
  <c r="AX33" i="3"/>
  <c r="AX12" i="3"/>
  <c r="AK33" i="3"/>
  <c r="K73" i="13"/>
  <c r="N13" i="13"/>
  <c r="R12" i="13"/>
  <c r="S12" i="13" s="1"/>
  <c r="T12" i="13" s="1"/>
  <c r="Y12" i="13"/>
  <c r="Q12" i="13"/>
  <c r="AE13" i="3"/>
  <c r="AF13" i="3" s="1"/>
  <c r="AG13" i="3" s="1"/>
  <c r="AA14" i="3"/>
  <c r="AH13" i="3"/>
  <c r="AL13" i="3" s="1"/>
  <c r="AD13" i="3"/>
  <c r="K53" i="13"/>
  <c r="J53" i="13"/>
  <c r="E13" i="13"/>
  <c r="F13" i="13" s="1"/>
  <c r="G13" i="13" s="1"/>
  <c r="L13" i="13"/>
  <c r="A14" i="13"/>
  <c r="D13" i="13"/>
  <c r="N93" i="13"/>
  <c r="R92" i="13"/>
  <c r="S92" i="13" s="1"/>
  <c r="T92" i="13" s="1"/>
  <c r="Y92" i="13"/>
  <c r="Q92" i="13"/>
  <c r="Q35" i="3"/>
  <c r="N36" i="3"/>
  <c r="U35" i="3"/>
  <c r="Y35" i="3" s="1"/>
  <c r="R35" i="3"/>
  <c r="S35" i="3" s="1"/>
  <c r="T35" i="3" s="1"/>
  <c r="K31" i="3"/>
  <c r="J31" i="3"/>
  <c r="K91" i="13"/>
  <c r="J91" i="13"/>
  <c r="BA33" i="3"/>
  <c r="BE32" i="3"/>
  <c r="BF32" i="3" s="1"/>
  <c r="BG32" i="3" s="1"/>
  <c r="BH32" i="3"/>
  <c r="BL32" i="3" s="1"/>
  <c r="BD32" i="3"/>
  <c r="R53" i="13"/>
  <c r="S53" i="13" s="1"/>
  <c r="T53" i="13" s="1"/>
  <c r="N54" i="13"/>
  <c r="Y53" i="13"/>
  <c r="Q53" i="13"/>
  <c r="G11" i="3"/>
  <c r="N74" i="13"/>
  <c r="R73" i="13"/>
  <c r="S73" i="13" s="1"/>
  <c r="T73" i="13" s="1"/>
  <c r="Y73" i="13"/>
  <c r="Q73" i="13"/>
  <c r="A75" i="13"/>
  <c r="E74" i="13"/>
  <c r="F74" i="13" s="1"/>
  <c r="G74" i="13" s="1"/>
  <c r="L74" i="13"/>
  <c r="D74" i="13"/>
  <c r="A34" i="13"/>
  <c r="E33" i="13"/>
  <c r="F33" i="13" s="1"/>
  <c r="G33" i="13" s="1"/>
  <c r="L33" i="13"/>
  <c r="D33" i="13"/>
  <c r="AN35" i="3"/>
  <c r="AR34" i="3"/>
  <c r="AS34" i="3" s="1"/>
  <c r="AT34" i="3" s="1"/>
  <c r="AU34" i="3"/>
  <c r="AY34" i="3" s="1"/>
  <c r="AQ34" i="3"/>
  <c r="BJ11" i="3"/>
  <c r="AR13" i="3"/>
  <c r="AS13" i="3" s="1"/>
  <c r="AT13" i="3" s="1"/>
  <c r="AN14" i="3"/>
  <c r="AU13" i="3"/>
  <c r="AY13" i="3" s="1"/>
  <c r="AQ13" i="3"/>
  <c r="W12" i="3"/>
  <c r="AE34" i="3"/>
  <c r="AF34" i="3" s="1"/>
  <c r="AG34" i="3" s="1"/>
  <c r="AA35" i="3"/>
  <c r="AH34" i="3"/>
  <c r="AL34" i="3" s="1"/>
  <c r="AD34" i="3"/>
  <c r="X52" i="13"/>
  <c r="N10" i="6"/>
  <c r="N6" i="6"/>
  <c r="N9" i="6"/>
  <c r="N5" i="6"/>
  <c r="O2" i="6"/>
  <c r="N12" i="6"/>
  <c r="N3" i="6"/>
  <c r="N11" i="6"/>
  <c r="N7" i="6"/>
  <c r="N4" i="6"/>
  <c r="N8" i="6"/>
  <c r="J11" i="3"/>
  <c r="E12" i="3"/>
  <c r="F12" i="3" s="1"/>
  <c r="A13" i="3"/>
  <c r="H12" i="3"/>
  <c r="L12" i="3" s="1"/>
  <c r="D12" i="3"/>
  <c r="X72" i="13"/>
  <c r="W72" i="13"/>
  <c r="AJ12" i="3"/>
  <c r="A55" i="13"/>
  <c r="E54" i="13"/>
  <c r="F54" i="13" s="1"/>
  <c r="G54" i="13" s="1"/>
  <c r="L54" i="13"/>
  <c r="D54" i="13"/>
  <c r="K12" i="13"/>
  <c r="J12" i="13"/>
  <c r="X91" i="13"/>
  <c r="W91" i="13"/>
  <c r="X34" i="3"/>
  <c r="W34" i="3"/>
  <c r="N33" i="13"/>
  <c r="Y32" i="13"/>
  <c r="Q32" i="13"/>
  <c r="R32" i="13"/>
  <c r="S32" i="13" s="1"/>
  <c r="T32" i="13" s="1"/>
  <c r="K10" i="3"/>
  <c r="A33" i="3"/>
  <c r="H32" i="3"/>
  <c r="L32" i="3" s="1"/>
  <c r="D32" i="3"/>
  <c r="E32" i="3"/>
  <c r="F32" i="3" s="1"/>
  <c r="G32" i="3" s="1"/>
  <c r="AJ33" i="3"/>
  <c r="A93" i="13"/>
  <c r="E92" i="13"/>
  <c r="F92" i="13" s="1"/>
  <c r="G92" i="13" s="1"/>
  <c r="L92" i="13"/>
  <c r="D92" i="13"/>
  <c r="BK11" i="3"/>
  <c r="BE12" i="3"/>
  <c r="BF12" i="3" s="1"/>
  <c r="BG12" i="3" s="1"/>
  <c r="BA13" i="3"/>
  <c r="BH12" i="3"/>
  <c r="BL12" i="3" s="1"/>
  <c r="BD12" i="3"/>
  <c r="BK31" i="3"/>
  <c r="BJ31" i="3"/>
  <c r="N14" i="3"/>
  <c r="R13" i="3"/>
  <c r="S13" i="3" s="1"/>
  <c r="T13" i="3" s="1"/>
  <c r="U13" i="3"/>
  <c r="Y13" i="3" s="1"/>
  <c r="Q13" i="3"/>
  <c r="W32" i="13" l="1"/>
  <c r="W13" i="3"/>
  <c r="W53" i="13"/>
  <c r="AJ34" i="3"/>
  <c r="X32" i="13"/>
  <c r="AX34" i="3"/>
  <c r="W92" i="13"/>
  <c r="J74" i="13"/>
  <c r="BJ32" i="3"/>
  <c r="AJ13" i="3"/>
  <c r="K74" i="13"/>
  <c r="AK13" i="3"/>
  <c r="X92" i="13"/>
  <c r="AK34" i="3"/>
  <c r="X53" i="13"/>
  <c r="AN36" i="3"/>
  <c r="AR35" i="3"/>
  <c r="AS35" i="3" s="1"/>
  <c r="AT35" i="3" s="1"/>
  <c r="AU35" i="3"/>
  <c r="AY35" i="3" s="1"/>
  <c r="AQ35" i="3"/>
  <c r="J54" i="13"/>
  <c r="G12" i="3"/>
  <c r="X73" i="13"/>
  <c r="R74" i="13"/>
  <c r="S74" i="13" s="1"/>
  <c r="T74" i="13" s="1"/>
  <c r="N75" i="13"/>
  <c r="Y74" i="13"/>
  <c r="Q74" i="13"/>
  <c r="N37" i="3"/>
  <c r="U36" i="3"/>
  <c r="R36" i="3"/>
  <c r="S36" i="3" s="1"/>
  <c r="T36" i="3" s="1"/>
  <c r="Q36" i="3"/>
  <c r="K13" i="13"/>
  <c r="J13" i="13"/>
  <c r="X12" i="13"/>
  <c r="N14" i="13"/>
  <c r="R13" i="13"/>
  <c r="S13" i="13" s="1"/>
  <c r="T13" i="13" s="1"/>
  <c r="Y13" i="13"/>
  <c r="Q13" i="13"/>
  <c r="A14" i="3"/>
  <c r="H13" i="3"/>
  <c r="L13" i="3" s="1"/>
  <c r="E13" i="3"/>
  <c r="F13" i="3" s="1"/>
  <c r="D13" i="3"/>
  <c r="BK12" i="3"/>
  <c r="BJ12" i="3"/>
  <c r="X13" i="3"/>
  <c r="R14" i="3"/>
  <c r="S14" i="3" s="1"/>
  <c r="T14" i="3" s="1"/>
  <c r="Q14" i="3"/>
  <c r="N15" i="3"/>
  <c r="U14" i="3"/>
  <c r="Y14" i="3" s="1"/>
  <c r="J92" i="13"/>
  <c r="J32" i="3"/>
  <c r="K54" i="13"/>
  <c r="E55" i="13"/>
  <c r="F55" i="13" s="1"/>
  <c r="G55" i="13" s="1"/>
  <c r="A56" i="13"/>
  <c r="L55" i="13"/>
  <c r="D55" i="13"/>
  <c r="J12" i="3"/>
  <c r="O9" i="6"/>
  <c r="O5" i="6"/>
  <c r="P2" i="6"/>
  <c r="O12" i="6"/>
  <c r="O8" i="6"/>
  <c r="O4" i="6"/>
  <c r="O11" i="6"/>
  <c r="O6" i="6"/>
  <c r="O3" i="6"/>
  <c r="O10" i="6"/>
  <c r="O7" i="6"/>
  <c r="AA36" i="3"/>
  <c r="AE35" i="3"/>
  <c r="AF35" i="3" s="1"/>
  <c r="AG35" i="3" s="1"/>
  <c r="AH35" i="3"/>
  <c r="AL35" i="3" s="1"/>
  <c r="AD35" i="3"/>
  <c r="AX13" i="3"/>
  <c r="AW13" i="3"/>
  <c r="AW34" i="3"/>
  <c r="A35" i="13"/>
  <c r="E34" i="13"/>
  <c r="F34" i="13" s="1"/>
  <c r="G34" i="13" s="1"/>
  <c r="L34" i="13"/>
  <c r="D34" i="13"/>
  <c r="N55" i="13"/>
  <c r="R54" i="13"/>
  <c r="S54" i="13" s="1"/>
  <c r="T54" i="13" s="1"/>
  <c r="Y54" i="13"/>
  <c r="Q54" i="13"/>
  <c r="BK32" i="3"/>
  <c r="BE33" i="3"/>
  <c r="BF33" i="3" s="1"/>
  <c r="BG33" i="3" s="1"/>
  <c r="BA34" i="3"/>
  <c r="BH33" i="3"/>
  <c r="BL33" i="3" s="1"/>
  <c r="BD33" i="3"/>
  <c r="W35" i="3"/>
  <c r="L14" i="13"/>
  <c r="A15" i="13"/>
  <c r="E14" i="13"/>
  <c r="F14" i="13" s="1"/>
  <c r="G14" i="13" s="1"/>
  <c r="D14" i="13"/>
  <c r="AA15" i="3"/>
  <c r="AE14" i="3"/>
  <c r="AF14" i="3" s="1"/>
  <c r="AG14" i="3" s="1"/>
  <c r="AD14" i="3"/>
  <c r="AH14" i="3"/>
  <c r="AL14" i="3" s="1"/>
  <c r="K11" i="3"/>
  <c r="AN15" i="3"/>
  <c r="AR14" i="3"/>
  <c r="AS14" i="3" s="1"/>
  <c r="AT14" i="3" s="1"/>
  <c r="AU14" i="3"/>
  <c r="AY14" i="3" s="1"/>
  <c r="AQ14" i="3"/>
  <c r="E75" i="13"/>
  <c r="F75" i="13" s="1"/>
  <c r="G75" i="13" s="1"/>
  <c r="A76" i="13"/>
  <c r="L75" i="13"/>
  <c r="D75" i="13"/>
  <c r="E33" i="3"/>
  <c r="F33" i="3" s="1"/>
  <c r="G33" i="3" s="1"/>
  <c r="A34" i="3"/>
  <c r="D33" i="3"/>
  <c r="H33" i="3"/>
  <c r="L33" i="3" s="1"/>
  <c r="BA14" i="3"/>
  <c r="BE13" i="3"/>
  <c r="BF13" i="3" s="1"/>
  <c r="BG13" i="3" s="1"/>
  <c r="BH13" i="3"/>
  <c r="BL13" i="3" s="1"/>
  <c r="BD13" i="3"/>
  <c r="K92" i="13"/>
  <c r="E93" i="13"/>
  <c r="F93" i="13" s="1"/>
  <c r="G93" i="13" s="1"/>
  <c r="A94" i="13"/>
  <c r="L93" i="13"/>
  <c r="D93" i="13"/>
  <c r="K32" i="3"/>
  <c r="R33" i="13"/>
  <c r="S33" i="13" s="1"/>
  <c r="T33" i="13" s="1"/>
  <c r="N34" i="13"/>
  <c r="Y33" i="13"/>
  <c r="Q33" i="13"/>
  <c r="K33" i="13"/>
  <c r="J33" i="13"/>
  <c r="W73" i="13"/>
  <c r="X35" i="3"/>
  <c r="N94" i="13"/>
  <c r="R93" i="13"/>
  <c r="S93" i="13" s="1"/>
  <c r="T93" i="13" s="1"/>
  <c r="Y93" i="13"/>
  <c r="Q93" i="13"/>
  <c r="W12" i="13"/>
  <c r="X13" i="13" l="1"/>
  <c r="W93" i="13"/>
  <c r="W13" i="13"/>
  <c r="AJ35" i="3"/>
  <c r="W33" i="13"/>
  <c r="W74" i="13"/>
  <c r="J75" i="13"/>
  <c r="AK14" i="3"/>
  <c r="K14" i="13"/>
  <c r="AJ14" i="3"/>
  <c r="J14" i="13"/>
  <c r="BK33" i="3"/>
  <c r="BJ33" i="3"/>
  <c r="K93" i="13"/>
  <c r="J93" i="13"/>
  <c r="X14" i="3"/>
  <c r="X74" i="13"/>
  <c r="X33" i="13"/>
  <c r="BK13" i="3"/>
  <c r="K75" i="13"/>
  <c r="X93" i="13"/>
  <c r="A95" i="13"/>
  <c r="E94" i="13"/>
  <c r="F94" i="13" s="1"/>
  <c r="G94" i="13" s="1"/>
  <c r="L94" i="13"/>
  <c r="D94" i="13"/>
  <c r="R15" i="3"/>
  <c r="S15" i="3" s="1"/>
  <c r="T15" i="3" s="1"/>
  <c r="N16" i="3"/>
  <c r="U15" i="3"/>
  <c r="Y15" i="3" s="1"/>
  <c r="Q15" i="3"/>
  <c r="J33" i="3"/>
  <c r="AW14" i="3"/>
  <c r="AE15" i="3"/>
  <c r="AF15" i="3" s="1"/>
  <c r="AG15" i="3" s="1"/>
  <c r="AA16" i="3"/>
  <c r="AD15" i="3"/>
  <c r="AH15" i="3"/>
  <c r="AL15" i="3" s="1"/>
  <c r="A16" i="13"/>
  <c r="D15" i="13"/>
  <c r="E15" i="13"/>
  <c r="F15" i="13" s="1"/>
  <c r="G15" i="13" s="1"/>
  <c r="L15" i="13"/>
  <c r="N56" i="13"/>
  <c r="R55" i="13"/>
  <c r="S55" i="13" s="1"/>
  <c r="T55" i="13" s="1"/>
  <c r="Y55" i="13"/>
  <c r="Q55" i="13"/>
  <c r="P12" i="6"/>
  <c r="Q12" i="6" s="1"/>
  <c r="P8" i="6"/>
  <c r="Q8" i="6" s="1"/>
  <c r="P4" i="6"/>
  <c r="Q4" i="6" s="1"/>
  <c r="P11" i="6"/>
  <c r="Q11" i="6" s="1"/>
  <c r="P7" i="6"/>
  <c r="Q7" i="6" s="1"/>
  <c r="P3" i="6"/>
  <c r="Q3" i="6" s="1"/>
  <c r="P10" i="6"/>
  <c r="P5" i="6"/>
  <c r="Q5" i="6" s="1"/>
  <c r="P9" i="6"/>
  <c r="Q9" i="6" s="1"/>
  <c r="P6" i="6"/>
  <c r="Q6" i="6" s="1"/>
  <c r="Q10" i="6"/>
  <c r="K12" i="3"/>
  <c r="A57" i="13"/>
  <c r="E56" i="13"/>
  <c r="F56" i="13" s="1"/>
  <c r="G56" i="13" s="1"/>
  <c r="D56" i="13"/>
  <c r="G13" i="3"/>
  <c r="N95" i="13"/>
  <c r="R94" i="13"/>
  <c r="S94" i="13" s="1"/>
  <c r="T94" i="13" s="1"/>
  <c r="Y94" i="13"/>
  <c r="Q94" i="13"/>
  <c r="R34" i="13"/>
  <c r="S34" i="13" s="1"/>
  <c r="T34" i="13" s="1"/>
  <c r="Y34" i="13"/>
  <c r="N35" i="13"/>
  <c r="Q34" i="13"/>
  <c r="K33" i="3"/>
  <c r="BA35" i="3"/>
  <c r="BE34" i="3"/>
  <c r="BF34" i="3" s="1"/>
  <c r="BG34" i="3" s="1"/>
  <c r="BH34" i="3"/>
  <c r="BL34" i="3" s="1"/>
  <c r="BD34" i="3"/>
  <c r="X54" i="13"/>
  <c r="W54" i="13"/>
  <c r="J34" i="13"/>
  <c r="N76" i="13"/>
  <c r="R75" i="13"/>
  <c r="S75" i="13" s="1"/>
  <c r="T75" i="13" s="1"/>
  <c r="Y75" i="13"/>
  <c r="Q75" i="13"/>
  <c r="AW35" i="3"/>
  <c r="BE14" i="3"/>
  <c r="BF14" i="3" s="1"/>
  <c r="BG14" i="3" s="1"/>
  <c r="BA15" i="3"/>
  <c r="BH14" i="3"/>
  <c r="BL14" i="3" s="1"/>
  <c r="BD14" i="3"/>
  <c r="A77" i="13"/>
  <c r="E76" i="13"/>
  <c r="F76" i="13" s="1"/>
  <c r="G76" i="13" s="1"/>
  <c r="D76" i="13"/>
  <c r="R14" i="13"/>
  <c r="S14" i="13" s="1"/>
  <c r="T14" i="13" s="1"/>
  <c r="N15" i="13"/>
  <c r="Y14" i="13"/>
  <c r="Q14" i="13"/>
  <c r="BJ13" i="3"/>
  <c r="A35" i="3"/>
  <c r="H34" i="3"/>
  <c r="L34" i="3" s="1"/>
  <c r="D34" i="3"/>
  <c r="E34" i="3"/>
  <c r="F34" i="3" s="1"/>
  <c r="G34" i="3" s="1"/>
  <c r="AX14" i="3"/>
  <c r="AN16" i="3"/>
  <c r="AR15" i="3"/>
  <c r="AS15" i="3" s="1"/>
  <c r="AT15" i="3" s="1"/>
  <c r="AU15" i="3"/>
  <c r="AY15" i="3" s="1"/>
  <c r="AQ15" i="3"/>
  <c r="K34" i="13"/>
  <c r="A36" i="13"/>
  <c r="E35" i="13"/>
  <c r="F35" i="13" s="1"/>
  <c r="G35" i="13" s="1"/>
  <c r="L35" i="13"/>
  <c r="D35" i="13"/>
  <c r="AK35" i="3"/>
  <c r="AE36" i="3"/>
  <c r="AF36" i="3" s="1"/>
  <c r="AG36" i="3" s="1"/>
  <c r="AA37" i="3"/>
  <c r="AH36" i="3"/>
  <c r="AD36" i="3"/>
  <c r="K55" i="13"/>
  <c r="J55" i="13"/>
  <c r="W14" i="3"/>
  <c r="J13" i="3"/>
  <c r="E14" i="3"/>
  <c r="F14" i="3" s="1"/>
  <c r="A15" i="3"/>
  <c r="H14" i="3"/>
  <c r="L14" i="3" s="1"/>
  <c r="D14" i="3"/>
  <c r="N38" i="3"/>
  <c r="R37" i="3"/>
  <c r="S37" i="3" s="1"/>
  <c r="T37" i="3" s="1"/>
  <c r="Q37" i="3"/>
  <c r="X37" i="3" s="1"/>
  <c r="AX35" i="3"/>
  <c r="AR36" i="3"/>
  <c r="AS36" i="3" s="1"/>
  <c r="AT36" i="3" s="1"/>
  <c r="AN37" i="3"/>
  <c r="AU36" i="3"/>
  <c r="AQ36" i="3"/>
  <c r="J15" i="13" l="1"/>
  <c r="J35" i="13"/>
  <c r="AK15" i="3"/>
  <c r="W15" i="3"/>
  <c r="X15" i="3"/>
  <c r="W55" i="13"/>
  <c r="W94" i="13"/>
  <c r="K13" i="3"/>
  <c r="X55" i="13"/>
  <c r="K15" i="13"/>
  <c r="X94" i="13"/>
  <c r="J34" i="3"/>
  <c r="W75" i="13"/>
  <c r="K35" i="13"/>
  <c r="X75" i="13"/>
  <c r="BK14" i="3"/>
  <c r="I42" i="6"/>
  <c r="E42" i="6"/>
  <c r="G42" i="6"/>
  <c r="B42" i="6"/>
  <c r="I29" i="6"/>
  <c r="I67" i="6" s="1"/>
  <c r="E29" i="6"/>
  <c r="E67" i="6" s="1"/>
  <c r="K42" i="6"/>
  <c r="F42" i="6"/>
  <c r="H29" i="6"/>
  <c r="D29" i="6"/>
  <c r="J42" i="6"/>
  <c r="G29" i="6"/>
  <c r="H42" i="6"/>
  <c r="F29" i="6"/>
  <c r="D42" i="6"/>
  <c r="K29" i="6"/>
  <c r="C29" i="6"/>
  <c r="C42" i="6"/>
  <c r="B29" i="6"/>
  <c r="J29" i="6"/>
  <c r="I40" i="6"/>
  <c r="E40" i="6"/>
  <c r="K40" i="6"/>
  <c r="F40" i="6"/>
  <c r="I27" i="6"/>
  <c r="I65" i="6" s="1"/>
  <c r="E27" i="6"/>
  <c r="E65" i="6" s="1"/>
  <c r="J40" i="6"/>
  <c r="D40" i="6"/>
  <c r="H27" i="6"/>
  <c r="D27" i="6"/>
  <c r="H40" i="6"/>
  <c r="K27" i="6"/>
  <c r="C27" i="6"/>
  <c r="G40" i="6"/>
  <c r="J27" i="6"/>
  <c r="B27" i="6"/>
  <c r="C40" i="6"/>
  <c r="G27" i="6"/>
  <c r="G65" i="6" s="1"/>
  <c r="B40" i="6"/>
  <c r="F27" i="6"/>
  <c r="K45" i="6"/>
  <c r="G45" i="6"/>
  <c r="C45" i="6"/>
  <c r="J45" i="6"/>
  <c r="F45" i="6"/>
  <c r="B45" i="6"/>
  <c r="D45" i="6"/>
  <c r="K32" i="6"/>
  <c r="G32" i="6"/>
  <c r="C32" i="6"/>
  <c r="I45" i="6"/>
  <c r="J32" i="6"/>
  <c r="F32" i="6"/>
  <c r="F70" i="6" s="1"/>
  <c r="B32" i="6"/>
  <c r="B70" i="6" s="1"/>
  <c r="H45" i="6"/>
  <c r="I32" i="6"/>
  <c r="E45" i="6"/>
  <c r="H32" i="6"/>
  <c r="E32" i="6"/>
  <c r="D32" i="6"/>
  <c r="BA16" i="3"/>
  <c r="BE15" i="3"/>
  <c r="BF15" i="3" s="1"/>
  <c r="BG15" i="3" s="1"/>
  <c r="BH15" i="3"/>
  <c r="BL15" i="3" s="1"/>
  <c r="BD15" i="3"/>
  <c r="N96" i="13"/>
  <c r="R95" i="13"/>
  <c r="S95" i="13" s="1"/>
  <c r="T95" i="13" s="1"/>
  <c r="Y95" i="13"/>
  <c r="Q95" i="13"/>
  <c r="A58" i="13"/>
  <c r="E57" i="13"/>
  <c r="F57" i="13" s="1"/>
  <c r="G57" i="13" s="1"/>
  <c r="D57" i="13"/>
  <c r="K57" i="13" s="1"/>
  <c r="I36" i="6"/>
  <c r="H36" i="6"/>
  <c r="D36" i="6"/>
  <c r="I23" i="6"/>
  <c r="E23" i="6"/>
  <c r="G36" i="6"/>
  <c r="C36" i="6"/>
  <c r="H23" i="6"/>
  <c r="D23" i="6"/>
  <c r="F36" i="6"/>
  <c r="K23" i="6"/>
  <c r="C23" i="6"/>
  <c r="B18" i="6"/>
  <c r="D18" i="6" s="1"/>
  <c r="E36" i="6"/>
  <c r="J23" i="6"/>
  <c r="B23" i="6"/>
  <c r="B17" i="6"/>
  <c r="D17" i="6" s="1"/>
  <c r="B15" i="6"/>
  <c r="D15" i="6" s="1"/>
  <c r="V12" i="6" s="1"/>
  <c r="K36" i="6"/>
  <c r="B36" i="6"/>
  <c r="G23" i="6"/>
  <c r="J36" i="6"/>
  <c r="F23" i="6"/>
  <c r="K37" i="6"/>
  <c r="G37" i="6"/>
  <c r="C37" i="6"/>
  <c r="I37" i="6"/>
  <c r="D37" i="6"/>
  <c r="K24" i="6"/>
  <c r="G24" i="6"/>
  <c r="C24" i="6"/>
  <c r="H37" i="6"/>
  <c r="B37" i="6"/>
  <c r="J24" i="6"/>
  <c r="F24" i="6"/>
  <c r="B24" i="6"/>
  <c r="F37" i="6"/>
  <c r="I24" i="6"/>
  <c r="E37" i="6"/>
  <c r="H24" i="6"/>
  <c r="H62" i="6" s="1"/>
  <c r="E24" i="6"/>
  <c r="J37" i="6"/>
  <c r="B16" i="6"/>
  <c r="D16" i="6" s="1"/>
  <c r="V9" i="6" s="1"/>
  <c r="D24" i="6"/>
  <c r="D62" i="6" s="1"/>
  <c r="E36" i="13"/>
  <c r="F36" i="13" s="1"/>
  <c r="G36" i="13" s="1"/>
  <c r="A37" i="13"/>
  <c r="D36" i="13"/>
  <c r="E35" i="3"/>
  <c r="F35" i="3" s="1"/>
  <c r="G35" i="3" s="1"/>
  <c r="H35" i="3"/>
  <c r="L35" i="3" s="1"/>
  <c r="A36" i="3"/>
  <c r="D35" i="3"/>
  <c r="N16" i="13"/>
  <c r="R15" i="13"/>
  <c r="S15" i="13" s="1"/>
  <c r="T15" i="13" s="1"/>
  <c r="Y15" i="13"/>
  <c r="Q15" i="13"/>
  <c r="A78" i="13"/>
  <c r="E77" i="13"/>
  <c r="F77" i="13" s="1"/>
  <c r="G77" i="13" s="1"/>
  <c r="D77" i="13"/>
  <c r="K77" i="13" s="1"/>
  <c r="BK34" i="3"/>
  <c r="BE35" i="3"/>
  <c r="BF35" i="3" s="1"/>
  <c r="BG35" i="3" s="1"/>
  <c r="BA36" i="3"/>
  <c r="BH35" i="3"/>
  <c r="BL35" i="3" s="1"/>
  <c r="BD35" i="3"/>
  <c r="I44" i="6"/>
  <c r="E44" i="6"/>
  <c r="H44" i="6"/>
  <c r="D44" i="6"/>
  <c r="F44" i="6"/>
  <c r="I31" i="6"/>
  <c r="E31" i="6"/>
  <c r="K44" i="6"/>
  <c r="C44" i="6"/>
  <c r="H31" i="6"/>
  <c r="D31" i="6"/>
  <c r="B44" i="6"/>
  <c r="K31" i="6"/>
  <c r="C31" i="6"/>
  <c r="J31" i="6"/>
  <c r="B31" i="6"/>
  <c r="J44" i="6"/>
  <c r="G31" i="6"/>
  <c r="F31" i="6"/>
  <c r="G44" i="6"/>
  <c r="K43" i="6"/>
  <c r="G43" i="6"/>
  <c r="C43" i="6"/>
  <c r="J43" i="6"/>
  <c r="H43" i="6"/>
  <c r="B43" i="6"/>
  <c r="K30" i="6"/>
  <c r="G30" i="6"/>
  <c r="C30" i="6"/>
  <c r="F43" i="6"/>
  <c r="J30" i="6"/>
  <c r="F30" i="6"/>
  <c r="B30" i="6"/>
  <c r="E30" i="6"/>
  <c r="I43" i="6"/>
  <c r="D30" i="6"/>
  <c r="E43" i="6"/>
  <c r="I30" i="6"/>
  <c r="H30" i="6"/>
  <c r="D43" i="6"/>
  <c r="I38" i="6"/>
  <c r="E38" i="6"/>
  <c r="J38" i="6"/>
  <c r="D38" i="6"/>
  <c r="I25" i="6"/>
  <c r="I63" i="6" s="1"/>
  <c r="E25" i="6"/>
  <c r="E63" i="6" s="1"/>
  <c r="H38" i="6"/>
  <c r="C38" i="6"/>
  <c r="H25" i="6"/>
  <c r="D25" i="6"/>
  <c r="G38" i="6"/>
  <c r="G25" i="6"/>
  <c r="F38" i="6"/>
  <c r="F25" i="6"/>
  <c r="B38" i="6"/>
  <c r="K25" i="6"/>
  <c r="C25" i="6"/>
  <c r="J25" i="6"/>
  <c r="B25" i="6"/>
  <c r="K38" i="6"/>
  <c r="N57" i="13"/>
  <c r="R56" i="13"/>
  <c r="S56" i="13" s="1"/>
  <c r="T56" i="13" s="1"/>
  <c r="Q56" i="13"/>
  <c r="AA17" i="3"/>
  <c r="AE16" i="3"/>
  <c r="AF16" i="3" s="1"/>
  <c r="AG16" i="3" s="1"/>
  <c r="AH16" i="3"/>
  <c r="AD16" i="3"/>
  <c r="R38" i="3"/>
  <c r="S38" i="3" s="1"/>
  <c r="T38" i="3" s="1"/>
  <c r="N39" i="3"/>
  <c r="Q38" i="3"/>
  <c r="G14" i="3"/>
  <c r="AE37" i="3"/>
  <c r="AF37" i="3" s="1"/>
  <c r="AG37" i="3" s="1"/>
  <c r="AA38" i="3"/>
  <c r="AD37" i="3"/>
  <c r="AK37" i="3" s="1"/>
  <c r="AW15" i="3"/>
  <c r="BJ14" i="3"/>
  <c r="K39" i="6"/>
  <c r="G39" i="6"/>
  <c r="C39" i="6"/>
  <c r="J39" i="6"/>
  <c r="E39" i="6"/>
  <c r="K26" i="6"/>
  <c r="G26" i="6"/>
  <c r="C26" i="6"/>
  <c r="I39" i="6"/>
  <c r="D39" i="6"/>
  <c r="J26" i="6"/>
  <c r="F26" i="6"/>
  <c r="B26" i="6"/>
  <c r="H39" i="6"/>
  <c r="E26" i="6"/>
  <c r="F39" i="6"/>
  <c r="D26" i="6"/>
  <c r="B39" i="6"/>
  <c r="I26" i="6"/>
  <c r="H26" i="6"/>
  <c r="E16" i="13"/>
  <c r="F16" i="13" s="1"/>
  <c r="G16" i="13" s="1"/>
  <c r="A17" i="13"/>
  <c r="D16" i="13"/>
  <c r="J94" i="13"/>
  <c r="Y35" i="13"/>
  <c r="N36" i="13"/>
  <c r="R35" i="13"/>
  <c r="S35" i="13" s="1"/>
  <c r="T35" i="13" s="1"/>
  <c r="Q35" i="13"/>
  <c r="R16" i="3"/>
  <c r="S16" i="3" s="1"/>
  <c r="T16" i="3" s="1"/>
  <c r="N17" i="3"/>
  <c r="U16" i="3"/>
  <c r="Q16" i="3"/>
  <c r="A16" i="3"/>
  <c r="H15" i="3"/>
  <c r="L15" i="3" s="1"/>
  <c r="E15" i="3"/>
  <c r="F15" i="3" s="1"/>
  <c r="J15" i="3" s="1"/>
  <c r="D15" i="3"/>
  <c r="AN38" i="3"/>
  <c r="AR37" i="3"/>
  <c r="AS37" i="3" s="1"/>
  <c r="AT37" i="3" s="1"/>
  <c r="AQ37" i="3"/>
  <c r="AX37" i="3" s="1"/>
  <c r="J14" i="3"/>
  <c r="AX15" i="3"/>
  <c r="AR16" i="3"/>
  <c r="AS16" i="3" s="1"/>
  <c r="AT16" i="3" s="1"/>
  <c r="AN17" i="3"/>
  <c r="AU16" i="3"/>
  <c r="AQ16" i="3"/>
  <c r="K34" i="3"/>
  <c r="X14" i="13"/>
  <c r="W14" i="13"/>
  <c r="N77" i="13"/>
  <c r="R76" i="13"/>
  <c r="S76" i="13" s="1"/>
  <c r="T76" i="13" s="1"/>
  <c r="Q76" i="13"/>
  <c r="BJ34" i="3"/>
  <c r="X34" i="13"/>
  <c r="W34" i="13"/>
  <c r="K41" i="6"/>
  <c r="G41" i="6"/>
  <c r="C41" i="6"/>
  <c r="F41" i="6"/>
  <c r="K28" i="6"/>
  <c r="K66" i="6" s="1"/>
  <c r="G28" i="6"/>
  <c r="C28" i="6"/>
  <c r="C66" i="6" s="1"/>
  <c r="J41" i="6"/>
  <c r="E41" i="6"/>
  <c r="J28" i="6"/>
  <c r="F28" i="6"/>
  <c r="B28" i="6"/>
  <c r="I41" i="6"/>
  <c r="I28" i="6"/>
  <c r="H41" i="6"/>
  <c r="H28" i="6"/>
  <c r="D41" i="6"/>
  <c r="E28" i="6"/>
  <c r="B41" i="6"/>
  <c r="D28" i="6"/>
  <c r="AJ15" i="3"/>
  <c r="K94" i="13"/>
  <c r="E95" i="13"/>
  <c r="F95" i="13" s="1"/>
  <c r="G95" i="13" s="1"/>
  <c r="A96" i="13"/>
  <c r="L95" i="13"/>
  <c r="D95" i="13"/>
  <c r="J70" i="6" l="1"/>
  <c r="V11" i="6"/>
  <c r="W15" i="13"/>
  <c r="G61" i="6"/>
  <c r="H61" i="6"/>
  <c r="V8" i="6"/>
  <c r="F61" i="6"/>
  <c r="J35" i="3"/>
  <c r="C64" i="6"/>
  <c r="G69" i="6"/>
  <c r="D65" i="6"/>
  <c r="W35" i="13"/>
  <c r="X35" i="13"/>
  <c r="V5" i="6"/>
  <c r="H68" i="6"/>
  <c r="J68" i="6"/>
  <c r="K68" i="6"/>
  <c r="F69" i="6"/>
  <c r="B62" i="6"/>
  <c r="B67" i="6"/>
  <c r="H66" i="6"/>
  <c r="B66" i="6"/>
  <c r="C63" i="6"/>
  <c r="I62" i="6"/>
  <c r="G62" i="6"/>
  <c r="K14" i="3"/>
  <c r="K35" i="3"/>
  <c r="BK15" i="3"/>
  <c r="X15" i="13"/>
  <c r="D68" i="6"/>
  <c r="D70" i="6"/>
  <c r="I70" i="6"/>
  <c r="B65" i="6"/>
  <c r="J67" i="6"/>
  <c r="K67" i="6"/>
  <c r="G67" i="6"/>
  <c r="D64" i="6"/>
  <c r="B64" i="6"/>
  <c r="J63" i="6"/>
  <c r="F63" i="6"/>
  <c r="E69" i="6"/>
  <c r="F62" i="6"/>
  <c r="K61" i="6"/>
  <c r="H70" i="6"/>
  <c r="C70" i="6"/>
  <c r="D67" i="6"/>
  <c r="H64" i="6"/>
  <c r="H63" i="6"/>
  <c r="J62" i="6"/>
  <c r="C65" i="6"/>
  <c r="C67" i="6"/>
  <c r="E68" i="6"/>
  <c r="D69" i="6"/>
  <c r="BK35" i="3"/>
  <c r="BJ35" i="3"/>
  <c r="A79" i="13"/>
  <c r="E78" i="13"/>
  <c r="F78" i="13" s="1"/>
  <c r="G78" i="13" s="1"/>
  <c r="D78" i="13"/>
  <c r="H36" i="3"/>
  <c r="D36" i="3"/>
  <c r="A37" i="3"/>
  <c r="E36" i="3"/>
  <c r="F36" i="3" s="1"/>
  <c r="G36" i="3" s="1"/>
  <c r="V4" i="6"/>
  <c r="E62" i="6"/>
  <c r="K62" i="6"/>
  <c r="X9" i="6"/>
  <c r="X5" i="6"/>
  <c r="X8" i="6"/>
  <c r="X4" i="6"/>
  <c r="X11" i="6"/>
  <c r="X6" i="6"/>
  <c r="X3" i="6"/>
  <c r="X7" i="6"/>
  <c r="X12" i="6"/>
  <c r="X10" i="6"/>
  <c r="V3" i="6"/>
  <c r="A59" i="13"/>
  <c r="E58" i="13"/>
  <c r="F58" i="13" s="1"/>
  <c r="G58" i="13" s="1"/>
  <c r="D58" i="13"/>
  <c r="W95" i="13"/>
  <c r="G70" i="6"/>
  <c r="D75" i="6" s="1"/>
  <c r="V7" i="6"/>
  <c r="AA18" i="3"/>
  <c r="AE17" i="3"/>
  <c r="AF17" i="3" s="1"/>
  <c r="AG17" i="3" s="1"/>
  <c r="AD17" i="3"/>
  <c r="AK17" i="3" s="1"/>
  <c r="N58" i="13"/>
  <c r="R57" i="13"/>
  <c r="S57" i="13" s="1"/>
  <c r="T57" i="13" s="1"/>
  <c r="Q57" i="13"/>
  <c r="X57" i="13" s="1"/>
  <c r="K95" i="13"/>
  <c r="G15" i="3"/>
  <c r="A18" i="13"/>
  <c r="E17" i="13"/>
  <c r="F17" i="13" s="1"/>
  <c r="G17" i="13" s="1"/>
  <c r="D17" i="13"/>
  <c r="K17" i="13" s="1"/>
  <c r="J64" i="6"/>
  <c r="G64" i="6"/>
  <c r="D78" i="6" s="1"/>
  <c r="R39" i="3"/>
  <c r="S39" i="3" s="1"/>
  <c r="T39" i="3" s="1"/>
  <c r="Q39" i="3"/>
  <c r="X38" i="3" s="1"/>
  <c r="B63" i="6"/>
  <c r="K63" i="6"/>
  <c r="G63" i="6"/>
  <c r="V10" i="6"/>
  <c r="B68" i="6"/>
  <c r="C68" i="6"/>
  <c r="C69" i="6"/>
  <c r="H69" i="6"/>
  <c r="I69" i="6"/>
  <c r="Z11" i="6"/>
  <c r="Z7" i="6"/>
  <c r="Z3" i="6"/>
  <c r="Z10" i="6"/>
  <c r="Z6" i="6"/>
  <c r="Z12" i="6"/>
  <c r="Z9" i="6"/>
  <c r="Z4" i="6"/>
  <c r="Z8" i="6"/>
  <c r="Z5" i="6"/>
  <c r="D61" i="6"/>
  <c r="E61" i="6"/>
  <c r="E70" i="6"/>
  <c r="D74" i="6" s="1"/>
  <c r="H65" i="6"/>
  <c r="F67" i="6"/>
  <c r="E16" i="3"/>
  <c r="F16" i="3" s="1"/>
  <c r="G16" i="3" s="1"/>
  <c r="H16" i="3"/>
  <c r="A17" i="3"/>
  <c r="D16" i="3"/>
  <c r="BA17" i="3"/>
  <c r="BE16" i="3"/>
  <c r="BF16" i="3" s="1"/>
  <c r="BG16" i="3" s="1"/>
  <c r="BH16" i="3"/>
  <c r="BD16" i="3"/>
  <c r="J95" i="13"/>
  <c r="D66" i="6"/>
  <c r="AN18" i="3"/>
  <c r="AR17" i="3"/>
  <c r="AS17" i="3" s="1"/>
  <c r="AT17" i="3" s="1"/>
  <c r="AQ17" i="3"/>
  <c r="AX17" i="3" s="1"/>
  <c r="I64" i="6"/>
  <c r="F64" i="6"/>
  <c r="AA39" i="3"/>
  <c r="AE38" i="3"/>
  <c r="AF38" i="3" s="1"/>
  <c r="AG38" i="3" s="1"/>
  <c r="AD38" i="3"/>
  <c r="F66" i="6"/>
  <c r="A97" i="13"/>
  <c r="E96" i="13"/>
  <c r="F96" i="13" s="1"/>
  <c r="G96" i="13" s="1"/>
  <c r="D96" i="13"/>
  <c r="E66" i="6"/>
  <c r="I66" i="6"/>
  <c r="J66" i="6"/>
  <c r="N78" i="13"/>
  <c r="R77" i="13"/>
  <c r="S77" i="13" s="1"/>
  <c r="T77" i="13" s="1"/>
  <c r="Q77" i="13"/>
  <c r="X77" i="13" s="1"/>
  <c r="AR38" i="3"/>
  <c r="AS38" i="3" s="1"/>
  <c r="AT38" i="3" s="1"/>
  <c r="AN39" i="3"/>
  <c r="AQ38" i="3"/>
  <c r="N18" i="3"/>
  <c r="Q17" i="3"/>
  <c r="X17" i="3" s="1"/>
  <c r="R17" i="3"/>
  <c r="S17" i="3" s="1"/>
  <c r="T17" i="3" s="1"/>
  <c r="R36" i="13"/>
  <c r="S36" i="13" s="1"/>
  <c r="T36" i="13" s="1"/>
  <c r="N37" i="13"/>
  <c r="Q36" i="13"/>
  <c r="V6" i="6"/>
  <c r="K64" i="6"/>
  <c r="F68" i="6"/>
  <c r="G68" i="6"/>
  <c r="B69" i="6"/>
  <c r="K69" i="6"/>
  <c r="BE36" i="3"/>
  <c r="BF36" i="3" s="1"/>
  <c r="BG36" i="3" s="1"/>
  <c r="BA37" i="3"/>
  <c r="BH36" i="3"/>
  <c r="BD36" i="3"/>
  <c r="R16" i="13"/>
  <c r="S16" i="13" s="1"/>
  <c r="T16" i="13" s="1"/>
  <c r="N17" i="13"/>
  <c r="A38" i="13"/>
  <c r="E37" i="13"/>
  <c r="F37" i="13" s="1"/>
  <c r="G37" i="13" s="1"/>
  <c r="D37" i="13"/>
  <c r="K37" i="13" s="1"/>
  <c r="J61" i="6"/>
  <c r="C61" i="6"/>
  <c r="I61" i="6"/>
  <c r="X95" i="13"/>
  <c r="R96" i="13"/>
  <c r="S96" i="13" s="1"/>
  <c r="T96" i="13" s="1"/>
  <c r="N97" i="13"/>
  <c r="Q96" i="13"/>
  <c r="BJ15" i="3"/>
  <c r="J65" i="6"/>
  <c r="K65" i="6"/>
  <c r="Q70" i="6" l="1"/>
  <c r="R70" i="6" s="1"/>
  <c r="L64" i="6"/>
  <c r="L67" i="6"/>
  <c r="S66" i="6"/>
  <c r="T66" i="6" s="1"/>
  <c r="L62" i="6"/>
  <c r="Q66" i="6"/>
  <c r="R66" i="6" s="1"/>
  <c r="L65" i="6"/>
  <c r="L61" i="6"/>
  <c r="L66" i="6"/>
  <c r="AR39" i="3"/>
  <c r="AS39" i="3" s="1"/>
  <c r="AT39" i="3" s="1"/>
  <c r="AQ39" i="3"/>
  <c r="AX38" i="3" s="1"/>
  <c r="E75" i="6"/>
  <c r="D77" i="6"/>
  <c r="E85" i="6"/>
  <c r="F81" i="6"/>
  <c r="F96" i="6"/>
  <c r="E59" i="13"/>
  <c r="F59" i="13" s="1"/>
  <c r="G59" i="13" s="1"/>
  <c r="D59" i="13"/>
  <c r="K58" i="13" s="1"/>
  <c r="D76" i="6"/>
  <c r="F101" i="6"/>
  <c r="E81" i="6"/>
  <c r="F85" i="6"/>
  <c r="AE18" i="3"/>
  <c r="AF18" i="3" s="1"/>
  <c r="AG18" i="3" s="1"/>
  <c r="AA19" i="3"/>
  <c r="AD18" i="3"/>
  <c r="Q64" i="6"/>
  <c r="R64" i="6" s="1"/>
  <c r="V13" i="6"/>
  <c r="E15" i="6"/>
  <c r="W3" i="6" s="1"/>
  <c r="X13" i="6"/>
  <c r="Y7" i="6" s="1"/>
  <c r="AB7" i="6" s="1"/>
  <c r="D37" i="3"/>
  <c r="K37" i="3" s="1"/>
  <c r="A38" i="3"/>
  <c r="E37" i="3"/>
  <c r="F37" i="3" s="1"/>
  <c r="G37" i="3" s="1"/>
  <c r="L69" i="6"/>
  <c r="N38" i="13"/>
  <c r="R37" i="13"/>
  <c r="S37" i="13" s="1"/>
  <c r="T37" i="13" s="1"/>
  <c r="Q37" i="13"/>
  <c r="X37" i="13" s="1"/>
  <c r="N19" i="3"/>
  <c r="R18" i="3"/>
  <c r="S18" i="3" s="1"/>
  <c r="T18" i="3" s="1"/>
  <c r="Q18" i="3"/>
  <c r="A98" i="13"/>
  <c r="E97" i="13"/>
  <c r="F97" i="13" s="1"/>
  <c r="G97" i="13" s="1"/>
  <c r="D97" i="13"/>
  <c r="K97" i="13" s="1"/>
  <c r="AE39" i="3"/>
  <c r="AF39" i="3" s="1"/>
  <c r="AG39" i="3" s="1"/>
  <c r="AD39" i="3"/>
  <c r="AK38" i="3" s="1"/>
  <c r="L70" i="6"/>
  <c r="E17" i="3"/>
  <c r="F17" i="3" s="1"/>
  <c r="G17" i="3" s="1"/>
  <c r="A18" i="3"/>
  <c r="D17" i="3"/>
  <c r="K17" i="3" s="1"/>
  <c r="Q61" i="6"/>
  <c r="R61" i="6" s="1"/>
  <c r="S61" i="6"/>
  <c r="T61" i="6" s="1"/>
  <c r="D79" i="6"/>
  <c r="F82" i="6"/>
  <c r="E90" i="6"/>
  <c r="F95" i="6"/>
  <c r="A19" i="13"/>
  <c r="E18" i="13"/>
  <c r="F18" i="13" s="1"/>
  <c r="G18" i="13" s="1"/>
  <c r="D18" i="13"/>
  <c r="N59" i="13"/>
  <c r="R58" i="13"/>
  <c r="S58" i="13" s="1"/>
  <c r="T58" i="13" s="1"/>
  <c r="Q58" i="13"/>
  <c r="E16" i="6"/>
  <c r="W7" i="6" s="1"/>
  <c r="E79" i="13"/>
  <c r="F79" i="13" s="1"/>
  <c r="G79" i="13" s="1"/>
  <c r="D79" i="13"/>
  <c r="K78" i="13" s="1"/>
  <c r="N98" i="13"/>
  <c r="R97" i="13"/>
  <c r="S97" i="13" s="1"/>
  <c r="T97" i="13" s="1"/>
  <c r="Q97" i="13"/>
  <c r="X97" i="13" s="1"/>
  <c r="E38" i="13"/>
  <c r="F38" i="13" s="1"/>
  <c r="G38" i="13" s="1"/>
  <c r="A39" i="13"/>
  <c r="D38" i="13"/>
  <c r="BA18" i="3"/>
  <c r="BE17" i="3"/>
  <c r="BF17" i="3" s="1"/>
  <c r="BG17" i="3" s="1"/>
  <c r="BD17" i="3"/>
  <c r="BK17" i="3" s="1"/>
  <c r="R17" i="13"/>
  <c r="S17" i="13" s="1"/>
  <c r="T17" i="13" s="1"/>
  <c r="N18" i="13"/>
  <c r="Q17" i="13"/>
  <c r="X17" i="13" s="1"/>
  <c r="BA38" i="3"/>
  <c r="BE37" i="3"/>
  <c r="BF37" i="3" s="1"/>
  <c r="BG37" i="3" s="1"/>
  <c r="BD37" i="3"/>
  <c r="BK37" i="3" s="1"/>
  <c r="R78" i="13"/>
  <c r="S78" i="13" s="1"/>
  <c r="T78" i="13" s="1"/>
  <c r="N79" i="13"/>
  <c r="Q78" i="13"/>
  <c r="AN19" i="3"/>
  <c r="AR18" i="3"/>
  <c r="AS18" i="3" s="1"/>
  <c r="AT18" i="3" s="1"/>
  <c r="AQ18" i="3"/>
  <c r="S70" i="6"/>
  <c r="T70" i="6" s="1"/>
  <c r="Z13" i="6"/>
  <c r="AA11" i="6" s="1"/>
  <c r="S68" i="6"/>
  <c r="T68" i="6" s="1"/>
  <c r="Q68" i="6"/>
  <c r="R68" i="6" s="1"/>
  <c r="L68" i="6"/>
  <c r="L63" i="6"/>
  <c r="S64" i="6"/>
  <c r="T64" i="6" s="1"/>
  <c r="K15" i="3"/>
  <c r="Y9" i="6" l="1"/>
  <c r="AB9" i="6" s="1"/>
  <c r="Y5" i="6"/>
  <c r="AB5" i="6" s="1"/>
  <c r="Y11" i="6"/>
  <c r="AB11" i="6" s="1"/>
  <c r="Y10" i="6"/>
  <c r="AB10" i="6" s="1"/>
  <c r="Y12" i="6"/>
  <c r="AB12" i="6" s="1"/>
  <c r="Y8" i="6"/>
  <c r="AB8" i="6" s="1"/>
  <c r="AA9" i="6"/>
  <c r="W10" i="6"/>
  <c r="AC10" i="6" s="1"/>
  <c r="W4" i="6"/>
  <c r="W6" i="6"/>
  <c r="AA5" i="6"/>
  <c r="Y6" i="6"/>
  <c r="AB6" i="6" s="1"/>
  <c r="T71" i="6"/>
  <c r="Y3" i="6"/>
  <c r="AB3" i="6" s="1"/>
  <c r="Y4" i="6"/>
  <c r="AB4" i="6" s="1"/>
  <c r="AC7" i="6"/>
  <c r="BA39" i="3"/>
  <c r="BE38" i="3"/>
  <c r="BF38" i="3" s="1"/>
  <c r="BG38" i="3" s="1"/>
  <c r="BD38" i="3"/>
  <c r="E19" i="13"/>
  <c r="F19" i="13" s="1"/>
  <c r="G19" i="13" s="1"/>
  <c r="D19" i="13"/>
  <c r="K18" i="13" s="1"/>
  <c r="F100" i="6"/>
  <c r="G100" i="6" s="1"/>
  <c r="E105" i="6"/>
  <c r="F86" i="6"/>
  <c r="G85" i="6" s="1"/>
  <c r="H85" i="6" s="1"/>
  <c r="R71" i="6"/>
  <c r="W12" i="6"/>
  <c r="W8" i="6"/>
  <c r="AE19" i="3"/>
  <c r="AF19" i="3" s="1"/>
  <c r="AG19" i="3" s="1"/>
  <c r="AD19" i="3"/>
  <c r="AK18" i="3" s="1"/>
  <c r="AA8" i="6"/>
  <c r="E95" i="6"/>
  <c r="F106" i="6"/>
  <c r="F90" i="6"/>
  <c r="G81" i="6"/>
  <c r="H81" i="6" s="1"/>
  <c r="AA6" i="6"/>
  <c r="AA3" i="6"/>
  <c r="AD3" i="6" s="1"/>
  <c r="AE3" i="6" s="1"/>
  <c r="AA7" i="6"/>
  <c r="AD7" i="6" s="1"/>
  <c r="AE7" i="6" s="1"/>
  <c r="E39" i="13"/>
  <c r="F39" i="13" s="1"/>
  <c r="G39" i="13" s="1"/>
  <c r="D39" i="13"/>
  <c r="K38" i="13" s="1"/>
  <c r="N99" i="13"/>
  <c r="R98" i="13"/>
  <c r="S98" i="13" s="1"/>
  <c r="T98" i="13" s="1"/>
  <c r="Q98" i="13"/>
  <c r="R59" i="13"/>
  <c r="S59" i="13" s="1"/>
  <c r="T59" i="13" s="1"/>
  <c r="Q59" i="13"/>
  <c r="X58" i="13" s="1"/>
  <c r="G95" i="6"/>
  <c r="AA10" i="6"/>
  <c r="A99" i="13"/>
  <c r="E98" i="13"/>
  <c r="F98" i="13" s="1"/>
  <c r="G98" i="13" s="1"/>
  <c r="D98" i="13"/>
  <c r="N39" i="13"/>
  <c r="R38" i="13"/>
  <c r="S38" i="13" s="1"/>
  <c r="T38" i="13" s="1"/>
  <c r="Q38" i="13"/>
  <c r="AR19" i="3"/>
  <c r="AS19" i="3" s="1"/>
  <c r="AT19" i="3" s="1"/>
  <c r="AQ19" i="3"/>
  <c r="AX18" i="3" s="1"/>
  <c r="R79" i="13"/>
  <c r="S79" i="13" s="1"/>
  <c r="T79" i="13" s="1"/>
  <c r="Q79" i="13"/>
  <c r="X78" i="13" s="1"/>
  <c r="N19" i="13"/>
  <c r="R18" i="13"/>
  <c r="S18" i="13" s="1"/>
  <c r="T18" i="13" s="1"/>
  <c r="Q18" i="13"/>
  <c r="AA12" i="6"/>
  <c r="BE18" i="3"/>
  <c r="BF18" i="3" s="1"/>
  <c r="BG18" i="3" s="1"/>
  <c r="BA19" i="3"/>
  <c r="BD18" i="3"/>
  <c r="W9" i="6"/>
  <c r="W11" i="6"/>
  <c r="W5" i="6"/>
  <c r="AA4" i="6"/>
  <c r="A19" i="3"/>
  <c r="E18" i="3"/>
  <c r="F18" i="3" s="1"/>
  <c r="G18" i="3" s="1"/>
  <c r="D18" i="3"/>
  <c r="R19" i="3"/>
  <c r="S19" i="3" s="1"/>
  <c r="T19" i="3" s="1"/>
  <c r="Q19" i="3"/>
  <c r="X18" i="3" s="1"/>
  <c r="A39" i="3"/>
  <c r="D38" i="3"/>
  <c r="E38" i="3"/>
  <c r="F38" i="3" s="1"/>
  <c r="G38" i="3" s="1"/>
  <c r="F91" i="6"/>
  <c r="E100" i="6"/>
  <c r="F105" i="6"/>
  <c r="AD10" i="6" l="1"/>
  <c r="AE10" i="6" s="1"/>
  <c r="AC11" i="6"/>
  <c r="AC5" i="6"/>
  <c r="AC12" i="6"/>
  <c r="AC9" i="6"/>
  <c r="AC8" i="6"/>
  <c r="G105" i="6"/>
  <c r="H105" i="6" s="1"/>
  <c r="AD12" i="6"/>
  <c r="AE12" i="6" s="1"/>
  <c r="AD4" i="6"/>
  <c r="AE4" i="6" s="1"/>
  <c r="AC6" i="6"/>
  <c r="H100" i="6"/>
  <c r="AC4" i="6"/>
  <c r="AD6" i="6"/>
  <c r="AE6" i="6" s="1"/>
  <c r="AC3" i="6"/>
  <c r="E19" i="3"/>
  <c r="F19" i="3" s="1"/>
  <c r="G19" i="3" s="1"/>
  <c r="D19" i="3"/>
  <c r="K18" i="3" s="1"/>
  <c r="BE19" i="3"/>
  <c r="BF19" i="3" s="1"/>
  <c r="BG19" i="3" s="1"/>
  <c r="BD19" i="3"/>
  <c r="BK18" i="3" s="1"/>
  <c r="AD5" i="6"/>
  <c r="AE5" i="6" s="1"/>
  <c r="Q39" i="13"/>
  <c r="X38" i="13" s="1"/>
  <c r="R39" i="13"/>
  <c r="S39" i="13" s="1"/>
  <c r="T39" i="13" s="1"/>
  <c r="G90" i="6"/>
  <c r="H90" i="6" s="1"/>
  <c r="R19" i="13"/>
  <c r="S19" i="13" s="1"/>
  <c r="T19" i="13" s="1"/>
  <c r="Q19" i="13"/>
  <c r="X18" i="13" s="1"/>
  <c r="H95" i="6"/>
  <c r="BE39" i="3"/>
  <c r="BF39" i="3" s="1"/>
  <c r="BG39" i="3" s="1"/>
  <c r="BD39" i="3"/>
  <c r="BK38" i="3" s="1"/>
  <c r="E39" i="3"/>
  <c r="F39" i="3" s="1"/>
  <c r="G39" i="3" s="1"/>
  <c r="D39" i="3"/>
  <c r="K38" i="3" s="1"/>
  <c r="AD9" i="6"/>
  <c r="AE9" i="6" s="1"/>
  <c r="E99" i="13"/>
  <c r="F99" i="13" s="1"/>
  <c r="G99" i="13" s="1"/>
  <c r="D99" i="13"/>
  <c r="K98" i="13" s="1"/>
  <c r="R99" i="13"/>
  <c r="S99" i="13" s="1"/>
  <c r="T99" i="13" s="1"/>
  <c r="Q99" i="13"/>
  <c r="X98" i="13" s="1"/>
  <c r="AD8" i="6"/>
  <c r="AE8" i="6" s="1"/>
  <c r="AD11" i="6"/>
  <c r="AE11" i="6" s="1"/>
  <c r="K92" i="6" l="1"/>
</calcChain>
</file>

<file path=xl/connections.xml><?xml version="1.0" encoding="utf-8"?>
<connections xmlns="http://schemas.openxmlformats.org/spreadsheetml/2006/main">
  <connection id="1" name="all_starters" type="6" refreshedVersion="6" background="1" refreshOnLoad="1" saveData="1">
    <textPr prompt="0" codePage="437" sourceFile="C:\Users\A097092\Desktop\Extra\Fantasy FB research\all_starters_jake.txt" tab="0" space="1" consecutive="1">
      <textFields count="9">
        <textField/>
        <textField/>
        <textField/>
        <textField type="text"/>
        <textField/>
        <textField/>
        <textField/>
        <textField/>
        <textField/>
      </textFields>
    </textPr>
  </connection>
  <connection id="2" name="game_pred" type="6" refreshedVersion="6" background="1" refreshOnLoad="1" saveData="1">
    <textPr prompt="0" codePage="437" sourceFile="C:\Users\A097092\Desktop\Extra\Fantasy FB research\game_pred_jake.txt" space="1" consecutive="1">
      <textFields count="13">
        <textField/>
        <textField/>
        <textField/>
        <textField/>
        <textField/>
        <textField/>
        <textField/>
        <textField/>
        <textField/>
        <textField/>
        <textField/>
        <textField/>
        <textField/>
      </textFields>
    </textPr>
  </connection>
  <connection id="3" name="impact" type="6" refreshedVersion="6" background="1" saveData="1">
    <textPr prompt="0" codePage="437" sourceFile="C:\Users\A097092\Desktop\Extra\Fantasy FB research\impact.txt" tab="0" space="1" consecutive="1">
      <textFields count="5">
        <textField/>
        <textField/>
        <textField/>
        <textField/>
        <textField/>
      </textFields>
    </textPr>
  </connection>
  <connection id="4" keepAlive="1" name="Query - game_results_jake" description="Connection to the 'game_results_jake' query in the workbook." type="5" refreshedVersion="6" background="1" saveData="1">
    <dbPr connection="Provider=Microsoft.Mashup.OleDb.1;Data Source=$Workbook$;Location=game_results_jake;Extended Properties=&quot;&quot;" command="SELECT * FROM [game_results_jake]"/>
  </connection>
  <connection id="5" keepAlive="1" name="Query - game_results_jake (2)" description="Connection to the 'game_results_jake (2)' query in the workbook." type="5" refreshedVersion="6" background="1" saveData="1">
    <dbPr connection="Provider=Microsoft.Mashup.OleDb.1;Data Source=$Workbook$;Location=&quot;game_results_jake (2)&quot;;Extended Properties=&quot;&quot;" command="SELECT * FROM [game_results_jake (2)]"/>
  </connection>
  <connection id="6" keepAlive="1" name="Query - game_results_jake (3)" description="Connection to the 'game_results_jake (3)' query in the workbook." type="5" refreshedVersion="6" background="1" saveData="1">
    <dbPr connection="Provider=Microsoft.Mashup.OleDb.1;Data Source=$Workbook$;Location=game_results_jake (3);Extended Properties=&quot;&quot;" command="SELECT * FROM [game_results_jake (3)]"/>
  </connection>
  <connection id="7" name="sched" type="6" refreshedVersion="6" background="1" refreshOnLoad="1" saveData="1">
    <textPr prompt="0" codePage="437" sourceFile="C:\Users\A097092\Desktop\Extra\Fantasy FB research\sched - Jake.txt" semicolon="1">
      <textFields count="3">
        <textField/>
        <textField/>
        <textField/>
      </textFields>
    </textPr>
  </connection>
  <connection id="8" name="week_combos" type="6" refreshedVersion="6" background="1" refreshOnLoad="1" saveData="1">
    <textPr prompt="0" codePage="437" sourceFile="C:\Users\A097092\Desktop\Extra\Fantasy FB research\week_combos.txt" tab="0" space="1" consecutive="1">
      <textFields count="17">
        <textField/>
        <textField/>
        <textField/>
        <textField/>
        <textField/>
        <textField/>
        <textField/>
        <textField/>
        <textField/>
        <textField/>
        <textField/>
        <textField/>
        <textField/>
        <textField/>
        <textField/>
        <textField/>
        <textField/>
      </textFields>
    </textPr>
  </connection>
  <connection id="9" name="wins_needed" type="6" refreshedVersion="6" background="1" refreshOnLoad="1" saveData="1">
    <textPr prompt="0" codePage="437" sourceFile="C:\Users\A097092\Desktop\Extra\Fantasy FB research\wins_needed.txt" tab="0" space="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<sst xmlns="http://schemas.openxmlformats.org/spreadsheetml/2006/main" count="7197" uniqueCount="1858">
  <si>
    <t>Week</t>
  </si>
  <si>
    <t>Player</t>
  </si>
  <si>
    <t>Pos</t>
  </si>
  <si>
    <t>Proj</t>
  </si>
  <si>
    <t>max</t>
  </si>
  <si>
    <t>min</t>
  </si>
  <si>
    <t>std</t>
  </si>
  <si>
    <t>mean</t>
  </si>
  <si>
    <t>Owner</t>
  </si>
  <si>
    <t>Devonta Freeman</t>
  </si>
  <si>
    <t>RB</t>
  </si>
  <si>
    <t>scott</t>
  </si>
  <si>
    <t>Jordan Howard</t>
  </si>
  <si>
    <t>Kareem Hunt</t>
  </si>
  <si>
    <t>Lamar Miller</t>
  </si>
  <si>
    <t>cory</t>
  </si>
  <si>
    <t>Jay Ajayi</t>
  </si>
  <si>
    <t>aj</t>
  </si>
  <si>
    <t>devon</t>
  </si>
  <si>
    <t>comp</t>
  </si>
  <si>
    <t>Joe Mixon</t>
  </si>
  <si>
    <t>chad</t>
  </si>
  <si>
    <t>Isaiah Crowell</t>
  </si>
  <si>
    <t>jason</t>
  </si>
  <si>
    <t>perry</t>
  </si>
  <si>
    <t>Le'Veon Bell</t>
  </si>
  <si>
    <t>matty</t>
  </si>
  <si>
    <t>Melvin Gordon</t>
  </si>
  <si>
    <t>Christian McCaffrey</t>
  </si>
  <si>
    <t>seth</t>
  </si>
  <si>
    <t>Carlos Hyde</t>
  </si>
  <si>
    <t>Kelvin Benjamin</t>
  </si>
  <si>
    <t>WR</t>
  </si>
  <si>
    <t>Keenan Allen</t>
  </si>
  <si>
    <t>Julio Jones</t>
  </si>
  <si>
    <t>Jarvis Landry</t>
  </si>
  <si>
    <t>Stefon Diggs</t>
  </si>
  <si>
    <t>Alshon Jeffery</t>
  </si>
  <si>
    <t>T.Y. Hilton</t>
  </si>
  <si>
    <t>Golden Tate</t>
  </si>
  <si>
    <t>Amari Cooper</t>
  </si>
  <si>
    <t>Antonio Brown</t>
  </si>
  <si>
    <t>DeAndre Hopkins</t>
  </si>
  <si>
    <t>Mike Evans</t>
  </si>
  <si>
    <t>Doug Baldwin</t>
  </si>
  <si>
    <t>Larry Fitzgerald</t>
  </si>
  <si>
    <t>Demaryius Thomas</t>
  </si>
  <si>
    <t>A.J. Green</t>
  </si>
  <si>
    <t>Brandin Cooks</t>
  </si>
  <si>
    <t>Tyreek Hill</t>
  </si>
  <si>
    <t>Jordy Nelson</t>
  </si>
  <si>
    <t>Emmanuel Sanders</t>
  </si>
  <si>
    <t>Tom Brady</t>
  </si>
  <si>
    <t>QB</t>
  </si>
  <si>
    <t>Russell Wilson</t>
  </si>
  <si>
    <t>Cam Newton</t>
  </si>
  <si>
    <t>Drew Brees</t>
  </si>
  <si>
    <t>TE</t>
  </si>
  <si>
    <t>Kyle Rudolph</t>
  </si>
  <si>
    <t>Jordan Reed</t>
  </si>
  <si>
    <t>Jimmy Graham</t>
  </si>
  <si>
    <t>Travis Kelce</t>
  </si>
  <si>
    <t>Rob Gronkowski</t>
  </si>
  <si>
    <t>D</t>
  </si>
  <si>
    <t>K</t>
  </si>
  <si>
    <t>Matt Bryant</t>
  </si>
  <si>
    <t>Stephen Gostkowski</t>
  </si>
  <si>
    <t>Justin Tucker</t>
  </si>
  <si>
    <t>Leonard Fournette</t>
  </si>
  <si>
    <t>Michael Thomas</t>
  </si>
  <si>
    <t>Jamison Crowder</t>
  </si>
  <si>
    <t>Adam Thielen</t>
  </si>
  <si>
    <t>Davante Adams</t>
  </si>
  <si>
    <t>Zach Ertz</t>
  </si>
  <si>
    <t>Marshawn Lynch</t>
  </si>
  <si>
    <t>Ezekiel Elliott</t>
  </si>
  <si>
    <t>Chris Hogan</t>
  </si>
  <si>
    <t>Tevin Coleman</t>
  </si>
  <si>
    <t>playoff</t>
  </si>
  <si>
    <t>div_ch</t>
  </si>
  <si>
    <t>final_g</t>
  </si>
  <si>
    <t>winner</t>
  </si>
  <si>
    <t>V1</t>
  </si>
  <si>
    <t>V2</t>
  </si>
  <si>
    <t>V3</t>
  </si>
  <si>
    <t>V4</t>
  </si>
  <si>
    <t>V5</t>
  </si>
  <si>
    <t>V6</t>
  </si>
  <si>
    <t>V7</t>
  </si>
  <si>
    <t>V8</t>
  </si>
  <si>
    <t>V9</t>
  </si>
  <si>
    <t>V10</t>
  </si>
  <si>
    <t>V11</t>
  </si>
  <si>
    <t>V12</t>
  </si>
  <si>
    <t>V13</t>
  </si>
  <si>
    <t>est_wins</t>
  </si>
  <si>
    <t>Column Labels</t>
  </si>
  <si>
    <t>Grand Total</t>
  </si>
  <si>
    <t>Row Labels</t>
  </si>
  <si>
    <t>wk</t>
  </si>
  <si>
    <t>team</t>
  </si>
  <si>
    <t>opp</t>
  </si>
  <si>
    <t>ow_inx</t>
  </si>
  <si>
    <t>owner</t>
  </si>
  <si>
    <t>pts for</t>
  </si>
  <si>
    <t>opp_inx</t>
  </si>
  <si>
    <t>wk-tm</t>
  </si>
  <si>
    <t>pts ag</t>
  </si>
  <si>
    <t>Win Prob</t>
  </si>
  <si>
    <t>win%</t>
  </si>
  <si>
    <t>Opp</t>
  </si>
  <si>
    <t>Avg Score</t>
  </si>
  <si>
    <t>Make Playoffs</t>
  </si>
  <si>
    <t>Semi-Final</t>
  </si>
  <si>
    <t>Championship</t>
  </si>
  <si>
    <t>LeSean McCoy</t>
  </si>
  <si>
    <t>Last Update:</t>
  </si>
  <si>
    <t>FD_Proj</t>
  </si>
  <si>
    <t>Hist</t>
  </si>
  <si>
    <t>avg pct</t>
  </si>
  <si>
    <t>Exp Win</t>
  </si>
  <si>
    <t>Var Win</t>
  </si>
  <si>
    <t>Outright Matrix</t>
  </si>
  <si>
    <t>Tie Matrix</t>
  </si>
  <si>
    <t>Pts Matrix</t>
  </si>
  <si>
    <t>Avg Pts</t>
  </si>
  <si>
    <t>Avg Var</t>
  </si>
  <si>
    <t>Beat Matrix</t>
  </si>
  <si>
    <t>div ch</t>
  </si>
  <si>
    <t>Hot Karl</t>
  </si>
  <si>
    <t>Donkey Punch</t>
  </si>
  <si>
    <t>Avg</t>
  </si>
  <si>
    <t>Var</t>
  </si>
  <si>
    <t>Win Est</t>
  </si>
  <si>
    <t>Div</t>
  </si>
  <si>
    <t>DP</t>
  </si>
  <si>
    <t>HK</t>
  </si>
  <si>
    <t>Raw</t>
  </si>
  <si>
    <t>Rel</t>
  </si>
  <si>
    <t>League</t>
  </si>
  <si>
    <t>Playoffs</t>
  </si>
  <si>
    <t>Seed1</t>
  </si>
  <si>
    <t>Seed2</t>
  </si>
  <si>
    <t>Seed3</t>
  </si>
  <si>
    <t>Seed4</t>
  </si>
  <si>
    <t>Sum of mean</t>
  </si>
  <si>
    <t>Duke Johnson Jr.</t>
  </si>
  <si>
    <t>Marvin Jones Jr.</t>
  </si>
  <si>
    <t>Alex Smith</t>
  </si>
  <si>
    <t>Greg Zuerlein</t>
  </si>
  <si>
    <t>Evan Engram</t>
  </si>
  <si>
    <t>Sterling Shepard</t>
  </si>
  <si>
    <t>Alvin Kamara</t>
  </si>
  <si>
    <t>Devin Funchess</t>
  </si>
  <si>
    <t>Jaguars D/ST</t>
  </si>
  <si>
    <t>Wil Lutz</t>
  </si>
  <si>
    <t>Carson Wentz</t>
  </si>
  <si>
    <t>Derrick Henry</t>
  </si>
  <si>
    <t>Todd Gurley II</t>
  </si>
  <si>
    <t>Matt Prater</t>
  </si>
  <si>
    <t>Dion Lewis</t>
  </si>
  <si>
    <t>Cooper Kupp</t>
  </si>
  <si>
    <t>JuJu Smith-Schuster</t>
  </si>
  <si>
    <t>Jack Doyle</t>
  </si>
  <si>
    <t>Kenyan Drake</t>
  </si>
  <si>
    <t>Robert Woods</t>
  </si>
  <si>
    <t>Rams D/ST</t>
  </si>
  <si>
    <t>Chris Boswell</t>
  </si>
  <si>
    <t>NA</t>
  </si>
  <si>
    <t>Chance of making playoffs by winning  ___ more games</t>
  </si>
  <si>
    <t>Overall Playoff Probability</t>
  </si>
  <si>
    <t>Team1</t>
  </si>
  <si>
    <t>Team2</t>
  </si>
  <si>
    <t>Var1</t>
  </si>
  <si>
    <t>Var2</t>
  </si>
  <si>
    <t>Wk----&gt;</t>
  </si>
  <si>
    <t>Current</t>
  </si>
  <si>
    <t>Chargers D/ST</t>
  </si>
  <si>
    <t>Eagles D/ST</t>
  </si>
  <si>
    <t>Likelihood</t>
  </si>
  <si>
    <t>Odds</t>
  </si>
  <si>
    <t>David Johnson</t>
  </si>
  <si>
    <t>Greg Olsen</t>
  </si>
  <si>
    <t>Kenny Stills</t>
  </si>
  <si>
    <t>Odell Beckham Jr.</t>
  </si>
  <si>
    <t>Jamaal Williams</t>
  </si>
  <si>
    <t>Alex Collins</t>
  </si>
  <si>
    <t>Best Case</t>
  </si>
  <si>
    <t>Worst Case</t>
  </si>
  <si>
    <t>(Best Case)-(Worst Case)</t>
  </si>
  <si>
    <t>Probability of being eliminated from Playoffs in Week 12</t>
  </si>
  <si>
    <t>Current Playoff Probability</t>
  </si>
  <si>
    <t>Probability of Clinching Playoff Spot in Week 12</t>
  </si>
  <si>
    <t>How much would my probability of making the playoffs swing (improvement with postive outcome minus reduction with negative outcome) with the result from any single game? Simply put, this places each game in order of leverage for each owner.</t>
  </si>
  <si>
    <t>Aaron Rodgers</t>
  </si>
  <si>
    <t>Patriots D/ST</t>
  </si>
  <si>
    <t>Vikings D/ST</t>
  </si>
  <si>
    <t>1 in 20</t>
  </si>
  <si>
    <t>perry.vs.devon</t>
  </si>
  <si>
    <t>scott.vs.cory</t>
  </si>
  <si>
    <t>chad.vs.comp</t>
  </si>
  <si>
    <t>matty.vs.aj</t>
  </si>
  <si>
    <t>Rex Burkhead</t>
  </si>
  <si>
    <t>Titans D/ST</t>
  </si>
  <si>
    <t>Philip Rivers</t>
  </si>
  <si>
    <t>Probability of winning Week 13 matchup</t>
  </si>
  <si>
    <t>Probability of making playoffs after winning in Week 13</t>
  </si>
  <si>
    <t>Probability of making playoffs after losing in Week 13</t>
  </si>
  <si>
    <t>3.91-23.55</t>
  </si>
  <si>
    <t>2.88-18.10</t>
  </si>
  <si>
    <t>3.78-13.40</t>
  </si>
  <si>
    <t>11.15-27.43</t>
  </si>
  <si>
    <t>4.32-16.44</t>
  </si>
  <si>
    <t>3.05-11.95</t>
  </si>
  <si>
    <t>10.49-27.47</t>
  </si>
  <si>
    <t>4.25-20.69</t>
  </si>
  <si>
    <t>Saquon Barkley</t>
  </si>
  <si>
    <t>lucas</t>
  </si>
  <si>
    <t>3.63-15.13</t>
  </si>
  <si>
    <t>Dalvin Cook</t>
  </si>
  <si>
    <t>7.44-25.88</t>
  </si>
  <si>
    <t>3.74-15.06</t>
  </si>
  <si>
    <t>Kenny Golladay</t>
  </si>
  <si>
    <t>0.99-12.93</t>
  </si>
  <si>
    <t>Pierre Garcon</t>
  </si>
  <si>
    <t>5.31-18.41</t>
  </si>
  <si>
    <t>1.74-18.00</t>
  </si>
  <si>
    <t>4.13-20.55</t>
  </si>
  <si>
    <t>3.33-18.05</t>
  </si>
  <si>
    <t>5.94-19.36</t>
  </si>
  <si>
    <t>2.78-16.86</t>
  </si>
  <si>
    <t>4.01-13.45</t>
  </si>
  <si>
    <t>5.29-17.51</t>
  </si>
  <si>
    <t>3.80-14.74</t>
  </si>
  <si>
    <t>Allen Robinson</t>
  </si>
  <si>
    <t>2.73-14.39</t>
  </si>
  <si>
    <t>1.97-13.21</t>
  </si>
  <si>
    <t>3.69-16.29</t>
  </si>
  <si>
    <t>3.48-13.80</t>
  </si>
  <si>
    <t>3.11-15.59</t>
  </si>
  <si>
    <t>2.66-13.62</t>
  </si>
  <si>
    <t>3.28-18.82</t>
  </si>
  <si>
    <t>16.53-31.59</t>
  </si>
  <si>
    <t>13.26-31.46</t>
  </si>
  <si>
    <t>Matthew Stafford</t>
  </si>
  <si>
    <t>12.92-26.82</t>
  </si>
  <si>
    <t>Deshaun Watson</t>
  </si>
  <si>
    <t>15.55-30.77</t>
  </si>
  <si>
    <t>Jimmy Garoppolo</t>
  </si>
  <si>
    <t>11.19-26.73</t>
  </si>
  <si>
    <t>3.19-15.23</t>
  </si>
  <si>
    <t>2.20-12.20</t>
  </si>
  <si>
    <t>6.33-18.73</t>
  </si>
  <si>
    <t>2.40-13.38</t>
  </si>
  <si>
    <t>3.44-15.00</t>
  </si>
  <si>
    <t>Ravens D/ST</t>
  </si>
  <si>
    <t>5.18-19.26</t>
  </si>
  <si>
    <t>Broncos D/ST</t>
  </si>
  <si>
    <t>0.45-12.99</t>
  </si>
  <si>
    <t>4.09-18.43</t>
  </si>
  <si>
    <t>4.73-13.83</t>
  </si>
  <si>
    <t>Robbie Gould</t>
  </si>
  <si>
    <t>Harrison Butker</t>
  </si>
  <si>
    <t>9.97-27.01</t>
  </si>
  <si>
    <t>Chris Carson</t>
  </si>
  <si>
    <t>Royce Freeman</t>
  </si>
  <si>
    <t>6.82-25.20</t>
  </si>
  <si>
    <t>6.79-19.15</t>
  </si>
  <si>
    <t>2.93-20.61</t>
  </si>
  <si>
    <t>5.33-19.47</t>
  </si>
  <si>
    <t>5.10-14.38</t>
  </si>
  <si>
    <t>4.22-16.62</t>
  </si>
  <si>
    <t>2.89-14.03</t>
  </si>
  <si>
    <t>2.95-16.59</t>
  </si>
  <si>
    <t>2.48-17.58</t>
  </si>
  <si>
    <t>10.99-25.97</t>
  </si>
  <si>
    <t>3.00-14.94</t>
  </si>
  <si>
    <t>6.96-19.84</t>
  </si>
  <si>
    <t>2.66-14.68</t>
  </si>
  <si>
    <t>2.99-16.13</t>
  </si>
  <si>
    <t>Patrick Mahomes</t>
  </si>
  <si>
    <t>David Njoku</t>
  </si>
  <si>
    <t>Marlon Mack</t>
  </si>
  <si>
    <t>Trey Burton</t>
  </si>
  <si>
    <t>Mark Ingram II</t>
  </si>
  <si>
    <t>Julian Edelman</t>
  </si>
  <si>
    <t>Randy Bullock^</t>
  </si>
  <si>
    <t>5.20-22.56</t>
  </si>
  <si>
    <t>2.61-13.71</t>
  </si>
  <si>
    <t>Andrew Luck</t>
  </si>
  <si>
    <t>Ben Roethlisberger</t>
  </si>
  <si>
    <t>Wil Lutz^</t>
  </si>
  <si>
    <t>4.33-16.09</t>
  </si>
  <si>
    <t>seth.vs.lucas</t>
  </si>
  <si>
    <t>1 in 27</t>
  </si>
  <si>
    <t>1 in 29</t>
  </si>
  <si>
    <t>1 in 41</t>
  </si>
  <si>
    <t>4.61-16.99</t>
  </si>
  <si>
    <t>4.54-15.92</t>
  </si>
  <si>
    <t>8.22-20.00</t>
  </si>
  <si>
    <t>6.86-22.10</t>
  </si>
  <si>
    <t>3.66-19.72</t>
  </si>
  <si>
    <t>12.15-26.17</t>
  </si>
  <si>
    <t>3.95-16.39</t>
  </si>
  <si>
    <t>0.79-10.03</t>
  </si>
  <si>
    <t>6.01-18.69</t>
  </si>
  <si>
    <t>3.72-14.06</t>
  </si>
  <si>
    <t>1.13-13.07</t>
  </si>
  <si>
    <t>Peyton Barber</t>
  </si>
  <si>
    <t>Graham Gano^</t>
  </si>
  <si>
    <t>1 in 23</t>
  </si>
  <si>
    <t>1 in 34</t>
  </si>
  <si>
    <t>1 in 37</t>
  </si>
  <si>
    <t>1 in 50</t>
  </si>
  <si>
    <t>3.43-14.75</t>
  </si>
  <si>
    <t>4.14-15.36</t>
  </si>
  <si>
    <t>11.22-25.34</t>
  </si>
  <si>
    <t>6.47-17.25</t>
  </si>
  <si>
    <t>Lions D/ST</t>
  </si>
  <si>
    <t>2.34-14.12</t>
  </si>
  <si>
    <t>6.39-13.49</t>
  </si>
  <si>
    <t>6.05-13.95</t>
  </si>
  <si>
    <t>5.52-13.12</t>
  </si>
  <si>
    <t>3.57-15.53</t>
  </si>
  <si>
    <t>5.05-11.89</t>
  </si>
  <si>
    <t>4.84-12.52</t>
  </si>
  <si>
    <t>3.62-13.50</t>
  </si>
  <si>
    <t>2.72-15.64</t>
  </si>
  <si>
    <t>1 in 16</t>
  </si>
  <si>
    <t>1 in 33</t>
  </si>
  <si>
    <t>8.06-20.96</t>
  </si>
  <si>
    <t>5.61-21.15</t>
  </si>
  <si>
    <t>9.21-27.67</t>
  </si>
  <si>
    <t>3.01-15.31</t>
  </si>
  <si>
    <t>2.76-16.26</t>
  </si>
  <si>
    <t>Saints D/ST</t>
  </si>
  <si>
    <t>2.89-14.39</t>
  </si>
  <si>
    <t>4.72-20.68</t>
  </si>
  <si>
    <t>5.17-24.63</t>
  </si>
  <si>
    <t>Matt Breida</t>
  </si>
  <si>
    <t>Falcons D/ST^</t>
  </si>
  <si>
    <t>1 in 19</t>
  </si>
  <si>
    <t>1 in 24</t>
  </si>
  <si>
    <t>1 in 28</t>
  </si>
  <si>
    <t>1 in 36</t>
  </si>
  <si>
    <t>1 in 45</t>
  </si>
  <si>
    <t>1 in 49</t>
  </si>
  <si>
    <t>1 in 51</t>
  </si>
  <si>
    <t>1 in 59</t>
  </si>
  <si>
    <t>1 in 63</t>
  </si>
  <si>
    <t>1 in 75</t>
  </si>
  <si>
    <t>andrew</t>
  </si>
  <si>
    <t>jake</t>
  </si>
  <si>
    <t>breanna</t>
  </si>
  <si>
    <t>joseph</t>
  </si>
  <si>
    <t>alyssa</t>
  </si>
  <si>
    <t>chris</t>
  </si>
  <si>
    <t>jordan</t>
  </si>
  <si>
    <t>alex</t>
  </si>
  <si>
    <t>colin</t>
  </si>
  <si>
    <t>paul</t>
  </si>
  <si>
    <t>1.50-12.20</t>
  </si>
  <si>
    <t>2.63-12.95</t>
  </si>
  <si>
    <t>1.06-14.00</t>
  </si>
  <si>
    <t>Kirk Cousins</t>
  </si>
  <si>
    <t>13.86-24.28</t>
  </si>
  <si>
    <t>Marcus Mariota</t>
  </si>
  <si>
    <t>9.18-24.16</t>
  </si>
  <si>
    <t>Austin Seferian-Jenkins</t>
  </si>
  <si>
    <t>0.28-8.38</t>
  </si>
  <si>
    <t>1.13-12.39</t>
  </si>
  <si>
    <t>0.81-11.31</t>
  </si>
  <si>
    <t>Panthers D/ST</t>
  </si>
  <si>
    <t>-0.19-12.55</t>
  </si>
  <si>
    <t>Texans D/ST</t>
  </si>
  <si>
    <t>-1.11-9.47</t>
  </si>
  <si>
    <t>Jake Elliott</t>
  </si>
  <si>
    <t>5.07-12.49</t>
  </si>
  <si>
    <t>Adam Vinatieri</t>
  </si>
  <si>
    <t>4.34-12.08</t>
  </si>
  <si>
    <t>0.53-15.43</t>
  </si>
  <si>
    <t>12.02-24.62</t>
  </si>
  <si>
    <t>0.53-8.89</t>
  </si>
  <si>
    <t>1.03-11.95</t>
  </si>
  <si>
    <t>1.25-11.87</t>
  </si>
  <si>
    <t>0.57-10.59</t>
  </si>
  <si>
    <t>Matt Ryan</t>
  </si>
  <si>
    <t>Benjamin Watson</t>
  </si>
  <si>
    <t>Ty Montgomery</t>
  </si>
  <si>
    <t>Browns D/ST</t>
  </si>
  <si>
    <t>Jared Goff</t>
  </si>
  <si>
    <t>Adrian Peterson</t>
  </si>
  <si>
    <t>Jameis Winston^</t>
  </si>
  <si>
    <t>Tyler Eifert</t>
  </si>
  <si>
    <t>Graham Gano</t>
  </si>
  <si>
    <t>4.44-16.58</t>
  </si>
  <si>
    <t>0</t>
  </si>
  <si>
    <t>1</t>
  </si>
  <si>
    <t>2</t>
  </si>
  <si>
    <t>3</t>
  </si>
  <si>
    <t>4</t>
  </si>
  <si>
    <t>5</t>
  </si>
  <si>
    <t>6</t>
  </si>
  <si>
    <t>7</t>
  </si>
  <si>
    <t>8</t>
  </si>
  <si>
    <t>9</t>
  </si>
  <si>
    <t>10</t>
  </si>
  <si>
    <t>11</t>
  </si>
  <si>
    <t>12</t>
  </si>
  <si>
    <t>13</t>
  </si>
  <si>
    <t>James Conner</t>
  </si>
  <si>
    <t>4.15-21.87</t>
  </si>
  <si>
    <t>7.50-18.38</t>
  </si>
  <si>
    <t>3.68-22.82</t>
  </si>
  <si>
    <t>0.00-0.00</t>
  </si>
  <si>
    <t>5.55-20.33</t>
  </si>
  <si>
    <t>8.38-21.58</t>
  </si>
  <si>
    <t>2.59-14.39</t>
  </si>
  <si>
    <t>12.62-27.16</t>
  </si>
  <si>
    <t>3.69-16.37</t>
  </si>
  <si>
    <t>0.74-17.96</t>
  </si>
  <si>
    <t>4.69-15.67</t>
  </si>
  <si>
    <t>6.32-20.24</t>
  </si>
  <si>
    <t>9.07-24.87</t>
  </si>
  <si>
    <t>2.30-13.78</t>
  </si>
  <si>
    <t>9.14-26.28</t>
  </si>
  <si>
    <t>4.03-14.29</t>
  </si>
  <si>
    <t>1.97-13.89</t>
  </si>
  <si>
    <t>5.25-18.47</t>
  </si>
  <si>
    <t>4.98-17.60</t>
  </si>
  <si>
    <t>3.40-12.18</t>
  </si>
  <si>
    <t>3.28-17.76</t>
  </si>
  <si>
    <t>4.35-15.65</t>
  </si>
  <si>
    <t>4.28-15.14</t>
  </si>
  <si>
    <t>3.22-15.50</t>
  </si>
  <si>
    <t>4.16-17.18</t>
  </si>
  <si>
    <t>2.68-16.42</t>
  </si>
  <si>
    <t>2.85-11.03</t>
  </si>
  <si>
    <t>3.34-15.96</t>
  </si>
  <si>
    <t>2.01-15.19</t>
  </si>
  <si>
    <t>3.75-15.81</t>
  </si>
  <si>
    <t>12.29-25.61</t>
  </si>
  <si>
    <t>10.23-27.05</t>
  </si>
  <si>
    <t>13.53-26.95</t>
  </si>
  <si>
    <t>9.70-21.06</t>
  </si>
  <si>
    <t>11.15-25.29</t>
  </si>
  <si>
    <t>17.59-30.25</t>
  </si>
  <si>
    <t>3.61-15.35</t>
  </si>
  <si>
    <t>2.99-16.23</t>
  </si>
  <si>
    <t>1.37-17.85</t>
  </si>
  <si>
    <t>2.66-15.96</t>
  </si>
  <si>
    <t>Pierre Garcon^</t>
  </si>
  <si>
    <t>Tyler Eifert^</t>
  </si>
  <si>
    <t>Nelson Agholor</t>
  </si>
  <si>
    <t>Alfred Morris</t>
  </si>
  <si>
    <t>Benjamin Watson^</t>
  </si>
  <si>
    <t>Jared Goff^</t>
  </si>
  <si>
    <t>0.40812</t>
  </si>
  <si>
    <t>0.30773</t>
  </si>
  <si>
    <t>0.18514</t>
  </si>
  <si>
    <t>0.08575</t>
  </si>
  <si>
    <t>0.42356</t>
  </si>
  <si>
    <t>0.12838</t>
  </si>
  <si>
    <t>0.24335</t>
  </si>
  <si>
    <t>0.09732</t>
  </si>
  <si>
    <t>0.10425</t>
  </si>
  <si>
    <t>0.07234</t>
  </si>
  <si>
    <t>0.03975</t>
  </si>
  <si>
    <t>0.01356</t>
  </si>
  <si>
    <t>0.50465</t>
  </si>
  <si>
    <t>0.32639</t>
  </si>
  <si>
    <t>0.27212</t>
  </si>
  <si>
    <t>0.12021</t>
  </si>
  <si>
    <t>0.35217</t>
  </si>
  <si>
    <t>0.16516</t>
  </si>
  <si>
    <t>0.15794</t>
  </si>
  <si>
    <t>0.0809</t>
  </si>
  <si>
    <t>0.36932</t>
  </si>
  <si>
    <t>0.28632</t>
  </si>
  <si>
    <t>0.18761</t>
  </si>
  <si>
    <t>0.09527</t>
  </si>
  <si>
    <t>0.50539</t>
  </si>
  <si>
    <t>0.02847</t>
  </si>
  <si>
    <t>0.26648</t>
  </si>
  <si>
    <t>0.1988</t>
  </si>
  <si>
    <t>0.52194</t>
  </si>
  <si>
    <t>0.17568</t>
  </si>
  <si>
    <t>0.32273</t>
  </si>
  <si>
    <t>0.17102</t>
  </si>
  <si>
    <t>0.51526</t>
  </si>
  <si>
    <t>0.44973</t>
  </si>
  <si>
    <t>0.15326</t>
  </si>
  <si>
    <t>0.03346</t>
  </si>
  <si>
    <t>0.29534</t>
  </si>
  <si>
    <t>0.0598</t>
  </si>
  <si>
    <t>0.17162</t>
  </si>
  <si>
    <t>0.10371</t>
  </si>
  <si>
    <t>Jared Cook</t>
  </si>
  <si>
    <t>0.13-9.05</t>
  </si>
  <si>
    <t>Bears D/ST</t>
  </si>
  <si>
    <t>1.62-11.88</t>
  </si>
  <si>
    <t>5.30-22.08</t>
  </si>
  <si>
    <t>T.J. Yeldon</t>
  </si>
  <si>
    <t>1.09-22.69</t>
  </si>
  <si>
    <t>2.90-11.94</t>
  </si>
  <si>
    <t>4.61-21.03</t>
  </si>
  <si>
    <t>3.71-16.77</t>
  </si>
  <si>
    <t>4.08-21.54</t>
  </si>
  <si>
    <t>6.60-22.70</t>
  </si>
  <si>
    <t>2.59-12.79</t>
  </si>
  <si>
    <t>3.37-18.01</t>
  </si>
  <si>
    <t>1.60-15.42</t>
  </si>
  <si>
    <t>3.82-17.66</t>
  </si>
  <si>
    <t>4.37-19.67</t>
  </si>
  <si>
    <t>4.80-16.88</t>
  </si>
  <si>
    <t>11.08-26.22</t>
  </si>
  <si>
    <t>10.73-28.31</t>
  </si>
  <si>
    <t>0.27-10.65</t>
  </si>
  <si>
    <t>George Kittle</t>
  </si>
  <si>
    <t>0.94-13.52</t>
  </si>
  <si>
    <t>2.48-14.38</t>
  </si>
  <si>
    <t>Vance McDonald</t>
  </si>
  <si>
    <t>-0.20-6.02</t>
  </si>
  <si>
    <t>1.92-16.08</t>
  </si>
  <si>
    <t>4.20-11.82</t>
  </si>
  <si>
    <t>5.68-14.42</t>
  </si>
  <si>
    <t>4.93-16.37</t>
  </si>
  <si>
    <t>4.53-13.19</t>
  </si>
  <si>
    <t>5.13-13.31</t>
  </si>
  <si>
    <t>4.01-14.67</t>
  </si>
  <si>
    <t>4.40-13.14</t>
  </si>
  <si>
    <t>4.49-11.17</t>
  </si>
  <si>
    <t>3.99-15.43</t>
  </si>
  <si>
    <t>5.20-13.44</t>
  </si>
  <si>
    <t>5.63-16.85</t>
  </si>
  <si>
    <t>2.48-16.22</t>
  </si>
  <si>
    <t>5.52-17.18</t>
  </si>
  <si>
    <t>2.02-15.54</t>
  </si>
  <si>
    <t>7.61-23.33</t>
  </si>
  <si>
    <t>6.34-22.00</t>
  </si>
  <si>
    <t>0.73-14.23</t>
  </si>
  <si>
    <t>5.45-22.39</t>
  </si>
  <si>
    <t>8.70-18.30</t>
  </si>
  <si>
    <t>4.61-21.77</t>
  </si>
  <si>
    <t>7.14-28.00</t>
  </si>
  <si>
    <t>6.30-19.92</t>
  </si>
  <si>
    <t>4.62-13.16</t>
  </si>
  <si>
    <t>Sony Michel^</t>
  </si>
  <si>
    <t>-0.58-15.26</t>
  </si>
  <si>
    <t>10.68-29.06</t>
  </si>
  <si>
    <t>1.16-16.82</t>
  </si>
  <si>
    <t>5.62-18.44</t>
  </si>
  <si>
    <t>4.57-18.17</t>
  </si>
  <si>
    <t>7.33-24.79</t>
  </si>
  <si>
    <t>1.06-10.94</t>
  </si>
  <si>
    <t>7.29-21.91</t>
  </si>
  <si>
    <t>3.49-16.37</t>
  </si>
  <si>
    <t>6.70-24.00</t>
  </si>
  <si>
    <t>4.22-18.48</t>
  </si>
  <si>
    <t>4.20-16.40</t>
  </si>
  <si>
    <t>3.87-20.37</t>
  </si>
  <si>
    <t>4.75-16.99</t>
  </si>
  <si>
    <t>Randall Cobb</t>
  </si>
  <si>
    <t>2.46-13.38</t>
  </si>
  <si>
    <t>4.69-15.23</t>
  </si>
  <si>
    <t>1.80-13.28</t>
  </si>
  <si>
    <t>4.70-22.38</t>
  </si>
  <si>
    <t>5.01-21.01</t>
  </si>
  <si>
    <t>6.21-21.25</t>
  </si>
  <si>
    <t>4.84-17.86</t>
  </si>
  <si>
    <t>2.26-15.08</t>
  </si>
  <si>
    <t>5.35-18.57</t>
  </si>
  <si>
    <t>3.44-13.58</t>
  </si>
  <si>
    <t>1.43-11.87</t>
  </si>
  <si>
    <t>3.71-15.41</t>
  </si>
  <si>
    <t>1.81-13.43</t>
  </si>
  <si>
    <t>5.51-23.27</t>
  </si>
  <si>
    <t>6.31-22.23</t>
  </si>
  <si>
    <t>3.51-18.39</t>
  </si>
  <si>
    <t>2.50-14.30</t>
  </si>
  <si>
    <t>1.65-14.03</t>
  </si>
  <si>
    <t>1.39-10.69</t>
  </si>
  <si>
    <t>5.61-22.15</t>
  </si>
  <si>
    <t>2.31-17.63</t>
  </si>
  <si>
    <t>4.06-15.20</t>
  </si>
  <si>
    <t>13.21-26.31</t>
  </si>
  <si>
    <t>9.44-24.38</t>
  </si>
  <si>
    <t>13.68-29.02</t>
  </si>
  <si>
    <t>10.88-24.20</t>
  </si>
  <si>
    <t>12.47-26.03</t>
  </si>
  <si>
    <t>12.08-28.28</t>
  </si>
  <si>
    <t>12.32-27.62</t>
  </si>
  <si>
    <t>14.20-26.24</t>
  </si>
  <si>
    <t>14.09-26.73</t>
  </si>
  <si>
    <t>12.76-28.64</t>
  </si>
  <si>
    <t>1.73-11.79</t>
  </si>
  <si>
    <t>2.16-14.14</t>
  </si>
  <si>
    <t>0.83-9.13</t>
  </si>
  <si>
    <t>3.53-16.81</t>
  </si>
  <si>
    <t>-0.12-4.00</t>
  </si>
  <si>
    <t>3.22-11.06</t>
  </si>
  <si>
    <t>6.12-18.92</t>
  </si>
  <si>
    <t>2.71-11.79</t>
  </si>
  <si>
    <t>3.76-14.54</t>
  </si>
  <si>
    <t>1.77-11.01</t>
  </si>
  <si>
    <t>5.06-20.10</t>
  </si>
  <si>
    <t>-0.71-8.87</t>
  </si>
  <si>
    <t>2.14-15.42</t>
  </si>
  <si>
    <t>2.28-16.54</t>
  </si>
  <si>
    <t>2.54-14.42</t>
  </si>
  <si>
    <t>5.93-17.03</t>
  </si>
  <si>
    <t>0.74-11.78</t>
  </si>
  <si>
    <t>4.04-16.70</t>
  </si>
  <si>
    <t>3.86-17.82</t>
  </si>
  <si>
    <t>4.76-17.24</t>
  </si>
  <si>
    <t>4.05-12.41</t>
  </si>
  <si>
    <t>5.02-12.68</t>
  </si>
  <si>
    <t>Robbie Gould^</t>
  </si>
  <si>
    <t>3.47-14.03</t>
  </si>
  <si>
    <t>4.59-13.87</t>
  </si>
  <si>
    <t>4.42-14.58</t>
  </si>
  <si>
    <t>3.96-14.86</t>
  </si>
  <si>
    <t>5.33-13.69</t>
  </si>
  <si>
    <t>2.35-13.17</t>
  </si>
  <si>
    <t>5.27-12.41</t>
  </si>
  <si>
    <t>6.45-18.69</t>
  </si>
  <si>
    <t>6.01-17.21</t>
  </si>
  <si>
    <t>5.04-16.68</t>
  </si>
  <si>
    <t>1.49-9.85</t>
  </si>
  <si>
    <t>8.87-22.75</t>
  </si>
  <si>
    <t>8.78-20.86</t>
  </si>
  <si>
    <t>1.33-12.63</t>
  </si>
  <si>
    <t>5.19-21.17</t>
  </si>
  <si>
    <t>3.88-19.64</t>
  </si>
  <si>
    <t>2.48-19.08</t>
  </si>
  <si>
    <t>9.84-33.00</t>
  </si>
  <si>
    <t>2.30-13.84</t>
  </si>
  <si>
    <t>6.05-14.71</t>
  </si>
  <si>
    <t>3.99-12.25</t>
  </si>
  <si>
    <t>8.55-27.47</t>
  </si>
  <si>
    <t>1.69-17.37</t>
  </si>
  <si>
    <t>2.04-15.14</t>
  </si>
  <si>
    <t>6.62-20.40</t>
  </si>
  <si>
    <t>6.23-20.39</t>
  </si>
  <si>
    <t>7.94-25.24</t>
  </si>
  <si>
    <t>2.32-14.38</t>
  </si>
  <si>
    <t>4.79-16.15</t>
  </si>
  <si>
    <t>4.82-15.90</t>
  </si>
  <si>
    <t>2.30-17.72</t>
  </si>
  <si>
    <t>6.45-23.71</t>
  </si>
  <si>
    <t>3.71-17.71</t>
  </si>
  <si>
    <t>1.96-16.40</t>
  </si>
  <si>
    <t>6.49-24.33</t>
  </si>
  <si>
    <t>3.68-17.38</t>
  </si>
  <si>
    <t>4.31-13.93</t>
  </si>
  <si>
    <t>4.03-16.63</t>
  </si>
  <si>
    <t>3.25-13.31</t>
  </si>
  <si>
    <t>6.80-22.64</t>
  </si>
  <si>
    <t>4.31-18.45</t>
  </si>
  <si>
    <t>6.20-20.20</t>
  </si>
  <si>
    <t>4.34-16.46</t>
  </si>
  <si>
    <t>3.99-15.45</t>
  </si>
  <si>
    <t>4.23-17.37</t>
  </si>
  <si>
    <t>3.44-16.16</t>
  </si>
  <si>
    <t>4.30-16.76</t>
  </si>
  <si>
    <t>0.55-14.43</t>
  </si>
  <si>
    <t>5.76-22.10</t>
  </si>
  <si>
    <t>1.27-19.93</t>
  </si>
  <si>
    <t>3.39-16.45</t>
  </si>
  <si>
    <t>3.12-13.74</t>
  </si>
  <si>
    <t>2.84-12.98</t>
  </si>
  <si>
    <t>1.67-13.35</t>
  </si>
  <si>
    <t>5.17-18.89</t>
  </si>
  <si>
    <t>3.30-15.06</t>
  </si>
  <si>
    <t>12.42-29.16</t>
  </si>
  <si>
    <t>15.13-27.79</t>
  </si>
  <si>
    <t>9.74-26.04</t>
  </si>
  <si>
    <t>9.57-24.87</t>
  </si>
  <si>
    <t>13.51-25.91</t>
  </si>
  <si>
    <t>11.55-30.27</t>
  </si>
  <si>
    <t>12.51-29.05</t>
  </si>
  <si>
    <t>11.91-28.09</t>
  </si>
  <si>
    <t>12.40-28.30</t>
  </si>
  <si>
    <t>15.15-30.05</t>
  </si>
  <si>
    <t>1.68-11.68</t>
  </si>
  <si>
    <t>1.34-12.40</t>
  </si>
  <si>
    <t>0.77-6.35</t>
  </si>
  <si>
    <t>3.47-16.07</t>
  </si>
  <si>
    <t>-0.19-4.05</t>
  </si>
  <si>
    <t>2.89-12.43</t>
  </si>
  <si>
    <t>1.35-10.51</t>
  </si>
  <si>
    <t>3.61-14.89</t>
  </si>
  <si>
    <t>2.08-10.84</t>
  </si>
  <si>
    <t>3.14-12.74</t>
  </si>
  <si>
    <t>0.26-9.40</t>
  </si>
  <si>
    <t>0.82-10.60</t>
  </si>
  <si>
    <t>0.71-15.07</t>
  </si>
  <si>
    <t>3.89-17.69</t>
  </si>
  <si>
    <t>1.16-12.86</t>
  </si>
  <si>
    <t>1.79-13.33</t>
  </si>
  <si>
    <t>4.42-16.62</t>
  </si>
  <si>
    <t>0.31-12.35</t>
  </si>
  <si>
    <t>2.60-16.48</t>
  </si>
  <si>
    <t>0.17-11.73</t>
  </si>
  <si>
    <t>1.01-12.63</t>
  </si>
  <si>
    <t>3.44-11.48</t>
  </si>
  <si>
    <t>4.80-13.22</t>
  </si>
  <si>
    <t>3.88-11.94</t>
  </si>
  <si>
    <t>3.58-11.64</t>
  </si>
  <si>
    <t>4.27-13.57</t>
  </si>
  <si>
    <t>3.11-13.61</t>
  </si>
  <si>
    <t>4.57-13.57</t>
  </si>
  <si>
    <t>4.83-12.75</t>
  </si>
  <si>
    <t>3.26-11.74</t>
  </si>
  <si>
    <t>4.07-11.47</t>
  </si>
  <si>
    <t>5.64-24.34</t>
  </si>
  <si>
    <t>4.65-15.01</t>
  </si>
  <si>
    <t>3.99-19.27</t>
  </si>
  <si>
    <t>1.34-9.28</t>
  </si>
  <si>
    <t>10.05-26.23</t>
  </si>
  <si>
    <t>2.93-14.97</t>
  </si>
  <si>
    <t>4.82-17.86</t>
  </si>
  <si>
    <t>1.54-17.90</t>
  </si>
  <si>
    <t>4.35-14.59</t>
  </si>
  <si>
    <t>7.98-29.64</t>
  </si>
  <si>
    <t>5.96-21.98</t>
  </si>
  <si>
    <t>Sony Michel</t>
  </si>
  <si>
    <t>0.84-18.78</t>
  </si>
  <si>
    <t>5.22-15.30</t>
  </si>
  <si>
    <t>5.65-13.77</t>
  </si>
  <si>
    <t>8.90-26.82</t>
  </si>
  <si>
    <t>5.22-20.30</t>
  </si>
  <si>
    <t>1.41-17.05</t>
  </si>
  <si>
    <t>4.85-18.81</t>
  </si>
  <si>
    <t>0.10-6.86</t>
  </si>
  <si>
    <t>7.54-23.06</t>
  </si>
  <si>
    <t>0.93-10.61</t>
  </si>
  <si>
    <t>0.41-10.91</t>
  </si>
  <si>
    <t>5.98-19.52</t>
  </si>
  <si>
    <t>6.17-18.41</t>
  </si>
  <si>
    <t>8.06-20.94</t>
  </si>
  <si>
    <t>3.91-17.65</t>
  </si>
  <si>
    <t>3.02-17.00</t>
  </si>
  <si>
    <t>5.56-21.78</t>
  </si>
  <si>
    <t>5.38-17.54</t>
  </si>
  <si>
    <t>2.01-18.67</t>
  </si>
  <si>
    <t>4.56-16.14</t>
  </si>
  <si>
    <t>2.50-17.96</t>
  </si>
  <si>
    <t>1.67-13.71</t>
  </si>
  <si>
    <t>6.88-22.10</t>
  </si>
  <si>
    <t>Corey Davis</t>
  </si>
  <si>
    <t>-0.41-15.59</t>
  </si>
  <si>
    <t>5.61-19.77</t>
  </si>
  <si>
    <t>4.33-16.93</t>
  </si>
  <si>
    <t>3.99-15.87</t>
  </si>
  <si>
    <t>3.46-12.98</t>
  </si>
  <si>
    <t>2.30-11.96</t>
  </si>
  <si>
    <t>4.40-14.08</t>
  </si>
  <si>
    <t>1.60-13.96</t>
  </si>
  <si>
    <t>5.34-21.66</t>
  </si>
  <si>
    <t>4.27-17.99</t>
  </si>
  <si>
    <t>3.22-14.08</t>
  </si>
  <si>
    <t>2.70-11.60</t>
  </si>
  <si>
    <t>1.05-12.87</t>
  </si>
  <si>
    <t>4.35-20.21</t>
  </si>
  <si>
    <t>3.87-16.49</t>
  </si>
  <si>
    <t>4.03-16.13</t>
  </si>
  <si>
    <t>12.25-26.29</t>
  </si>
  <si>
    <t>15.46-27.76</t>
  </si>
  <si>
    <t>13.66-30.02</t>
  </si>
  <si>
    <t>10.36-25.04</t>
  </si>
  <si>
    <t>10.97-23.27</t>
  </si>
  <si>
    <t>13.14-30.04</t>
  </si>
  <si>
    <t>11.03-26.05</t>
  </si>
  <si>
    <t>12.21-26.75</t>
  </si>
  <si>
    <t>15.73-32.09</t>
  </si>
  <si>
    <t>13.28-31.04</t>
  </si>
  <si>
    <t>1.06-8.58</t>
  </si>
  <si>
    <t>2.13-12.65</t>
  </si>
  <si>
    <t>0.29-7.99</t>
  </si>
  <si>
    <t>4.03-15.59</t>
  </si>
  <si>
    <t>-0.15-4.77</t>
  </si>
  <si>
    <t>1.90-11.16</t>
  </si>
  <si>
    <t>5.57-20.41</t>
  </si>
  <si>
    <t>1.70-11.56</t>
  </si>
  <si>
    <t>3.62-14.08</t>
  </si>
  <si>
    <t>1.04-12.42</t>
  </si>
  <si>
    <t>Jets D/ST</t>
  </si>
  <si>
    <t>3.57-14.93</t>
  </si>
  <si>
    <t>2.67-14.83</t>
  </si>
  <si>
    <t>1.86-13.90</t>
  </si>
  <si>
    <t>4.29-15.45</t>
  </si>
  <si>
    <t>2.16-12.46</t>
  </si>
  <si>
    <t>2.88-14.74</t>
  </si>
  <si>
    <t>4.77-15.27</t>
  </si>
  <si>
    <t>1.58-10.84</t>
  </si>
  <si>
    <t>2.39-16.77</t>
  </si>
  <si>
    <t>6.25-19.89</t>
  </si>
  <si>
    <t>4.38-12.06</t>
  </si>
  <si>
    <t>4.17-13.57</t>
  </si>
  <si>
    <t>Matt Prater^</t>
  </si>
  <si>
    <t>4.52-11.26</t>
  </si>
  <si>
    <t>3.45-12.59</t>
  </si>
  <si>
    <t>5.28-13.76</t>
  </si>
  <si>
    <t>4.58-12.72</t>
  </si>
  <si>
    <t>4.81-12.41</t>
  </si>
  <si>
    <t>2.57-11.59</t>
  </si>
  <si>
    <t>6.19-13.89</t>
  </si>
  <si>
    <t>4.82-24.84</t>
  </si>
  <si>
    <t>7.20-17.56</t>
  </si>
  <si>
    <t>3.92-18.72</t>
  </si>
  <si>
    <t>4.63-15.39</t>
  </si>
  <si>
    <t>7.17-20.97</t>
  </si>
  <si>
    <t>5.29-17.05</t>
  </si>
  <si>
    <t>1.79-16.09</t>
  </si>
  <si>
    <t>5.78-21.26</t>
  </si>
  <si>
    <t>5.61-17.37</t>
  </si>
  <si>
    <t>2.69-18.93</t>
  </si>
  <si>
    <t>6.90-25.80</t>
  </si>
  <si>
    <t>6.00-22.48</t>
  </si>
  <si>
    <t>0.35-17.87</t>
  </si>
  <si>
    <t>4.54-14.68</t>
  </si>
  <si>
    <t>4.45-12.73</t>
  </si>
  <si>
    <t>8.28-28.88</t>
  </si>
  <si>
    <t>2.09-17.19</t>
  </si>
  <si>
    <t>1.36-13.42</t>
  </si>
  <si>
    <t>6.17-18.21</t>
  </si>
  <si>
    <t>5.16-18.48</t>
  </si>
  <si>
    <t>1.06-12.68</t>
  </si>
  <si>
    <t>0.82-12.34</t>
  </si>
  <si>
    <t>5.32-23.56</t>
  </si>
  <si>
    <t>5.04-16.20</t>
  </si>
  <si>
    <t>3.24-16.24</t>
  </si>
  <si>
    <t>6.93-21.07</t>
  </si>
  <si>
    <t>6.93-19.93</t>
  </si>
  <si>
    <t>3.57-15.81</t>
  </si>
  <si>
    <t>5.46-22.16</t>
  </si>
  <si>
    <t>2.45-16.59</t>
  </si>
  <si>
    <t>1.97-14.21</t>
  </si>
  <si>
    <t>2.17-20.29</t>
  </si>
  <si>
    <t>3.32-16.62</t>
  </si>
  <si>
    <t>5.98-21.30</t>
  </si>
  <si>
    <t>4.39-20.51</t>
  </si>
  <si>
    <t>4.90-17.14</t>
  </si>
  <si>
    <t>2.11-15.25</t>
  </si>
  <si>
    <t>5.33-17.49</t>
  </si>
  <si>
    <t>3.11-12.55</t>
  </si>
  <si>
    <t>1.25-11.09</t>
  </si>
  <si>
    <t>3.84-13.76</t>
  </si>
  <si>
    <t>0.77-8.37</t>
  </si>
  <si>
    <t>5.07-23.41</t>
  </si>
  <si>
    <t>3.05-19.47</t>
  </si>
  <si>
    <t>4.52-16.82</t>
  </si>
  <si>
    <t>3.21-14.03</t>
  </si>
  <si>
    <t>3.08-12.04</t>
  </si>
  <si>
    <t>0.85-12.81</t>
  </si>
  <si>
    <t>5.76-20.48</t>
  </si>
  <si>
    <t>2.72-18.30</t>
  </si>
  <si>
    <t>13.32-25.78</t>
  </si>
  <si>
    <t>14.29-27.49</t>
  </si>
  <si>
    <t>12.49-27.69</t>
  </si>
  <si>
    <t>10.67-25.43</t>
  </si>
  <si>
    <t>16.55-28.73</t>
  </si>
  <si>
    <t>12.84-26.14</t>
  </si>
  <si>
    <t>11.43-26.85</t>
  </si>
  <si>
    <t>14.01-29.03</t>
  </si>
  <si>
    <t>16.39-31.39</t>
  </si>
  <si>
    <t>15.71-34.11</t>
  </si>
  <si>
    <t>1.02-8.26</t>
  </si>
  <si>
    <t>2.96-13.40</t>
  </si>
  <si>
    <t>-0.04-8.50</t>
  </si>
  <si>
    <t>3.83-15.01</t>
  </si>
  <si>
    <t>-0.08-4.74</t>
  </si>
  <si>
    <t>2.44-11.58</t>
  </si>
  <si>
    <t>5.65-19.61</t>
  </si>
  <si>
    <t>1.53-13.71</t>
  </si>
  <si>
    <t>2.83-11.23</t>
  </si>
  <si>
    <t>1.31-12.47</t>
  </si>
  <si>
    <t>6.63-19.65</t>
  </si>
  <si>
    <t>Redskins D/ST^</t>
  </si>
  <si>
    <t>0.89-12.71</t>
  </si>
  <si>
    <t>-2.40-10.02</t>
  </si>
  <si>
    <t>2.29-17.65</t>
  </si>
  <si>
    <t>1.16-12.78</t>
  </si>
  <si>
    <t>3.41-13.87</t>
  </si>
  <si>
    <t>2.95-18.09</t>
  </si>
  <si>
    <t>4.73-18.03</t>
  </si>
  <si>
    <t>0.84-12.38</t>
  </si>
  <si>
    <t>4.84-15.28</t>
  </si>
  <si>
    <t>Jason Myers^</t>
  </si>
  <si>
    <t>3.87-12.39</t>
  </si>
  <si>
    <t>4.92-11.84</t>
  </si>
  <si>
    <t>5.35-13.11</t>
  </si>
  <si>
    <t>4.83-13.63</t>
  </si>
  <si>
    <t>4.43-12.53</t>
  </si>
  <si>
    <t>4.11-11.33</t>
  </si>
  <si>
    <t>4.17-12.25</t>
  </si>
  <si>
    <t>5.18-12.38</t>
  </si>
  <si>
    <t>4.88-22.40</t>
  </si>
  <si>
    <t>5.19-17.63</t>
  </si>
  <si>
    <t>3.24-15.80</t>
  </si>
  <si>
    <t>3.13-18.29</t>
  </si>
  <si>
    <t>4.99-15.75</t>
  </si>
  <si>
    <t>8.83-22.47</t>
  </si>
  <si>
    <t>4.56-16.56</t>
  </si>
  <si>
    <t>1.58-12.54</t>
  </si>
  <si>
    <t>4.77-20.45</t>
  </si>
  <si>
    <t>5.82-16.82</t>
  </si>
  <si>
    <t>Chris Thompson</t>
  </si>
  <si>
    <t>4.12-13.18</t>
  </si>
  <si>
    <t>8.44-30.84</t>
  </si>
  <si>
    <t>5.48-17.78</t>
  </si>
  <si>
    <t>4.11-15.73</t>
  </si>
  <si>
    <t>Rex Burkhead^</t>
  </si>
  <si>
    <t>1.77-11.81</t>
  </si>
  <si>
    <t>8.99-28.77</t>
  </si>
  <si>
    <t>2.86-18.24</t>
  </si>
  <si>
    <t>1.15-17.05</t>
  </si>
  <si>
    <t>5.83-20.27</t>
  </si>
  <si>
    <t>4.45-17.13</t>
  </si>
  <si>
    <t>7.15-19.85</t>
  </si>
  <si>
    <t>0.68-11.40</t>
  </si>
  <si>
    <t>7.54-20.96</t>
  </si>
  <si>
    <t>6.25-16.67</t>
  </si>
  <si>
    <t>2.45-19.13</t>
  </si>
  <si>
    <t>2.59-16.49</t>
  </si>
  <si>
    <t>1.17-12.07</t>
  </si>
  <si>
    <t>7.13-23.43</t>
  </si>
  <si>
    <t>3.65-17.47</t>
  </si>
  <si>
    <t>2.03-18.65</t>
  </si>
  <si>
    <t>4.37-14.77</t>
  </si>
  <si>
    <t>1.28-16.82</t>
  </si>
  <si>
    <t>5.28-17.86</t>
  </si>
  <si>
    <t>4.59-16.79</t>
  </si>
  <si>
    <t>4.09-17.03</t>
  </si>
  <si>
    <t>4.04-15.84</t>
  </si>
  <si>
    <t>3.53-15.85</t>
  </si>
  <si>
    <t>4.16-15.82</t>
  </si>
  <si>
    <t>3.62-12.54</t>
  </si>
  <si>
    <t>0.59-14.91</t>
  </si>
  <si>
    <t>6.42-23.50</t>
  </si>
  <si>
    <t>4.83-17.05</t>
  </si>
  <si>
    <t>1.46-20.34</t>
  </si>
  <si>
    <t>3.42-14.50</t>
  </si>
  <si>
    <t>2.88-11.80</t>
  </si>
  <si>
    <t>1.22-13.14</t>
  </si>
  <si>
    <t>5.41-17.93</t>
  </si>
  <si>
    <t>4.41-17.07</t>
  </si>
  <si>
    <t>7.75-21.61</t>
  </si>
  <si>
    <t>14.71-28.93</t>
  </si>
  <si>
    <t>11.40-26.20</t>
  </si>
  <si>
    <t>10.12-23.96</t>
  </si>
  <si>
    <t>14.05-27.49</t>
  </si>
  <si>
    <t>13.43-29.57</t>
  </si>
  <si>
    <t>13.53-27.05</t>
  </si>
  <si>
    <t>11.18-26.28</t>
  </si>
  <si>
    <t>10.93-24.53</t>
  </si>
  <si>
    <t>10.31-25.97</t>
  </si>
  <si>
    <t>0.49-8.55</t>
  </si>
  <si>
    <t>0.31-11.75</t>
  </si>
  <si>
    <t>0.81-9.39</t>
  </si>
  <si>
    <t>3.02-14.98</t>
  </si>
  <si>
    <t>David Njoku^</t>
  </si>
  <si>
    <t>2.64-11.18</t>
  </si>
  <si>
    <t>3.83-15.09</t>
  </si>
  <si>
    <t>1.92-10.74</t>
  </si>
  <si>
    <t>4.43-13.83</t>
  </si>
  <si>
    <t>1.16-12.68</t>
  </si>
  <si>
    <t>3.19-13.17</t>
  </si>
  <si>
    <t>1.36-13.98</t>
  </si>
  <si>
    <t>1.28-9.50</t>
  </si>
  <si>
    <t>0.15-9.43</t>
  </si>
  <si>
    <t>4.98-17.10</t>
  </si>
  <si>
    <t>2.90-15.02</t>
  </si>
  <si>
    <t>1.49-11.53</t>
  </si>
  <si>
    <t>5.86-18.62</t>
  </si>
  <si>
    <t>0.75-11.53</t>
  </si>
  <si>
    <t>3.47-11.63</t>
  </si>
  <si>
    <t>4.27-12.45</t>
  </si>
  <si>
    <t>Ryan Succop^</t>
  </si>
  <si>
    <t>3.74-12.08</t>
  </si>
  <si>
    <t>4.49-11.21</t>
  </si>
  <si>
    <t>3.85-12.55</t>
  </si>
  <si>
    <t>4.03-13.81</t>
  </si>
  <si>
    <t>4.51-13.69</t>
  </si>
  <si>
    <t>3.96-12.44</t>
  </si>
  <si>
    <t>2.98-12.78</t>
  </si>
  <si>
    <t>5.04-19.98</t>
  </si>
  <si>
    <t>5.14-18.08</t>
  </si>
  <si>
    <t>6.65-21.57</t>
  </si>
  <si>
    <t>4.80-20.08</t>
  </si>
  <si>
    <t>9.41-20.81</t>
  </si>
  <si>
    <t>1.29-14.23</t>
  </si>
  <si>
    <t>5.40-22.36</t>
  </si>
  <si>
    <t>6.59-19.17</t>
  </si>
  <si>
    <t>2.97-15.51</t>
  </si>
  <si>
    <t>6.18-19.02</t>
  </si>
  <si>
    <t>1.55-15.39</t>
  </si>
  <si>
    <t>4.24-11.16</t>
  </si>
  <si>
    <t>Frank Gore^</t>
  </si>
  <si>
    <t>1.41-11.83</t>
  </si>
  <si>
    <t>11.00-31.44</t>
  </si>
  <si>
    <t>2.61-17.53</t>
  </si>
  <si>
    <t>-0.16-14.00</t>
  </si>
  <si>
    <t>4.87-21.47</t>
  </si>
  <si>
    <t>5.87-19.07</t>
  </si>
  <si>
    <t>7.52-19.90</t>
  </si>
  <si>
    <t>1.82-13.88</t>
  </si>
  <si>
    <t>6.17-17.49</t>
  </si>
  <si>
    <t>5.61-16.97</t>
  </si>
  <si>
    <t>8.51-22.47</t>
  </si>
  <si>
    <t>4.38-16.30</t>
  </si>
  <si>
    <t>3.46-16.64</t>
  </si>
  <si>
    <t>3.41-17.97</t>
  </si>
  <si>
    <t>1.96-15.40</t>
  </si>
  <si>
    <t>1.47-20.61</t>
  </si>
  <si>
    <t>5.42-15.84</t>
  </si>
  <si>
    <t>2.19-16.35</t>
  </si>
  <si>
    <t>6.16-19.34</t>
  </si>
  <si>
    <t>4.03-19.91</t>
  </si>
  <si>
    <t>4.50-17.34</t>
  </si>
  <si>
    <t>4.10-17.52</t>
  </si>
  <si>
    <t>3.66-15.12</t>
  </si>
  <si>
    <t>4.96-19.32</t>
  </si>
  <si>
    <t>3.14-15.86</t>
  </si>
  <si>
    <t>2.08-11.74</t>
  </si>
  <si>
    <t>2.64-17.94</t>
  </si>
  <si>
    <t>0.23-15.23</t>
  </si>
  <si>
    <t>4.81-17.01</t>
  </si>
  <si>
    <t>4.13-15.35</t>
  </si>
  <si>
    <t>1.92-17.40</t>
  </si>
  <si>
    <t>2.28-14.46</t>
  </si>
  <si>
    <t>2.69-13.53</t>
  </si>
  <si>
    <t>2.48-11.48</t>
  </si>
  <si>
    <t>4.22-19.36</t>
  </si>
  <si>
    <t>5.21-15.81</t>
  </si>
  <si>
    <t>3.61-15.29</t>
  </si>
  <si>
    <t>12.38-28.66</t>
  </si>
  <si>
    <t>Alex Smith^</t>
  </si>
  <si>
    <t>11.05-24.33</t>
  </si>
  <si>
    <t>14.60-31.00</t>
  </si>
  <si>
    <t>11.88-25.08</t>
  </si>
  <si>
    <t>9.86-25.78</t>
  </si>
  <si>
    <t>14.66-28.14</t>
  </si>
  <si>
    <t>13.09-29.27</t>
  </si>
  <si>
    <t>13.07-25.83</t>
  </si>
  <si>
    <t>12.11-27.49</t>
  </si>
  <si>
    <t>1.37-13.03</t>
  </si>
  <si>
    <t>1.70-12.00</t>
  </si>
  <si>
    <t>0.74-7.74</t>
  </si>
  <si>
    <t>3.81-16.41</t>
  </si>
  <si>
    <t>-0.13-4.81</t>
  </si>
  <si>
    <t>2.23-11.95</t>
  </si>
  <si>
    <t>4.80-17.64</t>
  </si>
  <si>
    <t>1.69-10.23</t>
  </si>
  <si>
    <t>2.81-13.41</t>
  </si>
  <si>
    <t>0.85-12.25</t>
  </si>
  <si>
    <t>3.58-15.70</t>
  </si>
  <si>
    <t>1.98-14.14</t>
  </si>
  <si>
    <t>3.19-16.15</t>
  </si>
  <si>
    <t>3.02-15.74</t>
  </si>
  <si>
    <t>2.68-16.82</t>
  </si>
  <si>
    <t>0.87-11.85</t>
  </si>
  <si>
    <t>3.41-13.89</t>
  </si>
  <si>
    <t>2.62-16.80</t>
  </si>
  <si>
    <t>2.30-12.46</t>
  </si>
  <si>
    <t>2.90-12.18</t>
  </si>
  <si>
    <t>4.22-12.48</t>
  </si>
  <si>
    <t>4.83-12.71</t>
  </si>
  <si>
    <t>4.21-10.31</t>
  </si>
  <si>
    <t>3.90-13.76</t>
  </si>
  <si>
    <t>4.18-12.98</t>
  </si>
  <si>
    <t>4.92-12.00</t>
  </si>
  <si>
    <t>2.42-10.96</t>
  </si>
  <si>
    <t>5.06-12.66</t>
  </si>
  <si>
    <t>6.95-21.57</t>
  </si>
  <si>
    <t>3.33-15.77</t>
  </si>
  <si>
    <t>Phillip Lindsay</t>
  </si>
  <si>
    <t>2.61-14.19</t>
  </si>
  <si>
    <t>4.33-17.67</t>
  </si>
  <si>
    <t>Javorius Allen^</t>
  </si>
  <si>
    <t>2.37-11.37</t>
  </si>
  <si>
    <t>8.50-23.16</t>
  </si>
  <si>
    <t>8.33-20.19</t>
  </si>
  <si>
    <t>2.98-19.50</t>
  </si>
  <si>
    <t>3.71-15.17</t>
  </si>
  <si>
    <t>7.18-27.78</t>
  </si>
  <si>
    <t>6.15-23.61</t>
  </si>
  <si>
    <t>4.27-15.13</t>
  </si>
  <si>
    <t>3.35-11.61</t>
  </si>
  <si>
    <t>9.60-27.84</t>
  </si>
  <si>
    <t>5.07-21.61</t>
  </si>
  <si>
    <t>1.67-17.21</t>
  </si>
  <si>
    <t>4.83-20.07</t>
  </si>
  <si>
    <t>3.84-18.40</t>
  </si>
  <si>
    <t>7.27-21.03</t>
  </si>
  <si>
    <t>2.60-14.94</t>
  </si>
  <si>
    <t>5.83-18.23</t>
  </si>
  <si>
    <t>5.62-18.36</t>
  </si>
  <si>
    <t>3.08-18.50</t>
  </si>
  <si>
    <t>5.87-23.13</t>
  </si>
  <si>
    <t>4.70-19.08</t>
  </si>
  <si>
    <t>5.03-19.37</t>
  </si>
  <si>
    <t>2.16-16.90</t>
  </si>
  <si>
    <t>3.08-12.68</t>
  </si>
  <si>
    <t>1.06-18.06</t>
  </si>
  <si>
    <t>4.58-13.34</t>
  </si>
  <si>
    <t>1.93-14.65</t>
  </si>
  <si>
    <t>5.11-16.67</t>
  </si>
  <si>
    <t>2.75-17.81</t>
  </si>
  <si>
    <t>3.48-16.16</t>
  </si>
  <si>
    <t>5.18-19.48</t>
  </si>
  <si>
    <t>4.70-17.40</t>
  </si>
  <si>
    <t>3.07-16.91</t>
  </si>
  <si>
    <t>4.65-14.05</t>
  </si>
  <si>
    <t>1.33-10.25</t>
  </si>
  <si>
    <t>1.28-10.28</t>
  </si>
  <si>
    <t>3.99-16.05</t>
  </si>
  <si>
    <t>0.69-13.47</t>
  </si>
  <si>
    <t>4.24-19.70</t>
  </si>
  <si>
    <t>4.72-16.48</t>
  </si>
  <si>
    <t>Michael Crabtree</t>
  </si>
  <si>
    <t>2.31-15.79</t>
  </si>
  <si>
    <t>3.31-14.29</t>
  </si>
  <si>
    <t>1.39-14.13</t>
  </si>
  <si>
    <t>2.29-11.29</t>
  </si>
  <si>
    <t>3.63-20.99</t>
  </si>
  <si>
    <t>3.92-18.20</t>
  </si>
  <si>
    <t>14.53-28.93</t>
  </si>
  <si>
    <t>10.33-25.75</t>
  </si>
  <si>
    <t>12.78-25.62</t>
  </si>
  <si>
    <t>11.09-25.13</t>
  </si>
  <si>
    <t>9.49-19.29</t>
  </si>
  <si>
    <t>14.29-32.35</t>
  </si>
  <si>
    <t>11.26-25.94</t>
  </si>
  <si>
    <t>13.73-27.89</t>
  </si>
  <si>
    <t>16.59-30.49</t>
  </si>
  <si>
    <t>16.82-32.98</t>
  </si>
  <si>
    <t>1.50-10.96</t>
  </si>
  <si>
    <t>1.79-10.89</t>
  </si>
  <si>
    <t>0.34-7.62</t>
  </si>
  <si>
    <t>3.74-17.16</t>
  </si>
  <si>
    <t>0.19-6.19</t>
  </si>
  <si>
    <t>2.10-10.04</t>
  </si>
  <si>
    <t>6.13-20.05</t>
  </si>
  <si>
    <t>1.91-13.15</t>
  </si>
  <si>
    <t>3.85-16.27</t>
  </si>
  <si>
    <t>-0.79-9.09</t>
  </si>
  <si>
    <t>2.02-13.68</t>
  </si>
  <si>
    <t>2.91-14.29</t>
  </si>
  <si>
    <t>1.39-11.35</t>
  </si>
  <si>
    <t>4.32-16.24</t>
  </si>
  <si>
    <t>1.84-13.04</t>
  </si>
  <si>
    <t>3.98-16.70</t>
  </si>
  <si>
    <t>2.40-16.50</t>
  </si>
  <si>
    <t>3.02-10.98</t>
  </si>
  <si>
    <t>3.98-13.24</t>
  </si>
  <si>
    <t>4.36-12.98</t>
  </si>
  <si>
    <t>3.94-12.60</t>
  </si>
  <si>
    <t>5.15-14.13</t>
  </si>
  <si>
    <t>4.85-13.05</t>
  </si>
  <si>
    <t>4.54-13.36</t>
  </si>
  <si>
    <t>5.34-12.94</t>
  </si>
  <si>
    <t>3.85-10.83</t>
  </si>
  <si>
    <t>5.45-22.27</t>
  </si>
  <si>
    <t>7.71-19.93</t>
  </si>
  <si>
    <t>5.64-21.12</t>
  </si>
  <si>
    <t>4.67-19.59</t>
  </si>
  <si>
    <t>8.69-24.87</t>
  </si>
  <si>
    <t>1.43-14.13</t>
  </si>
  <si>
    <t>6.08-22.96</t>
  </si>
  <si>
    <t>7.36-19.34</t>
  </si>
  <si>
    <t>2.37-18.73</t>
  </si>
  <si>
    <t>6.01-26.29</t>
  </si>
  <si>
    <t>5.33-22.45</t>
  </si>
  <si>
    <t>2.26-13.62</t>
  </si>
  <si>
    <t>5.75-17.27</t>
  </si>
  <si>
    <t>4.50-13.64</t>
  </si>
  <si>
    <t>10.42-28.34</t>
  </si>
  <si>
    <t>3.52-20.90</t>
  </si>
  <si>
    <t>2.49-16.03</t>
  </si>
  <si>
    <t>5.22-19.54</t>
  </si>
  <si>
    <t>0.08-6.28</t>
  </si>
  <si>
    <t>7.42-22.14</t>
  </si>
  <si>
    <t>0.47-10.15</t>
  </si>
  <si>
    <t>7.08-17.72</t>
  </si>
  <si>
    <t>5.70-17.50</t>
  </si>
  <si>
    <t>3.25-19.37</t>
  </si>
  <si>
    <t>7.02-22.16</t>
  </si>
  <si>
    <t>5.11-20.35</t>
  </si>
  <si>
    <t>4.02-16.16</t>
  </si>
  <si>
    <t>5.08-21.30</t>
  </si>
  <si>
    <t>4.55-15.51</t>
  </si>
  <si>
    <t>1.79-18.01</t>
  </si>
  <si>
    <t>4.98-16.56</t>
  </si>
  <si>
    <t>2.24-17.70</t>
  </si>
  <si>
    <t>2.01-14.05</t>
  </si>
  <si>
    <t>4.38-20.40</t>
  </si>
  <si>
    <t>0.94-17.66</t>
  </si>
  <si>
    <t>5.21-19.53</t>
  </si>
  <si>
    <t>3.33-15.03</t>
  </si>
  <si>
    <t>5.34-18.28</t>
  </si>
  <si>
    <t>1.30-12.10</t>
  </si>
  <si>
    <t>1.13-10.39</t>
  </si>
  <si>
    <t>2.91-17.59</t>
  </si>
  <si>
    <t>0.66-14.54</t>
  </si>
  <si>
    <t>3.19-26.79</t>
  </si>
  <si>
    <t>6.42-22.52</t>
  </si>
  <si>
    <t>2.47-15.65</t>
  </si>
  <si>
    <t>3.30-13.60</t>
  </si>
  <si>
    <t>1.98-14.30</t>
  </si>
  <si>
    <t>2.92-11.82</t>
  </si>
  <si>
    <t>4.45-18.57</t>
  </si>
  <si>
    <t>3.07-16.27</t>
  </si>
  <si>
    <t>11.57-25.53</t>
  </si>
  <si>
    <t>14.26-26.56</t>
  </si>
  <si>
    <t>14.81-27.71</t>
  </si>
  <si>
    <t>9.82-22.26</t>
  </si>
  <si>
    <t>12.22-27.10</t>
  </si>
  <si>
    <t>14.31-27.05</t>
  </si>
  <si>
    <t>13.14-29.48</t>
  </si>
  <si>
    <t>11.72-26.40</t>
  </si>
  <si>
    <t>14.43-29.23</t>
  </si>
  <si>
    <t>13.29-31.51</t>
  </si>
  <si>
    <t>1.22-8.74</t>
  </si>
  <si>
    <t>2.21-13.65</t>
  </si>
  <si>
    <t>0.43-7.71</t>
  </si>
  <si>
    <t>3.93-14.75</t>
  </si>
  <si>
    <t>0.11-4.83</t>
  </si>
  <si>
    <t>1.07-11.53</t>
  </si>
  <si>
    <t>5.97-19.59</t>
  </si>
  <si>
    <t>2.92-12.06</t>
  </si>
  <si>
    <t>2.53-12.51</t>
  </si>
  <si>
    <t>0.86-9.90</t>
  </si>
  <si>
    <t>1.98-13.90</t>
  </si>
  <si>
    <t>1.60-14.50</t>
  </si>
  <si>
    <t>-0.18-10.18</t>
  </si>
  <si>
    <t>-0.78-10.98</t>
  </si>
  <si>
    <t>5.78-16.82</t>
  </si>
  <si>
    <t>3.24-15.50</t>
  </si>
  <si>
    <t>3.04-13.30</t>
  </si>
  <si>
    <t>Bills D/ST^</t>
  </si>
  <si>
    <t>1.58-13.74</t>
  </si>
  <si>
    <t>2.51-11.35</t>
  </si>
  <si>
    <t>4.80-14.16</t>
  </si>
  <si>
    <t>5.66-14.72</t>
  </si>
  <si>
    <t>5.08-12.32</t>
  </si>
  <si>
    <t>4.44-12.60</t>
  </si>
  <si>
    <t>4.23-13.43</t>
  </si>
  <si>
    <t>4.93-13.19</t>
  </si>
  <si>
    <t>3.60-12.16</t>
  </si>
  <si>
    <t>3.95-13.31</t>
  </si>
  <si>
    <t>4.21-11.83</t>
  </si>
  <si>
    <t>5.95-24.75</t>
  </si>
  <si>
    <t>2.52-13.98</t>
  </si>
  <si>
    <t>6.55-21.01</t>
  </si>
  <si>
    <t>3.34-18.46</t>
  </si>
  <si>
    <t>9.38-22.16</t>
  </si>
  <si>
    <t>5.74-17.26</t>
  </si>
  <si>
    <t>6.46-22.92</t>
  </si>
  <si>
    <t>5.95-17.91</t>
  </si>
  <si>
    <t>7.98-30.86</t>
  </si>
  <si>
    <t>4.81-21.09</t>
  </si>
  <si>
    <t>5.84-22.82</t>
  </si>
  <si>
    <t>4.01-15.13</t>
  </si>
  <si>
    <t>13.29-33.33</t>
  </si>
  <si>
    <t>3.17-18.33</t>
  </si>
  <si>
    <t>3.30-16.96</t>
  </si>
  <si>
    <t>6.23-19.01</t>
  </si>
  <si>
    <t>3.47-17.47</t>
  </si>
  <si>
    <t>8.46-21.12</t>
  </si>
  <si>
    <t>0.77-13.13</t>
  </si>
  <si>
    <t>1.08-11.56</t>
  </si>
  <si>
    <t>6.08-20.34</t>
  </si>
  <si>
    <t>3.68-17.34</t>
  </si>
  <si>
    <t>5.57-23.09</t>
  </si>
  <si>
    <t>3.01-16.73</t>
  </si>
  <si>
    <t>3.86-14.58</t>
  </si>
  <si>
    <t>5.62-18.34</t>
  </si>
  <si>
    <t>2.77-17.09</t>
  </si>
  <si>
    <t>4.49-14.81</t>
  </si>
  <si>
    <t>2.74-22.80</t>
  </si>
  <si>
    <t>4.36-14.86</t>
  </si>
  <si>
    <t>2.87-12.35</t>
  </si>
  <si>
    <t>4.56-19.76</t>
  </si>
  <si>
    <t>4.57-19.53</t>
  </si>
  <si>
    <t>2.41-18.29</t>
  </si>
  <si>
    <t>6.51-19.97</t>
  </si>
  <si>
    <t>3.80-16.38</t>
  </si>
  <si>
    <t>2.24-16.12</t>
  </si>
  <si>
    <t>2.81-17.85</t>
  </si>
  <si>
    <t>2.13-15.09</t>
  </si>
  <si>
    <t>1.41-10.67</t>
  </si>
  <si>
    <t>0.13-16.59</t>
  </si>
  <si>
    <t>0.05-7.29</t>
  </si>
  <si>
    <t>3.29-26.85</t>
  </si>
  <si>
    <t>6.26-23.30</t>
  </si>
  <si>
    <t>4.06-15.82</t>
  </si>
  <si>
    <t>2.96-12.36</t>
  </si>
  <si>
    <t>1.78-13.20</t>
  </si>
  <si>
    <t>3.73-20.61</t>
  </si>
  <si>
    <t>4.59-15.47</t>
  </si>
  <si>
    <t>3.65-15.65</t>
  </si>
  <si>
    <t>8.10-22.76</t>
  </si>
  <si>
    <t>14.11-29.43</t>
  </si>
  <si>
    <t>13.41-28.37</t>
  </si>
  <si>
    <t>10.47-24.85</t>
  </si>
  <si>
    <t>13.28-26.26</t>
  </si>
  <si>
    <t>11.50-28.58</t>
  </si>
  <si>
    <t>14.02-27.96</t>
  </si>
  <si>
    <t>12.64-30.46</t>
  </si>
  <si>
    <t>Marcus Mariota^</t>
  </si>
  <si>
    <t>6.95-26.49</t>
  </si>
  <si>
    <t>13.74-27.24</t>
  </si>
  <si>
    <t>1.46-9.34</t>
  </si>
  <si>
    <t>2.08-12.50</t>
  </si>
  <si>
    <t>-0.05-7.81</t>
  </si>
  <si>
    <t>4.13-14.09</t>
  </si>
  <si>
    <t>-0.11-5.69</t>
  </si>
  <si>
    <t>1.52-11.78</t>
  </si>
  <si>
    <t>-0.04-11.58</t>
  </si>
  <si>
    <t>2.75-12.95</t>
  </si>
  <si>
    <t>3.65-11.77</t>
  </si>
  <si>
    <t>3.93-17.47</t>
  </si>
  <si>
    <t>0.42-11.52</t>
  </si>
  <si>
    <t>0.93-10.07</t>
  </si>
  <si>
    <t>3.49-16.17</t>
  </si>
  <si>
    <t>0.76-12.88</t>
  </si>
  <si>
    <t>3.56-16.10</t>
  </si>
  <si>
    <t>2.45-14.31</t>
  </si>
  <si>
    <t>1.59-10.09</t>
  </si>
  <si>
    <t>0.19-9.93</t>
  </si>
  <si>
    <t>3.33-15.01</t>
  </si>
  <si>
    <t>2.65-11.69</t>
  </si>
  <si>
    <t>4.05-12.97</t>
  </si>
  <si>
    <t>5.14-13.62</t>
  </si>
  <si>
    <t>4.73-11.55</t>
  </si>
  <si>
    <t>4.18-13.30</t>
  </si>
  <si>
    <t>4.42-14.88</t>
  </si>
  <si>
    <t>3.86-12.08</t>
  </si>
  <si>
    <t>4.61-12.51</t>
  </si>
  <si>
    <t>4.07-11.41</t>
  </si>
  <si>
    <t>4.70-22.74</t>
  </si>
  <si>
    <t>5.53-15.97</t>
  </si>
  <si>
    <t>4.32-16.84</t>
  </si>
  <si>
    <t>4.40-16.56</t>
  </si>
  <si>
    <t>2.70-16.84</t>
  </si>
  <si>
    <t>10.19-24.19</t>
  </si>
  <si>
    <t>7.52-18.62</t>
  </si>
  <si>
    <t>1.84-15.38</t>
  </si>
  <si>
    <t>6.98-18.74</t>
  </si>
  <si>
    <t>4.76-20.24</t>
  </si>
  <si>
    <t>2.96-15.32</t>
  </si>
  <si>
    <t>10.38-32.78</t>
  </si>
  <si>
    <t>7.22-20.14</t>
  </si>
  <si>
    <t>6.16-20.86</t>
  </si>
  <si>
    <t>3.67-13.09</t>
  </si>
  <si>
    <t>5.47-23.03</t>
  </si>
  <si>
    <t>1.99-17.77</t>
  </si>
  <si>
    <t>1.74-14.44</t>
  </si>
  <si>
    <t>5.45-19.75</t>
  </si>
  <si>
    <t>4.21-18.53</t>
  </si>
  <si>
    <t>7.72-23.60</t>
  </si>
  <si>
    <t>1.71-14.23</t>
  </si>
  <si>
    <t>4.86-19.42</t>
  </si>
  <si>
    <t>4.51-14.29</t>
  </si>
  <si>
    <t>3.57-14.89</t>
  </si>
  <si>
    <t>5.53-22.45</t>
  </si>
  <si>
    <t>4.05-17.15</t>
  </si>
  <si>
    <t>3.10-17.96</t>
  </si>
  <si>
    <t>5.71-21.05</t>
  </si>
  <si>
    <t>2.07-17.85</t>
  </si>
  <si>
    <t>1.62-18.20</t>
  </si>
  <si>
    <t>DeVante Parker</t>
  </si>
  <si>
    <t>1.15-10.25</t>
  </si>
  <si>
    <t>6.03-19.39</t>
  </si>
  <si>
    <t>5.18-17.24</t>
  </si>
  <si>
    <t>6.74-21.78</t>
  </si>
  <si>
    <t>6.02-21.90</t>
  </si>
  <si>
    <t>3.21-16.49</t>
  </si>
  <si>
    <t>6.15-20.31</t>
  </si>
  <si>
    <t>2.74-15.64</t>
  </si>
  <si>
    <t>1.40-10.76</t>
  </si>
  <si>
    <t>3.10-18.34</t>
  </si>
  <si>
    <t>0.83-14.71</t>
  </si>
  <si>
    <t>5.86-21.78</t>
  </si>
  <si>
    <t>4.90-19.12</t>
  </si>
  <si>
    <t>2.96-19.38</t>
  </si>
  <si>
    <t>3.05-13.35</t>
  </si>
  <si>
    <t>1.71-14.01</t>
  </si>
  <si>
    <t>1.45-8.55</t>
  </si>
  <si>
    <t>3.22-18.78</t>
  </si>
  <si>
    <t>4.35-14.91</t>
  </si>
  <si>
    <t>13.49-29.83</t>
  </si>
  <si>
    <t>13.13-27.53</t>
  </si>
  <si>
    <t>10.09-26.27</t>
  </si>
  <si>
    <t>14.14-27.60</t>
  </si>
  <si>
    <t>11.42-24.98</t>
  </si>
  <si>
    <t>14.12-27.42</t>
  </si>
  <si>
    <t>13.62-28.86</t>
  </si>
  <si>
    <t>10.39-24.93</t>
  </si>
  <si>
    <t>12.65-26.63</t>
  </si>
  <si>
    <t>11.03-30.23</t>
  </si>
  <si>
    <t>1.09-9.85</t>
  </si>
  <si>
    <t>1.10-11.62</t>
  </si>
  <si>
    <t>0.05-7.61</t>
  </si>
  <si>
    <t>-0.37-9.49</t>
  </si>
  <si>
    <t>-0.45-4.75</t>
  </si>
  <si>
    <t>3.64-12.24</t>
  </si>
  <si>
    <t>3.82-14.68</t>
  </si>
  <si>
    <t>1.22-13.40</t>
  </si>
  <si>
    <t>3.09-11.49</t>
  </si>
  <si>
    <t>0.80-12.32</t>
  </si>
  <si>
    <t>3.13-16.77</t>
  </si>
  <si>
    <t>1.23-15.91</t>
  </si>
  <si>
    <t>2.41-17.01</t>
  </si>
  <si>
    <t>2.46-12.64</t>
  </si>
  <si>
    <t>6.60-19.54</t>
  </si>
  <si>
    <t>1.44-12.10</t>
  </si>
  <si>
    <t>0.24-10.40</t>
  </si>
  <si>
    <t>3.56-16.42</t>
  </si>
  <si>
    <t>2.66-12.00</t>
  </si>
  <si>
    <t>4.95-13.93</t>
  </si>
  <si>
    <t>3.40-12.94</t>
  </si>
  <si>
    <t>5.20-12.52</t>
  </si>
  <si>
    <t>4.00-13.04</t>
  </si>
  <si>
    <t>5.30-13.52</t>
  </si>
  <si>
    <t>4.38-11.92</t>
  </si>
  <si>
    <t>4.54-12.26</t>
  </si>
  <si>
    <t>4.13-12.25</t>
  </si>
  <si>
    <t>6.79-23.61</t>
  </si>
  <si>
    <t>4.52-17.40</t>
  </si>
  <si>
    <t>4.25-19.41</t>
  </si>
  <si>
    <t>4.42-16.04</t>
  </si>
  <si>
    <t>8.68-25.06</t>
  </si>
  <si>
    <t>7.38-20.80</t>
  </si>
  <si>
    <t>7.31-18.31</t>
  </si>
  <si>
    <t>4.44-21.08</t>
  </si>
  <si>
    <t>5.71-18.55</t>
  </si>
  <si>
    <t>10.38-33.34</t>
  </si>
  <si>
    <t>5.21-22.67</t>
  </si>
  <si>
    <t>11.03-28.11</t>
  </si>
  <si>
    <t>4.91-14.41</t>
  </si>
  <si>
    <t>8.68-26.84</t>
  </si>
  <si>
    <t>4.63-22.49</t>
  </si>
  <si>
    <t>1.48-19.82</t>
  </si>
  <si>
    <t>5.25-19.85</t>
  </si>
  <si>
    <t>4.06-18.30</t>
  </si>
  <si>
    <t>6.76-22.42</t>
  </si>
  <si>
    <t>1.10-11.82</t>
  </si>
  <si>
    <t>6.87-23.63</t>
  </si>
  <si>
    <t>4.51-16.89</t>
  </si>
  <si>
    <t>2.11-17.63</t>
  </si>
  <si>
    <t>7.59-23.49</t>
  </si>
  <si>
    <t>4.82-19.80</t>
  </si>
  <si>
    <t>1.62-15.88</t>
  </si>
  <si>
    <t>5.20-20.42</t>
  </si>
  <si>
    <t>2.21-17.73</t>
  </si>
  <si>
    <t>4.15-15.37</t>
  </si>
  <si>
    <t>2.50-23.24</t>
  </si>
  <si>
    <t>4.73-13.69</t>
  </si>
  <si>
    <t>2.13-14.99</t>
  </si>
  <si>
    <t>6.38-18.66</t>
  </si>
  <si>
    <t>3.08-18.14</t>
  </si>
  <si>
    <t>6.40-20.58</t>
  </si>
  <si>
    <t>4.11-18.53</t>
  </si>
  <si>
    <t>3.46-17.60</t>
  </si>
  <si>
    <t>3.69-17.41</t>
  </si>
  <si>
    <t>2.80-15.58</t>
  </si>
  <si>
    <t>1.37-11.29</t>
  </si>
  <si>
    <t>4.28-15.66</t>
  </si>
  <si>
    <t>0.33-14.13</t>
  </si>
  <si>
    <t>6.01-17.71</t>
  </si>
  <si>
    <t>4.44-18.82</t>
  </si>
  <si>
    <t>2.42-15.44</t>
  </si>
  <si>
    <t>3.14-13.98</t>
  </si>
  <si>
    <t>1.96-12.38</t>
  </si>
  <si>
    <t>1.40-12.92</t>
  </si>
  <si>
    <t>5.24-22.36</t>
  </si>
  <si>
    <t>3.51-17.79</t>
  </si>
  <si>
    <t>13.96-30.72</t>
  </si>
  <si>
    <t>11.82-24.50</t>
  </si>
  <si>
    <t>13.45-26.75</t>
  </si>
  <si>
    <t>10.67-24.13</t>
  </si>
  <si>
    <t>11.91-25.45</t>
  </si>
  <si>
    <t>12.68-30.74</t>
  </si>
  <si>
    <t>14.40-29.20</t>
  </si>
  <si>
    <t>12.70-31.24</t>
  </si>
  <si>
    <t>9.42-26.72</t>
  </si>
  <si>
    <t>13.53-31.29</t>
  </si>
  <si>
    <t>1.26-12.80</t>
  </si>
  <si>
    <t>1.96-13.58</t>
  </si>
  <si>
    <t>0.59-7.87</t>
  </si>
  <si>
    <t>3.89-15.63</t>
  </si>
  <si>
    <t>0.10-6.10</t>
  </si>
  <si>
    <t>3.12-10.82</t>
  </si>
  <si>
    <t>3.13-14.65</t>
  </si>
  <si>
    <t>1.84-13.10</t>
  </si>
  <si>
    <t>4.57-13.15</t>
  </si>
  <si>
    <t>0.67-11.11</t>
  </si>
  <si>
    <t>2.81-15.17</t>
  </si>
  <si>
    <t>-0.40-8.56</t>
  </si>
  <si>
    <t>1.39-11.55</t>
  </si>
  <si>
    <t>2.57-13.09</t>
  </si>
  <si>
    <t>3.62-17.26</t>
  </si>
  <si>
    <t>3.06-15.36</t>
  </si>
  <si>
    <t>3.58-18.84</t>
  </si>
  <si>
    <t>2.88-12.36</t>
  </si>
  <si>
    <t>2.99-11.45</t>
  </si>
  <si>
    <t>5.31-13.73</t>
  </si>
  <si>
    <t>4.02-11.98</t>
  </si>
  <si>
    <t>3.78-11.32</t>
  </si>
  <si>
    <t>5.11-13.07</t>
  </si>
  <si>
    <t>4.16-12.16</t>
  </si>
  <si>
    <t>4.20-14.22</t>
  </si>
  <si>
    <t>3.41-11.49</t>
  </si>
  <si>
    <t>2.74-12.76</t>
  </si>
  <si>
    <t>4.63-12.19</t>
  </si>
  <si>
    <t>6.71-17.03</t>
  </si>
  <si>
    <t>3.70-18.22</t>
  </si>
  <si>
    <t>4.76-19.50</t>
  </si>
  <si>
    <t>3.42-18.82</t>
  </si>
  <si>
    <t>2.44-17.24</t>
  </si>
  <si>
    <t>9.26-23.70</t>
  </si>
  <si>
    <t>4.83-18.75</t>
  </si>
  <si>
    <t>5.98-17.96</t>
  </si>
  <si>
    <t>5.58-18.16</t>
  </si>
  <si>
    <t>2.99-20.59</t>
  </si>
  <si>
    <t>7.50-27.78</t>
  </si>
  <si>
    <t>5.28-18.40</t>
  </si>
  <si>
    <t>8.02-22.72</t>
  </si>
  <si>
    <t>8.11-26.99</t>
  </si>
  <si>
    <t>1.96-17.86</t>
  </si>
  <si>
    <t>7.26-21.42</t>
  </si>
  <si>
    <t>4.88-20.74</t>
  </si>
  <si>
    <t>7.40-24.22</t>
  </si>
  <si>
    <t>1.53-12.99</t>
  </si>
  <si>
    <t>6.08-19.62</t>
  </si>
  <si>
    <t>6.72-18.52</t>
  </si>
  <si>
    <t>3.79-20.23</t>
  </si>
  <si>
    <t>7.86-23.90</t>
  </si>
  <si>
    <t>3.55-17.67</t>
  </si>
  <si>
    <t>4.32-16.88</t>
  </si>
  <si>
    <t>5.54-20.70</t>
  </si>
  <si>
    <t>5.88-16.54</t>
  </si>
  <si>
    <t>4.44-17.06</t>
  </si>
  <si>
    <t>2.24-17.62</t>
  </si>
  <si>
    <t>2.78-13.72</t>
  </si>
  <si>
    <t>7.40-23.24</t>
  </si>
  <si>
    <t>5.44-21.20</t>
  </si>
  <si>
    <t>7.73-21.37</t>
  </si>
  <si>
    <t>4.30-17.68</t>
  </si>
  <si>
    <t>3.08-14.28</t>
  </si>
  <si>
    <t>5.52-18.36</t>
  </si>
  <si>
    <t>4.46-13.80</t>
  </si>
  <si>
    <t>1.59-11.69</t>
  </si>
  <si>
    <t>4.92-14.76</t>
  </si>
  <si>
    <t>0.50-16.34</t>
  </si>
  <si>
    <t>4.63-21.37</t>
  </si>
  <si>
    <t>5.35-17.25</t>
  </si>
  <si>
    <t>1.85-17.33</t>
  </si>
  <si>
    <t>1.82-13.50</t>
  </si>
  <si>
    <t>2.74-12.54</t>
  </si>
  <si>
    <t>3.04-12.10</t>
  </si>
  <si>
    <t>4.69-20.45</t>
  </si>
  <si>
    <t>4.70-18.42</t>
  </si>
  <si>
    <t>13.94-30.68</t>
  </si>
  <si>
    <t>12.03-26.97</t>
  </si>
  <si>
    <t>13.43-28.51</t>
  </si>
  <si>
    <t>9.47-24.43</t>
  </si>
  <si>
    <t>15.13-27.13</t>
  </si>
  <si>
    <t>12.99-25.73</t>
  </si>
  <si>
    <t>15.30-30.12</t>
  </si>
  <si>
    <t>11.09-26.69</t>
  </si>
  <si>
    <t>11.29-27.19</t>
  </si>
  <si>
    <t>15.89-30.27</t>
  </si>
  <si>
    <t>1.41-10.45</t>
  </si>
  <si>
    <t>1.82-11.92</t>
  </si>
  <si>
    <t>0.61-8.91</t>
  </si>
  <si>
    <t>4.34-15.72</t>
  </si>
  <si>
    <t>-0.04-4.72</t>
  </si>
  <si>
    <t>2.31-12.65</t>
  </si>
  <si>
    <t>3.18-14.46</t>
  </si>
  <si>
    <t>1.83-10.59</t>
  </si>
  <si>
    <t>2.30-12.28</t>
  </si>
  <si>
    <t>1.21-12.61</t>
  </si>
  <si>
    <t>2.84-14.14</t>
  </si>
  <si>
    <t>3.14-15.06</t>
  </si>
  <si>
    <t>2.24-17.54</t>
  </si>
  <si>
    <t>1.85-14.17</t>
  </si>
  <si>
    <t>3.92-15.60</t>
  </si>
  <si>
    <t>0.56-10.98</t>
  </si>
  <si>
    <t>3.39-11.47</t>
  </si>
  <si>
    <t>6.06-14.04</t>
  </si>
  <si>
    <t>5.01-13.59</t>
  </si>
  <si>
    <t>4.80-11.66</t>
  </si>
  <si>
    <t>4.41-11.99</t>
  </si>
  <si>
    <t>4.54-12.48</t>
  </si>
  <si>
    <t>4.33-12.83</t>
  </si>
  <si>
    <t>4.56-12.06</t>
  </si>
  <si>
    <t>3.07-11.99</t>
  </si>
  <si>
    <t>5.97-13.25</t>
  </si>
  <si>
    <t>7.77-21.55</t>
  </si>
  <si>
    <t>3.10-15.84</t>
  </si>
  <si>
    <t>6.65-22.07</t>
  </si>
  <si>
    <t>4.38-20.02</t>
  </si>
  <si>
    <t>9.32-25.92</t>
  </si>
  <si>
    <t>5.75-17.83</t>
  </si>
  <si>
    <t>1.46-15.06</t>
  </si>
  <si>
    <t>6.05-22.59</t>
  </si>
  <si>
    <t>5.62-16.06</t>
  </si>
  <si>
    <t>0.93-17.73</t>
  </si>
  <si>
    <t>6.60-28.24</t>
  </si>
  <si>
    <t>6.26-22.34</t>
  </si>
  <si>
    <t>10.97-26.29</t>
  </si>
  <si>
    <t>4.14-15.30</t>
  </si>
  <si>
    <t>8.65-29.47</t>
  </si>
  <si>
    <t>3.75-19.19</t>
  </si>
  <si>
    <t>1.78-17.52</t>
  </si>
  <si>
    <t>6.49-20.47</t>
  </si>
  <si>
    <t>4.03-20.37</t>
  </si>
  <si>
    <t>7.49-20.43</t>
  </si>
  <si>
    <t>1.15-12.47</t>
  </si>
  <si>
    <t>0.53-11.25</t>
  </si>
  <si>
    <t>7.26-22.28</t>
  </si>
  <si>
    <t>7.04-18.02</t>
  </si>
  <si>
    <t>5.47-19.53</t>
  </si>
  <si>
    <t>7.91-21.95</t>
  </si>
  <si>
    <t>2.73-18.51</t>
  </si>
  <si>
    <t>4.34-16.38</t>
  </si>
  <si>
    <t>4.83-19.19</t>
  </si>
  <si>
    <t>3.61-18.17</t>
  </si>
  <si>
    <t>5.74-15.78</t>
  </si>
  <si>
    <t>2.11-22.85</t>
  </si>
  <si>
    <t>4.21-16.81</t>
  </si>
  <si>
    <t>5.82-17.62</t>
  </si>
  <si>
    <t>4.03-14.13</t>
  </si>
  <si>
    <t>5.57-20.61</t>
  </si>
  <si>
    <t>5.60-19.58</t>
  </si>
  <si>
    <t>3.35-14.37</t>
  </si>
  <si>
    <t>5.23-20.03</t>
  </si>
  <si>
    <t>5.45-14.41</t>
  </si>
  <si>
    <t>1.52-11.44</t>
  </si>
  <si>
    <t>3.76-14.52</t>
  </si>
  <si>
    <t>1.07-15.73</t>
  </si>
  <si>
    <t>4.71-28.77</t>
  </si>
  <si>
    <t>5.70-20.66</t>
  </si>
  <si>
    <t>4.60-17.38</t>
  </si>
  <si>
    <t>3.55-14.69</t>
  </si>
  <si>
    <t>3.43-12.81</t>
  </si>
  <si>
    <t>5.95-18.17</t>
  </si>
  <si>
    <t>4.34-16.94</t>
  </si>
  <si>
    <t>9.20-25.02</t>
  </si>
  <si>
    <t>12.79-26.17</t>
  </si>
  <si>
    <t>14.36-30.10</t>
  </si>
  <si>
    <t>11.56-25.82</t>
  </si>
  <si>
    <t>13.84-27.26</t>
  </si>
  <si>
    <t>12.20-28.38</t>
  </si>
  <si>
    <t>12.21-26.33</t>
  </si>
  <si>
    <t>11.36-29.90</t>
  </si>
  <si>
    <t>12.77-25.49</t>
  </si>
  <si>
    <t>12.49-29.29</t>
  </si>
  <si>
    <t>1.35-10.99</t>
  </si>
  <si>
    <t>1.87-12.83</t>
  </si>
  <si>
    <t>0.44-6.74</t>
  </si>
  <si>
    <t>3.55-14.31</t>
  </si>
  <si>
    <t>0.05-4.73</t>
  </si>
  <si>
    <t>2.96-11.42</t>
  </si>
  <si>
    <t>4.30-16.92</t>
  </si>
  <si>
    <t>1.59-12.19</t>
  </si>
  <si>
    <t>3.64-13.26</t>
  </si>
  <si>
    <t>1.85-11.07</t>
  </si>
  <si>
    <t>5.43-18.65</t>
  </si>
  <si>
    <t>2.84-13.12</t>
  </si>
  <si>
    <t>0.59-9.91</t>
  </si>
  <si>
    <t>-0.85-7.09</t>
  </si>
  <si>
    <t>2.73-13.81</t>
  </si>
  <si>
    <t>2.64-14.58</t>
  </si>
  <si>
    <t>3.20-14.04</t>
  </si>
  <si>
    <t>2.80-12.52</t>
  </si>
  <si>
    <t>4.49-18.15</t>
  </si>
  <si>
    <t>1.18-12.98</t>
  </si>
  <si>
    <t>4.03-11.41</t>
  </si>
  <si>
    <t>4.01-12.95</t>
  </si>
  <si>
    <t>4.76-13.60</t>
  </si>
  <si>
    <t>3.98-10.32</t>
  </si>
  <si>
    <t>5.56-13.34</t>
  </si>
  <si>
    <t>4.46-14.18</t>
  </si>
  <si>
    <t>4.27-13.45</t>
  </si>
  <si>
    <t>4.69-12.97</t>
  </si>
  <si>
    <t>2.90-13.50</t>
  </si>
  <si>
    <t>6.21-13.69</t>
  </si>
  <si>
    <t>5.16-18.72</t>
  </si>
  <si>
    <t>6.49-16.93</t>
  </si>
  <si>
    <t>4.09-16.51</t>
  </si>
  <si>
    <t>3.53-16.05</t>
  </si>
  <si>
    <t>2.16-16.38</t>
  </si>
  <si>
    <t>7.86-22.60</t>
  </si>
  <si>
    <t>7.06-18.92</t>
  </si>
  <si>
    <t>1.90-15.32</t>
  </si>
  <si>
    <t>4.95-21.53</t>
  </si>
  <si>
    <t>7.17-15.91</t>
  </si>
  <si>
    <t>8.24-30.10</t>
  </si>
  <si>
    <t>6.24-22.40</t>
  </si>
  <si>
    <t>2.28-16.12</t>
  </si>
  <si>
    <t>9.84-26.30</t>
  </si>
  <si>
    <t>4.87-14.71</t>
  </si>
  <si>
    <t>8.31-26.13</t>
  </si>
  <si>
    <t>5.21-22.39</t>
  </si>
  <si>
    <t>3.19-17.99</t>
  </si>
  <si>
    <t>5.45-20.37</t>
  </si>
  <si>
    <t>3.89-18.49</t>
  </si>
  <si>
    <t>8.46-24.64</t>
  </si>
  <si>
    <t>1.99-14.11</t>
  </si>
  <si>
    <t>1.39-12.29</t>
  </si>
  <si>
    <t>5.57-18.19</t>
  </si>
  <si>
    <t>5.38-16.70</t>
  </si>
  <si>
    <t>1.44-17.18</t>
  </si>
  <si>
    <t>7.06-20.60</t>
  </si>
  <si>
    <t>4.28-19.78</t>
  </si>
  <si>
    <t>3.63-16.61</t>
  </si>
  <si>
    <t>5.46-22.00</t>
  </si>
  <si>
    <t>2.25-15.69</t>
  </si>
  <si>
    <t>4.44-17.90</t>
  </si>
  <si>
    <t>1.12-15.94</t>
  </si>
  <si>
    <t>4.15-19.41</t>
  </si>
  <si>
    <t>4.98-17.86</t>
  </si>
  <si>
    <t>2.57-17.69</t>
  </si>
  <si>
    <t>5.70-20.96</t>
  </si>
  <si>
    <t>4.37-17.07</t>
  </si>
  <si>
    <t>5.62-19.78</t>
  </si>
  <si>
    <t>4.21-13.35</t>
  </si>
  <si>
    <t>1.94-12.28</t>
  </si>
  <si>
    <t>3.43-18.67</t>
  </si>
  <si>
    <t>0.74-13.52</t>
  </si>
  <si>
    <t>1.38-30.42</t>
  </si>
  <si>
    <t>5.28-19.28</t>
  </si>
  <si>
    <t>4.27-16.03</t>
  </si>
  <si>
    <t>3.18-14.20</t>
  </si>
  <si>
    <t>2.08-11.28</t>
  </si>
  <si>
    <t>5.08-16.22</t>
  </si>
  <si>
    <t>4.28-16.84</t>
  </si>
  <si>
    <t>9.60-24.60</t>
  </si>
  <si>
    <t>12.29-27.93</t>
  </si>
  <si>
    <t>13.35-27.41</t>
  </si>
  <si>
    <t>9.99-24.03</t>
  </si>
  <si>
    <t>11.78-24.62</t>
  </si>
  <si>
    <t>13.85-30.11</t>
  </si>
  <si>
    <t>13.50-28.84</t>
  </si>
  <si>
    <t>13.80-28.52</t>
  </si>
  <si>
    <t>14.37-27.13</t>
  </si>
  <si>
    <t>12.36-29.36</t>
  </si>
  <si>
    <t>1.23-10.17</t>
  </si>
  <si>
    <t>1.52-13.24</t>
  </si>
  <si>
    <t>0.70-7.12</t>
  </si>
  <si>
    <t>3.61-13.95</t>
  </si>
  <si>
    <t>0.15-4.87</t>
  </si>
  <si>
    <t>1.89-9.83</t>
  </si>
  <si>
    <t>5.35-18.19</t>
  </si>
  <si>
    <t>2.84-13.00</t>
  </si>
  <si>
    <t>2.92-11.96</t>
  </si>
  <si>
    <t>1.31-11.47</t>
  </si>
  <si>
    <t>3.25-16.57</t>
  </si>
  <si>
    <t>1.33-11.99</t>
  </si>
  <si>
    <t>5.84-19.84</t>
  </si>
  <si>
    <t>5.40-19.46</t>
  </si>
  <si>
    <t>0.87-15.15</t>
  </si>
  <si>
    <t>3.95-16.79</t>
  </si>
  <si>
    <t>0.80-12.10</t>
  </si>
  <si>
    <t>3.20-11.62</t>
  </si>
  <si>
    <t>4.55-13.35</t>
  </si>
  <si>
    <t>4.95-13.39</t>
  </si>
  <si>
    <t>5.11-12.53</t>
  </si>
  <si>
    <t>4.56-12.80</t>
  </si>
  <si>
    <t>4.25-13.33</t>
  </si>
  <si>
    <t>4.43-13.73</t>
  </si>
  <si>
    <t>4.79-12.89</t>
  </si>
  <si>
    <t>2.58-12.30</t>
  </si>
  <si>
    <t>5.13-12.55</t>
  </si>
  <si>
    <t>3.64-21.16</t>
  </si>
  <si>
    <t>3.93-14.29</t>
  </si>
  <si>
    <t>4.11-18.33</t>
  </si>
  <si>
    <t>3.01-17.81</t>
  </si>
  <si>
    <t>4.50-16.14</t>
  </si>
  <si>
    <t>8.30-21.08</t>
  </si>
  <si>
    <t>6.70-18.22</t>
  </si>
  <si>
    <t>6.03-21.93</t>
  </si>
  <si>
    <t>3.32-19.96</t>
  </si>
  <si>
    <t>6.01-17.01</t>
  </si>
  <si>
    <t>8.23-31.53</t>
  </si>
  <si>
    <t>5.36-21.44</t>
  </si>
  <si>
    <t>10.55-27.09</t>
  </si>
  <si>
    <t>4.95-16.07</t>
  </si>
  <si>
    <t>10.56-30.34</t>
  </si>
  <si>
    <t>4.81-20.25</t>
  </si>
  <si>
    <t>4.28-17.94</t>
  </si>
  <si>
    <t>5.25-17.93</t>
  </si>
  <si>
    <t>2.61-16.61</t>
  </si>
  <si>
    <t>8.46-21.40</t>
  </si>
  <si>
    <t>1.26-13.62</t>
  </si>
  <si>
    <t>8.34-25.10</t>
  </si>
  <si>
    <t>5.41-17.79</t>
  </si>
  <si>
    <t>4.20-17.02</t>
  </si>
  <si>
    <t>7.49-21.63</t>
  </si>
  <si>
    <t>3.40-17.38</t>
  </si>
  <si>
    <t>3.94-16.18</t>
  </si>
  <si>
    <t>5.22-17.94</t>
  </si>
  <si>
    <t>4.97-17.13</t>
  </si>
  <si>
    <t>1.80-23.04</t>
  </si>
  <si>
    <t>4.61-15.01</t>
  </si>
  <si>
    <t>1.70-17.24</t>
  </si>
  <si>
    <t>4.84-20.96</t>
  </si>
  <si>
    <t>5.71-18.29</t>
  </si>
  <si>
    <t>6.09-21.13</t>
  </si>
  <si>
    <t>4.08-16.66</t>
  </si>
  <si>
    <t>2.50-16.38</t>
  </si>
  <si>
    <t>4.87-17.03</t>
  </si>
  <si>
    <t>2.38-15.34</t>
  </si>
  <si>
    <t>0.99-11.89</t>
  </si>
  <si>
    <t>4.20-13.88</t>
  </si>
  <si>
    <t>1.48-16.44</t>
  </si>
  <si>
    <t>4.52-22.86</t>
  </si>
  <si>
    <t>3.93-22.51</t>
  </si>
  <si>
    <t>3.15-12.07</t>
  </si>
  <si>
    <t>1.59-13.01</t>
  </si>
  <si>
    <t>1.24-12.76</t>
  </si>
  <si>
    <t>5.80-22.92</t>
  </si>
  <si>
    <t>3.27-20.15</t>
  </si>
  <si>
    <t>7.14-21.80</t>
  </si>
  <si>
    <t>12.88-28.20</t>
  </si>
  <si>
    <t>13.71-28.91</t>
  </si>
  <si>
    <t>11.57-25.95</t>
  </si>
  <si>
    <t>15.35-27.53</t>
  </si>
  <si>
    <t>10.79-26.97</t>
  </si>
  <si>
    <t>14.78-28.30</t>
  </si>
  <si>
    <t>16.03-28.65</t>
  </si>
  <si>
    <t>13.77-27.75</t>
  </si>
  <si>
    <t>14.69-32.45</t>
  </si>
  <si>
    <t>0.99-12.53</t>
  </si>
  <si>
    <t>2.43-12.95</t>
  </si>
  <si>
    <t>0.60-9.18</t>
  </si>
  <si>
    <t>4.28-16.02</t>
  </si>
  <si>
    <t>0.02-4.84</t>
  </si>
  <si>
    <t>1.84-12.10</t>
  </si>
  <si>
    <t>3.84-13.72</t>
  </si>
  <si>
    <t>1.93-11.09</t>
  </si>
  <si>
    <t>4.23-12.81</t>
  </si>
  <si>
    <t>0.85-11.29</t>
  </si>
  <si>
    <t>0.90-14.10</t>
  </si>
  <si>
    <t>4.14-11.40</t>
  </si>
  <si>
    <t>4.23-13.67</t>
  </si>
  <si>
    <t>5.06-12.56</t>
  </si>
  <si>
    <t>3.57-10.71</t>
  </si>
  <si>
    <t>5.06-12.40</t>
  </si>
  <si>
    <t>5.59-14.55</t>
  </si>
  <si>
    <t>4.36-11.82</t>
  </si>
  <si>
    <t>2.81-12.09</t>
  </si>
  <si>
    <t>5.48-13.10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</si>
</sst>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0.0"/>
    <numFmt numFmtId="166" formatCode="m/d/yy\ h:mm\ AM/PM"/>
    <numFmt numFmtId="167" formatCode="0.0000"/>
    <numFmt numFmtId="168" formatCode="0.0000000000000000%"/>
    <numFmt numFmtId="169" formatCode="0.000"/>
    <numFmt numFmtId="170" formatCode="0.00000%"/>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sz val="11"/>
      <color rgb="FF000000"/>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bottom style="thin">
        <color indexed="64"/>
      </bottom>
      <diagonal/>
    </border>
  </borders>
  <cellStyleXfs count="2">
    <xf numFmtId="0" fontId="0" fillId="0" borderId="0"/>
    <xf numFmtId="9" fontId="1" fillId="0" borderId="0" applyFont="0" applyFill="0" applyBorder="0" applyAlignment="0" applyProtection="0"/>
  </cellStyleXfs>
  <cellXfs count="105">
    <xf numFmtId="0" fontId="0" fillId="0" borderId="0" xfId="0"/>
    <xf numFmtId="49" fontId="0" fillId="0" borderId="0" xfId="0" applyNumberFormat="1"/>
    <xf numFmtId="164" fontId="0" fillId="0" borderId="0" xfId="1" applyNumberFormat="1" applyFont="1"/>
    <xf numFmtId="2"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2" borderId="1" xfId="0" applyFill="1" applyBorder="1"/>
    <xf numFmtId="0" fontId="0" fillId="2" borderId="1" xfId="0" applyFill="1" applyBorder="1" applyAlignment="1">
      <alignment horizontal="center"/>
    </xf>
    <xf numFmtId="164" fontId="2" fillId="2" borderId="1" xfId="0" applyNumberFormat="1" applyFont="1" applyFill="1" applyBorder="1"/>
    <xf numFmtId="0" fontId="0" fillId="2" borderId="0" xfId="0" applyFill="1" applyBorder="1"/>
    <xf numFmtId="0" fontId="0" fillId="2" borderId="0" xfId="0" applyFill="1" applyBorder="1" applyAlignment="1">
      <alignment horizontal="center"/>
    </xf>
    <xf numFmtId="164" fontId="2" fillId="2" borderId="0" xfId="0" applyNumberFormat="1" applyFont="1" applyFill="1" applyBorder="1"/>
    <xf numFmtId="165" fontId="0" fillId="2" borderId="0" xfId="0" applyNumberFormat="1" applyFill="1" applyBorder="1"/>
    <xf numFmtId="164" fontId="0" fillId="2" borderId="0" xfId="1" applyNumberFormat="1" applyFont="1" applyFill="1" applyBorder="1"/>
    <xf numFmtId="165" fontId="0" fillId="2" borderId="1" xfId="0" applyNumberFormat="1" applyFill="1" applyBorder="1" applyAlignment="1">
      <alignment horizontal="center"/>
    </xf>
    <xf numFmtId="165" fontId="0" fillId="2" borderId="3" xfId="0" applyNumberFormat="1" applyFill="1" applyBorder="1" applyAlignment="1">
      <alignment horizontal="center"/>
    </xf>
    <xf numFmtId="164" fontId="2" fillId="2" borderId="4" xfId="0" applyNumberFormat="1" applyFont="1" applyFill="1" applyBorder="1"/>
    <xf numFmtId="164" fontId="2" fillId="2" borderId="2" xfId="0" applyNumberFormat="1" applyFont="1" applyFill="1" applyBorder="1"/>
    <xf numFmtId="165" fontId="0" fillId="2" borderId="0" xfId="0" applyNumberFormat="1" applyFill="1" applyBorder="1" applyAlignment="1">
      <alignment horizontal="center"/>
    </xf>
    <xf numFmtId="165" fontId="0" fillId="0" borderId="0" xfId="0" applyNumberFormat="1"/>
    <xf numFmtId="164" fontId="0" fillId="0" borderId="0" xfId="0" applyNumberFormat="1"/>
    <xf numFmtId="9" fontId="0" fillId="0" borderId="0" xfId="1" applyFont="1"/>
    <xf numFmtId="10" fontId="0" fillId="0" borderId="0" xfId="1" applyNumberFormat="1" applyFont="1"/>
    <xf numFmtId="2" fontId="0" fillId="0" borderId="0" xfId="1" applyNumberFormat="1" applyFont="1"/>
    <xf numFmtId="167" fontId="0" fillId="0" borderId="0" xfId="1" applyNumberFormat="1" applyFont="1"/>
    <xf numFmtId="164" fontId="0" fillId="3" borderId="0" xfId="1" applyNumberFormat="1" applyFont="1" applyFill="1"/>
    <xf numFmtId="0" fontId="0" fillId="3" borderId="0" xfId="0" applyFill="1"/>
    <xf numFmtId="169" fontId="0" fillId="0" borderId="0" xfId="1" applyNumberFormat="1" applyFont="1"/>
    <xf numFmtId="165" fontId="0" fillId="0" borderId="0" xfId="1" applyNumberFormat="1" applyFont="1"/>
    <xf numFmtId="168" fontId="0" fillId="0" borderId="0" xfId="1" applyNumberFormat="1" applyFont="1"/>
    <xf numFmtId="0" fontId="0" fillId="0" borderId="0" xfId="1" applyNumberFormat="1" applyFont="1"/>
    <xf numFmtId="11" fontId="0" fillId="0" borderId="0" xfId="0" applyNumberFormat="1"/>
    <xf numFmtId="0" fontId="0" fillId="4" borderId="0" xfId="0" applyFill="1"/>
    <xf numFmtId="0" fontId="0" fillId="4" borderId="1" xfId="0" applyFill="1" applyBorder="1"/>
    <xf numFmtId="0" fontId="0" fillId="4" borderId="1" xfId="0" applyFill="1" applyBorder="1" applyAlignment="1">
      <alignment horizontal="center"/>
    </xf>
    <xf numFmtId="164" fontId="0" fillId="4" borderId="1" xfId="1" applyNumberFormat="1" applyFont="1" applyFill="1" applyBorder="1" applyAlignment="1">
      <alignment horizontal="center"/>
    </xf>
    <xf numFmtId="10" fontId="0" fillId="4" borderId="1" xfId="1" applyNumberFormat="1" applyFont="1" applyFill="1" applyBorder="1"/>
    <xf numFmtId="0" fontId="0" fillId="4" borderId="5" xfId="0" applyFill="1" applyBorder="1"/>
    <xf numFmtId="0" fontId="0" fillId="4" borderId="6" xfId="0" applyFill="1" applyBorder="1"/>
    <xf numFmtId="9" fontId="2" fillId="4" borderId="7" xfId="1" applyNumberFormat="1" applyFont="1" applyFill="1" applyBorder="1" applyAlignment="1">
      <alignment horizontal="left"/>
    </xf>
    <xf numFmtId="9" fontId="2" fillId="4" borderId="8" xfId="1" applyNumberFormat="1" applyFont="1" applyFill="1" applyBorder="1"/>
    <xf numFmtId="9" fontId="2" fillId="4" borderId="9" xfId="1" applyNumberFormat="1" applyFont="1" applyFill="1" applyBorder="1" applyAlignment="1">
      <alignment horizontal="left"/>
    </xf>
    <xf numFmtId="9" fontId="2" fillId="4" borderId="10" xfId="1" applyNumberFormat="1" applyFont="1" applyFill="1" applyBorder="1"/>
    <xf numFmtId="9" fontId="2" fillId="4" borderId="11" xfId="1" applyNumberFormat="1" applyFont="1" applyFill="1" applyBorder="1" applyAlignment="1">
      <alignment horizontal="left"/>
    </xf>
    <xf numFmtId="9" fontId="2" fillId="4" borderId="12" xfId="1" applyNumberFormat="1" applyFont="1" applyFill="1" applyBorder="1"/>
    <xf numFmtId="0" fontId="0" fillId="5" borderId="5" xfId="0" applyFill="1" applyBorder="1"/>
    <xf numFmtId="0" fontId="0" fillId="5" borderId="6" xfId="0" applyFill="1" applyBorder="1"/>
    <xf numFmtId="9" fontId="2" fillId="5" borderId="11" xfId="1" applyNumberFormat="1" applyFont="1" applyFill="1" applyBorder="1" applyAlignment="1">
      <alignment horizontal="left"/>
    </xf>
    <xf numFmtId="9" fontId="2" fillId="5" borderId="12" xfId="1" applyNumberFormat="1" applyFont="1" applyFill="1" applyBorder="1"/>
    <xf numFmtId="9" fontId="2" fillId="5" borderId="7" xfId="1" applyNumberFormat="1" applyFont="1" applyFill="1" applyBorder="1" applyAlignment="1">
      <alignment horizontal="left"/>
    </xf>
    <xf numFmtId="9" fontId="2" fillId="5" borderId="8" xfId="1" applyNumberFormat="1" applyFont="1" applyFill="1" applyBorder="1"/>
    <xf numFmtId="9" fontId="2" fillId="5" borderId="9" xfId="1" applyNumberFormat="1" applyFont="1" applyFill="1" applyBorder="1" applyAlignment="1">
      <alignment horizontal="left"/>
    </xf>
    <xf numFmtId="9" fontId="2" fillId="5" borderId="10" xfId="1" applyNumberFormat="1" applyFont="1" applyFill="1" applyBorder="1"/>
    <xf numFmtId="0" fontId="0" fillId="0" borderId="0" xfId="0" applyAlignment="1">
      <alignment horizontal="center"/>
    </xf>
    <xf numFmtId="164" fontId="0" fillId="0" borderId="0" xfId="1" applyNumberFormat="1" applyFont="1" applyAlignment="1">
      <alignment horizontal="center"/>
    </xf>
    <xf numFmtId="164" fontId="0" fillId="0" borderId="6" xfId="1" applyNumberFormat="1" applyFont="1" applyBorder="1" applyAlignment="1">
      <alignment horizontal="center"/>
    </xf>
    <xf numFmtId="164" fontId="0" fillId="0" borderId="8" xfId="1" applyNumberFormat="1" applyFont="1" applyBorder="1" applyAlignment="1">
      <alignment horizontal="center"/>
    </xf>
    <xf numFmtId="164" fontId="0" fillId="0" borderId="10" xfId="1" applyNumberFormat="1" applyFont="1" applyBorder="1" applyAlignment="1">
      <alignment horizontal="center"/>
    </xf>
    <xf numFmtId="0" fontId="0" fillId="0" borderId="5"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0" fillId="0" borderId="0"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4" fontId="0" fillId="0" borderId="15" xfId="1" applyNumberFormat="1" applyFont="1" applyBorder="1" applyAlignment="1">
      <alignment horizontal="center"/>
    </xf>
    <xf numFmtId="164" fontId="0" fillId="0" borderId="16" xfId="1" applyNumberFormat="1" applyFont="1" applyBorder="1" applyAlignment="1">
      <alignment horizontal="center"/>
    </xf>
    <xf numFmtId="164" fontId="0" fillId="0" borderId="17" xfId="1" applyNumberFormat="1" applyFont="1" applyBorder="1" applyAlignment="1">
      <alignment horizontal="center"/>
    </xf>
    <xf numFmtId="0" fontId="0" fillId="0" borderId="0" xfId="0" applyAlignment="1"/>
    <xf numFmtId="0" fontId="0" fillId="4" borderId="0" xfId="0" applyFill="1" applyAlignment="1">
      <alignment horizontal="center"/>
    </xf>
    <xf numFmtId="164" fontId="2" fillId="4" borderId="13" xfId="1" applyNumberFormat="1" applyFont="1" applyFill="1" applyBorder="1" applyAlignment="1">
      <alignment horizontal="center" vertical="center"/>
    </xf>
    <xf numFmtId="164" fontId="2" fillId="4" borderId="6" xfId="1" applyNumberFormat="1" applyFont="1" applyFill="1" applyBorder="1" applyAlignment="1">
      <alignment horizontal="center" vertical="center"/>
    </xf>
    <xf numFmtId="164" fontId="0" fillId="4" borderId="0" xfId="1" applyNumberFormat="1" applyFont="1" applyFill="1" applyBorder="1" applyAlignment="1">
      <alignment horizontal="center" vertical="center"/>
    </xf>
    <xf numFmtId="164" fontId="0" fillId="4" borderId="8" xfId="1" applyNumberFormat="1" applyFont="1" applyFill="1" applyBorder="1" applyAlignment="1">
      <alignment horizontal="center" vertical="center"/>
    </xf>
    <xf numFmtId="164" fontId="0" fillId="4" borderId="14" xfId="1" applyNumberFormat="1" applyFont="1" applyFill="1" applyBorder="1" applyAlignment="1">
      <alignment horizontal="center" vertical="center"/>
    </xf>
    <xf numFmtId="164" fontId="0" fillId="4" borderId="10" xfId="1" applyNumberFormat="1" applyFont="1"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left" vertical="center" wrapText="1"/>
    </xf>
    <xf numFmtId="164" fontId="0" fillId="4" borderId="13" xfId="0" applyNumberFormat="1" applyFill="1" applyBorder="1" applyAlignment="1">
      <alignment horizontal="center" vertical="center"/>
    </xf>
    <xf numFmtId="164" fontId="0" fillId="4" borderId="6" xfId="0" applyNumberFormat="1" applyFill="1" applyBorder="1" applyAlignment="1">
      <alignment horizontal="center" vertical="center"/>
    </xf>
    <xf numFmtId="164" fontId="0" fillId="4" borderId="0" xfId="0" applyNumberFormat="1" applyFill="1" applyBorder="1" applyAlignment="1">
      <alignment horizontal="center" vertical="center"/>
    </xf>
    <xf numFmtId="164" fontId="0" fillId="4" borderId="8" xfId="0" applyNumberFormat="1" applyFill="1" applyBorder="1" applyAlignment="1">
      <alignment horizontal="center" vertical="center"/>
    </xf>
    <xf numFmtId="164" fontId="0" fillId="4" borderId="14" xfId="0" applyNumberFormat="1" applyFill="1" applyBorder="1" applyAlignment="1">
      <alignment horizontal="center" vertical="center"/>
    </xf>
    <xf numFmtId="164" fontId="0" fillId="4" borderId="10" xfId="0" applyNumberFormat="1" applyFill="1" applyBorder="1" applyAlignment="1">
      <alignment horizontal="center" vertical="center"/>
    </xf>
    <xf numFmtId="0" fontId="2" fillId="4" borderId="18" xfId="0" applyFont="1" applyFill="1" applyBorder="1" applyAlignment="1">
      <alignment horizontal="left" vertical="center" wrapText="1"/>
    </xf>
    <xf numFmtId="0" fontId="0" fillId="4" borderId="19" xfId="0" applyFill="1" applyBorder="1" applyAlignment="1">
      <alignment horizontal="left" vertical="center" wrapText="1"/>
    </xf>
    <xf numFmtId="0" fontId="0" fillId="4" borderId="20" xfId="0" applyFill="1" applyBorder="1" applyAlignment="1">
      <alignment horizontal="left" vertical="center" wrapText="1"/>
    </xf>
    <xf numFmtId="0" fontId="0" fillId="4" borderId="18" xfId="0" applyFill="1" applyBorder="1" applyAlignment="1">
      <alignment horizontal="left" vertical="center" wrapText="1"/>
    </xf>
    <xf numFmtId="0" fontId="0" fillId="4" borderId="1" xfId="0" applyFill="1" applyBorder="1" applyAlignment="1">
      <alignment wrapText="1"/>
    </xf>
    <xf numFmtId="170" fontId="0" fillId="0" borderId="0" xfId="0" applyNumberFormat="1"/>
    <xf numFmtId="0" fontId="0" fillId="4" borderId="0" xfId="0" applyFill="1" applyBorder="1" applyAlignment="1">
      <alignment horizontal="center" vertical="center"/>
    </xf>
    <xf numFmtId="0" fontId="0" fillId="4" borderId="8" xfId="0" applyFill="1" applyBorder="1" applyAlignment="1">
      <alignment horizontal="center" vertical="center"/>
    </xf>
    <xf numFmtId="0" fontId="0" fillId="4" borderId="7" xfId="0" applyFill="1" applyBorder="1" applyAlignment="1">
      <alignment horizontal="left" vertical="center" wrapText="1"/>
    </xf>
    <xf numFmtId="0" fontId="0" fillId="0" borderId="0" xfId="0" applyNumberFormat="1"/>
    <xf numFmtId="0" fontId="0" fillId="0" borderId="0" xfId="0" applyAlignment="1">
      <alignment horizontal="left" indent="1"/>
    </xf>
    <xf numFmtId="0" fontId="3" fillId="2" borderId="1" xfId="0" applyFont="1" applyFill="1" applyBorder="1" applyAlignment="1">
      <alignment horizontal="center"/>
    </xf>
    <xf numFmtId="166" fontId="2" fillId="2" borderId="0" xfId="0" applyNumberFormat="1" applyFont="1" applyFill="1" applyAlignment="1">
      <alignment horizontal="left"/>
    </xf>
    <xf numFmtId="166" fontId="0" fillId="0" borderId="0" xfId="0" applyNumberFormat="1" applyAlignment="1">
      <alignment horizontal="center"/>
    </xf>
    <xf numFmtId="0" fontId="0" fillId="0" borderId="0" xfId="0" applyAlignment="1">
      <alignment horizontal="center"/>
    </xf>
    <xf numFmtId="0" fontId="0" fillId="0" borderId="21" xfId="0" applyBorder="1" applyAlignment="1">
      <alignment horizontal="center" wrapText="1"/>
    </xf>
    <xf numFmtId="0" fontId="0" fillId="4" borderId="1" xfId="0" applyFill="1" applyBorder="1" applyAlignment="1">
      <alignment horizontal="center" wrapText="1"/>
    </xf>
    <xf numFmtId="0" fontId="0" fillId="0" borderId="1" xfId="0" applyBorder="1" applyAlignment="1">
      <alignment horizontal="center" wrapText="1"/>
    </xf>
  </cellXfs>
  <cellStyles count="2">
    <cellStyle name="Normal" xfId="0" builtinId="0"/>
    <cellStyle name="Percent" xfId="1" builtinId="5"/>
  </cellStyles>
  <dxfs count="20">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color theme="0"/>
      </font>
    </dxf>
    <dxf>
      <font>
        <color rgb="FF00B050"/>
      </font>
    </dxf>
    <dxf>
      <font>
        <color theme="0"/>
      </font>
    </dxf>
    <dxf>
      <font>
        <color theme="0" tint="-0.24994659260841701"/>
      </font>
    </dxf>
    <dxf>
      <numFmt numFmtId="165" formatCode="0.0"/>
    </dxf>
    <dxf>
      <numFmt numFmtId="2" formatCode="0.00"/>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Import'!$O$2</c:f>
              <c:strCache>
                <c:ptCount val="1"/>
                <c:pt idx="0">
                  <c:v>andrew</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Import'!$P$2:$AN$2</c:f>
              <c:numCache>
                <c:formatCode>General</c:formatCode>
                <c:ptCount val="25"/>
                <c:pt idx="0">
                  <c:v>0</c:v>
                </c:pt>
                <c:pt idx="1">
                  <c:v>4.0000000000000003E-5</c:v>
                </c:pt>
                <c:pt idx="2">
                  <c:v>1.1100000000000001E-3</c:v>
                </c:pt>
                <c:pt idx="3">
                  <c:v>7.4700000000000001E-3</c:v>
                </c:pt>
                <c:pt idx="4">
                  <c:v>3.0620000000000001E-2</c:v>
                </c:pt>
                <c:pt idx="5">
                  <c:v>8.3680000000000004E-2</c:v>
                </c:pt>
                <c:pt idx="6">
                  <c:v>0.15922</c:v>
                </c:pt>
                <c:pt idx="7">
                  <c:v>0.22098000000000001</c:v>
                </c:pt>
                <c:pt idx="8">
                  <c:v>0.21986</c:v>
                </c:pt>
                <c:pt idx="9">
                  <c:v>0.16053999999999999</c:v>
                </c:pt>
                <c:pt idx="10">
                  <c:v>8.2570000000000005E-2</c:v>
                </c:pt>
                <c:pt idx="11">
                  <c:v>2.7969999999999998E-2</c:v>
                </c:pt>
                <c:pt idx="12">
                  <c:v>5.4599999999999996E-3</c:v>
                </c:pt>
                <c:pt idx="13">
                  <c:v>4.8000000000000001E-4</c:v>
                </c:pt>
                <c:pt idx="14">
                  <c:v>0</c:v>
                </c:pt>
                <c:pt idx="15">
                  <c:v>0</c:v>
                </c:pt>
                <c:pt idx="16">
                  <c:v>0</c:v>
                </c:pt>
                <c:pt idx="17">
                  <c:v>0</c:v>
                </c:pt>
                <c:pt idx="18" formatCode="0.00">
                  <c:v>7.4766000000000012</c:v>
                </c:pt>
              </c:numCache>
            </c:numRef>
          </c:val>
          <c:extLst>
            <c:ext xmlns:c16="http://schemas.microsoft.com/office/drawing/2014/chart" uri="{C3380CC4-5D6E-409C-BE32-E72D297353CC}">
              <c16:uniqueId val="{00000000-33C3-4805-94ED-D7024EF21AA9}"/>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Import'!$O$3</c:f>
              <c:strCache>
                <c:ptCount val="1"/>
                <c:pt idx="0">
                  <c:v>jake</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Import'!$P$3:$AN$3</c:f>
              <c:numCache>
                <c:formatCode>General</c:formatCode>
                <c:ptCount val="25"/>
                <c:pt idx="0">
                  <c:v>0</c:v>
                </c:pt>
                <c:pt idx="1">
                  <c:v>6.9999999999999994E-5</c:v>
                </c:pt>
                <c:pt idx="2">
                  <c:v>1.6299999999999999E-3</c:v>
                </c:pt>
                <c:pt idx="3">
                  <c:v>1.261E-2</c:v>
                </c:pt>
                <c:pt idx="4">
                  <c:v>4.8899999999999999E-2</c:v>
                </c:pt>
                <c:pt idx="5">
                  <c:v>0.11676</c:v>
                </c:pt>
                <c:pt idx="6">
                  <c:v>0.19403000000000001</c:v>
                </c:pt>
                <c:pt idx="7">
                  <c:v>0.23669000000000001</c:v>
                </c:pt>
                <c:pt idx="8">
                  <c:v>0.19993</c:v>
                </c:pt>
                <c:pt idx="9">
                  <c:v>0.12164</c:v>
                </c:pt>
                <c:pt idx="10">
                  <c:v>5.1049999999999998E-2</c:v>
                </c:pt>
                <c:pt idx="11">
                  <c:v>1.4250000000000001E-2</c:v>
                </c:pt>
                <c:pt idx="12">
                  <c:v>2.31E-3</c:v>
                </c:pt>
                <c:pt idx="13">
                  <c:v>1.2999999999999999E-4</c:v>
                </c:pt>
                <c:pt idx="14">
                  <c:v>0</c:v>
                </c:pt>
                <c:pt idx="15">
                  <c:v>0</c:v>
                </c:pt>
                <c:pt idx="16">
                  <c:v>0</c:v>
                </c:pt>
                <c:pt idx="17">
                  <c:v>0</c:v>
                </c:pt>
                <c:pt idx="18" formatCode="0.00">
                  <c:v>7.0324299999999988</c:v>
                </c:pt>
              </c:numCache>
            </c:numRef>
          </c:val>
          <c:extLst>
            <c:ext xmlns:c16="http://schemas.microsoft.com/office/drawing/2014/chart" uri="{C3380CC4-5D6E-409C-BE32-E72D297353CC}">
              <c16:uniqueId val="{00000000-E434-4F30-85C7-B75823DDE45F}"/>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Import'!$O$4</c:f>
              <c:strCache>
                <c:ptCount val="1"/>
                <c:pt idx="0">
                  <c:v>breanna</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Import'!$P$4:$AN$4</c:f>
              <c:numCache>
                <c:formatCode>General</c:formatCode>
                <c:ptCount val="25"/>
                <c:pt idx="0">
                  <c:v>1.42E-3</c:v>
                </c:pt>
                <c:pt idx="1">
                  <c:v>1.465E-2</c:v>
                </c:pt>
                <c:pt idx="2">
                  <c:v>5.8000000000000003E-2</c:v>
                </c:pt>
                <c:pt idx="3">
                  <c:v>0.13804</c:v>
                </c:pt>
                <c:pt idx="4">
                  <c:v>0.21390999999999999</c:v>
                </c:pt>
                <c:pt idx="5">
                  <c:v>0.23543</c:v>
                </c:pt>
                <c:pt idx="6">
                  <c:v>0.18259</c:v>
                </c:pt>
                <c:pt idx="7">
                  <c:v>0.10217</c:v>
                </c:pt>
                <c:pt idx="8">
                  <c:v>4.0649999999999999E-2</c:v>
                </c:pt>
                <c:pt idx="9">
                  <c:v>1.1010000000000001E-2</c:v>
                </c:pt>
                <c:pt idx="10">
                  <c:v>1.98E-3</c:v>
                </c:pt>
                <c:pt idx="11">
                  <c:v>1.4999999999999999E-4</c:v>
                </c:pt>
                <c:pt idx="12">
                  <c:v>0</c:v>
                </c:pt>
                <c:pt idx="13">
                  <c:v>0</c:v>
                </c:pt>
                <c:pt idx="14">
                  <c:v>0</c:v>
                </c:pt>
                <c:pt idx="15">
                  <c:v>0</c:v>
                </c:pt>
                <c:pt idx="16">
                  <c:v>0</c:v>
                </c:pt>
                <c:pt idx="17">
                  <c:v>0</c:v>
                </c:pt>
                <c:pt idx="18" formatCode="0.00">
                  <c:v>4.8340299999999994</c:v>
                </c:pt>
              </c:numCache>
            </c:numRef>
          </c:val>
          <c:extLst>
            <c:ext xmlns:c16="http://schemas.microsoft.com/office/drawing/2014/chart" uri="{C3380CC4-5D6E-409C-BE32-E72D297353CC}">
              <c16:uniqueId val="{00000000-540A-424F-A96C-19AA6AC9885D}"/>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Import'!$O$5</c:f>
              <c:strCache>
                <c:ptCount val="1"/>
                <c:pt idx="0">
                  <c:v>joseph</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Import'!$P$5:$AN$5</c:f>
              <c:numCache>
                <c:formatCode>General</c:formatCode>
                <c:ptCount val="25"/>
                <c:pt idx="0">
                  <c:v>9.0000000000000006E-5</c:v>
                </c:pt>
                <c:pt idx="1">
                  <c:v>1.31E-3</c:v>
                </c:pt>
                <c:pt idx="2">
                  <c:v>8.5299999999999994E-3</c:v>
                </c:pt>
                <c:pt idx="3">
                  <c:v>3.4470000000000001E-2</c:v>
                </c:pt>
                <c:pt idx="4">
                  <c:v>9.1340000000000005E-2</c:v>
                </c:pt>
                <c:pt idx="5">
                  <c:v>0.17233999999999999</c:v>
                </c:pt>
                <c:pt idx="6">
                  <c:v>0.22797000000000001</c:v>
                </c:pt>
                <c:pt idx="7">
                  <c:v>0.21779000000000001</c:v>
                </c:pt>
                <c:pt idx="8">
                  <c:v>0.14759</c:v>
                </c:pt>
                <c:pt idx="9">
                  <c:v>7.1199999999999999E-2</c:v>
                </c:pt>
                <c:pt idx="10">
                  <c:v>2.281E-2</c:v>
                </c:pt>
                <c:pt idx="11">
                  <c:v>4.1900000000000001E-3</c:v>
                </c:pt>
                <c:pt idx="12">
                  <c:v>3.6999999999999999E-4</c:v>
                </c:pt>
                <c:pt idx="13">
                  <c:v>0</c:v>
                </c:pt>
                <c:pt idx="14">
                  <c:v>0</c:v>
                </c:pt>
                <c:pt idx="15">
                  <c:v>0</c:v>
                </c:pt>
                <c:pt idx="16">
                  <c:v>0</c:v>
                </c:pt>
                <c:pt idx="17">
                  <c:v>0</c:v>
                </c:pt>
                <c:pt idx="18" formatCode="0.00">
                  <c:v>6.3413400000000015</c:v>
                </c:pt>
              </c:numCache>
            </c:numRef>
          </c:val>
          <c:extLst>
            <c:ext xmlns:c16="http://schemas.microsoft.com/office/drawing/2014/chart" uri="{C3380CC4-5D6E-409C-BE32-E72D297353CC}">
              <c16:uniqueId val="{00000000-0D0A-41CB-9F2C-1D4D1C86EA0A}"/>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94279640"/>
        <c:axId val="394280952"/>
      </c:scatterChart>
      <c:valAx>
        <c:axId val="39427964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0952"/>
        <c:crosses val="autoZero"/>
        <c:crossBetween val="midCat"/>
      </c:valAx>
      <c:valAx>
        <c:axId val="3942809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79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314326</xdr:colOff>
      <xdr:row>4</xdr:row>
      <xdr:rowOff>85725</xdr:rowOff>
    </xdr:from>
    <xdr:to>
      <xdr:col>5</xdr:col>
      <xdr:colOff>600075</xdr:colOff>
      <xdr:row>14</xdr:row>
      <xdr:rowOff>104775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28575</xdr:colOff>
      <xdr:row>4</xdr:row>
      <xdr:rowOff>85725</xdr:rowOff>
    </xdr:from>
    <xdr:to>
      <xdr:col>11</xdr:col>
      <xdr:colOff>314324</xdr:colOff>
      <xdr:row>14</xdr:row>
      <xdr:rowOff>104775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323850</xdr:colOff>
      <xdr:row>14</xdr:row>
      <xdr:rowOff>161925</xdr:rowOff>
    </xdr:from>
    <xdr:to>
      <xdr:col>5</xdr:col>
      <xdr:colOff>609599</xdr:colOff>
      <xdr:row>24</xdr:row>
      <xdr:rowOff>180975</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57150</xdr:colOff>
      <xdr:row>14</xdr:row>
      <xdr:rowOff>161925</xdr:rowOff>
    </xdr:from>
    <xdr:to>
      <xdr:col>11</xdr:col>
      <xdr:colOff>342899</xdr:colOff>
      <xdr:row>24</xdr:row>
      <xdr:rowOff>180975</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28</xdr:col>
      <xdr:colOff>544286</xdr:colOff>
      <xdr:row>0</xdr:row>
      <xdr:rowOff>13607</xdr:rowOff>
    </xdr:from>
    <xdr:to>
      <xdr:col>36</xdr:col>
      <xdr:colOff>666750</xdr:colOff>
      <xdr:row>100</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40</xdr:col>
          <xdr:colOff>476250</xdr:colOff>
          <xdr:row>3</xdr:row>
          <xdr:rowOff>104775</xdr:rowOff>
        </xdr:from>
        <xdr:to>
          <xdr:col>43</xdr:col>
          <xdr:colOff>133350</xdr:colOff>
          <xdr:row>6</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thony J Reinhard" refreshedDate="43354.542467129628" createdVersion="6" refreshedVersion="6" minRefreshableVersion="3" recordCount="1530">
  <cacheSource type="worksheet">
    <worksheetSource name="all_starters" sheet="Data Import"/>
  </cacheSource>
  <cacheFields count="11">
    <cacheField name="Week" numFmtId="0">
      <sharedItems containsSemiMixedTypes="0" containsString="0" containsNumber="1" containsInteger="1" minValue="1" maxValue="17" count="17">
        <n v="1"/>
        <n v="2"/>
        <n v="3"/>
        <n v="4"/>
        <n v="5"/>
        <n v="6"/>
        <n v="7"/>
        <n v="8"/>
        <n v="9"/>
        <n v="10"/>
        <n v="11"/>
        <n v="12"/>
        <n v="13"/>
        <n v="14"/>
        <n v="15"/>
        <n v="16"/>
        <n v="17"/>
      </sharedItems>
    </cacheField>
    <cacheField name="Player" numFmtId="0">
      <sharedItems count="437">
        <s v="James Conner"/>
        <s v="Leonard Fournette"/>
        <s v="Carlos Hyde"/>
        <s v="David Johnson"/>
        <s v="Joe Mixon"/>
        <s v="Devonta Freeman"/>
        <s v="Melvin Gordon"/>
        <s v="Dalvin Cook"/>
        <s v="Saquon Barkley"/>
        <s v="Kenyan Drake"/>
        <s v="Jay Ajayi"/>
        <s v="Ezekiel Elliott"/>
        <s v="Christian McCaffrey"/>
        <s v="Rex Burkhead"/>
        <s v="Dion Lewis"/>
        <s v="Le'Veon Bell"/>
        <s v="Todd Gurley II"/>
        <s v="Derrick Henry"/>
        <s v="Duke Johnson Jr."/>
        <s v="Jordan Howard"/>
        <s v="Lamar Miller"/>
        <s v="Alvin Kamara"/>
        <s v="Chris Carson"/>
        <s v="Kareem Hunt"/>
        <s v="Jamaal Williams"/>
        <s v="LeSean McCoy"/>
        <s v="Antonio Brown"/>
        <s v="Davante Adams"/>
        <s v="Keenan Allen"/>
        <s v="Golden Tate"/>
        <s v="Doug Baldwin"/>
        <s v="Brandin Cooks"/>
        <s v="Robert Woods"/>
        <s v="DeAndre Hopkins"/>
        <s v="Mike Evans"/>
        <s v="Michael Thomas"/>
        <s v="Adam Thielen"/>
        <s v="A.J. Green"/>
        <s v="Demaryius Thomas"/>
        <s v="Jarvis Landry"/>
        <s v="Kenny Golladay"/>
        <s v="Stefon Diggs"/>
        <s v="Julio Jones"/>
        <s v="Odell Beckham Jr."/>
        <s v="Allen Robinson"/>
        <s v="Cooper Kupp"/>
        <s v="Kenny Stills"/>
        <s v="T.Y. Hilton"/>
        <s v="Marvin Jones Jr."/>
        <s v="Deshaun Watson"/>
        <s v="Philip Rivers"/>
        <s v="Matthew Stafford"/>
        <s v="Kirk Cousins"/>
        <s v="Marcus Mariota"/>
        <s v="Cam Newton"/>
        <s v="Drew Brees"/>
        <s v="Russell Wilson"/>
        <s v="Tom Brady"/>
        <s v="Aaron Rodgers"/>
        <s v="Delanie Walker"/>
        <s v="Jimmy Graham"/>
        <s v="Austin Seferian-Jenkins"/>
        <s v="Travis Kelce"/>
        <s v="Greg Olsen"/>
        <s v="Kyle Rudolph"/>
        <s v="Trey Burton"/>
        <s v="Rob Gronkowski"/>
        <s v="Evan Engram"/>
        <s v="Zach Ertz"/>
        <s v="Jordan Reed"/>
        <s v="Vikings D/ST"/>
        <s v="Lions D/ST"/>
        <s v="Saints D/ST"/>
        <s v="Panthers D/ST"/>
        <s v="Texans D/ST"/>
        <s v="Jaguars D/ST"/>
        <s v="Rams D/ST"/>
        <s v="Eagles D/ST"/>
        <s v="Broncos D/ST"/>
        <s v="Ravens D/ST"/>
        <s v="Matt Prater"/>
        <s v="Wil Lutz"/>
        <s v="Greg Zuerlein"/>
        <s v="Jake Elliott"/>
        <s v="Matt Bryant"/>
        <s v="Justin Tucker"/>
        <s v="Stephen Gostkowski"/>
        <s v="Adam Vinatieri"/>
        <s v="Robbie Gould"/>
        <s v="Chris Boswell"/>
        <s v="Adrian Peterson"/>
        <s v="Marlon Mack"/>
        <s v="Royce Freeman"/>
        <s v="JuJu Smith-Schuster"/>
        <s v="Josh Gordon"/>
        <s v="Chris Hogan"/>
        <s v="Pierre Garcon"/>
        <s v="Jordy Nelson"/>
        <s v="Tyreek Hill"/>
        <s v="Alex Smith"/>
        <s v="Matt Ryan"/>
        <s v="Andrew Luck"/>
        <s v="David Njoku"/>
        <s v="Jonnu Smith^"/>
        <s v="Chargers D/ST"/>
        <s v="Alex Collins"/>
        <s v="Larry Fitzgerald"/>
        <s v="Amari Cooper"/>
        <s v="Sammy Watkins"/>
        <s v="Sterling Shepard"/>
        <s v="Ben Roethlisberger"/>
        <s v="Austin Seferian-Jenkins^"/>
        <s v="Patriots D/ST"/>
        <s v="Titans D/ST"/>
        <s v="Harrison Butker"/>
        <s v="Marshawn Lynch"/>
        <s v="Peyton Barber"/>
        <s v="Carson Wentz"/>
        <s v="Jack Doyle"/>
        <s v="Benjamin Watson"/>
        <s v="Steelers D/ST^"/>
        <s v="Mark Ingram II"/>
        <s v="Ty Montgomery"/>
        <s v="Jamison Crowder"/>
        <s v="Charles Clay^"/>
        <s v="Browns D/ST"/>
        <s v="Julian Edelman"/>
        <s v="Emmanuel Sanders"/>
        <s v="Jared Goff"/>
        <s v="Falcons D/ST^"/>
        <s v="Randy Bullock^"/>
        <s v="Bilal Powell^"/>
        <s v="Tarik Cohen"/>
        <s v="Alshon Jeffery"/>
        <s v="Pierre Garcon^"/>
        <s v="Jimmy Garoppolo"/>
        <s v="Patrick Mahomes"/>
        <s v="Tyler Eifert^"/>
        <s v="Falcons D/ST"/>
        <s v="Isaiah Crowell"/>
        <s v="Kerryon Johnson^"/>
        <s v="Kelvin Benjamin"/>
        <s v="Nelson Agholor"/>
        <s v="Jameis Winston^"/>
        <s v="George Kittle^"/>
        <s v="Wil Lutz^"/>
        <s v="Alfred Morris"/>
        <s v="Matt Breida"/>
        <s v="Benjamin Watson^"/>
        <s v="Sebastian Janikowski^"/>
        <s v="Tevin Coleman"/>
        <s v="Matthew Stafford^"/>
        <s v="Packers D/ST^"/>
        <s v="Jared Goff^"/>
        <s v="Tyler Eifert"/>
        <s v="Graham Gano"/>
        <s v="Will Fuller V"/>
        <s v="Allen Hurns"/>
        <s v="Devin Funchess"/>
        <s v="Jared Cook^"/>
        <s v="Graham Gano^"/>
        <s v="Austin Hooper^"/>
        <s v="Jonathan Stewart" u="1"/>
        <s v="Randy Bullock" u="1"/>
        <s v="Travis Benjamin^" u="1"/>
        <s v="D'Onta Foreman" u="1"/>
        <s v="David Njoku^" u="1"/>
        <s v="Austin Hooper" u="1"/>
        <s v="Jamaal Charles" u="1"/>
        <s v="Cardinals D/ST^" u="1"/>
        <s v="Giorgio Tavecchio" u="1"/>
        <s v="Jason Witten^" u="1"/>
        <s v="Joe Flacco^" u="1"/>
        <s v="Charles Clay" u="1"/>
        <s v="John Brown" u="1"/>
        <s v="Blair Walsh^" u="1"/>
        <s v="Philip Rivers^" u="1"/>
        <s v="Coby Fleener^" u="1"/>
        <s v="Derek Carr" u="1"/>
        <s v="Marvin Jones" u="1"/>
        <s v="Dak Prescott^" u="1"/>
        <s v="Eagles D/ST^" u="1"/>
        <s v="Cowboys D/ST" u="1"/>
        <s v="Robert Kelley" u="1"/>
        <s v="DeVante Parker" u="1"/>
        <s v="Marcus Mariota^" u="1"/>
        <s v="Jimmy Graham^" u="1"/>
        <s v="Rashaad Penny" u="1"/>
        <s v="Jets D/ST" u="1"/>
        <s v="Jordan Matthews^" u="1"/>
        <s v="Josh Doctson" u="1"/>
        <s v="Drew Brees^" u="1"/>
        <s v="Wayne Gallman^" u="1"/>
        <s v="Eric Decker^" u="1"/>
        <s v="Thomas Rawls^" u="1"/>
        <s v="Kendall Wright" u="1"/>
        <s v="Travis Benjamin" u="1"/>
        <s v="Willie Snead" u="1"/>
        <s v="Martavis Bryant" u="1"/>
        <s v="Bilal Powell" u="1"/>
        <s v="Kenny Britt^" u="1"/>
        <s v="Bennie Fowler III" u="1"/>
        <s v="Chris Ivory" u="1"/>
        <s v="Adam Vinatieri^" u="1"/>
        <s v="Michael Gallup" u="1"/>
        <s v="Orleans Darkwa" u="1"/>
        <s v="Tyrod Taylor^" u="1"/>
        <s v="Chris Thompson" u="1"/>
        <s v="Kevin White^" u="1"/>
        <s v="Rishard Matthews" u="1"/>
        <s v="Terrelle Pryor Sr." u="1"/>
        <s v="Dan Bailey" u="1"/>
        <s v="Carson Palmer^" u="1"/>
        <s v="Ryan Fitzpatrick^" u="1"/>
        <s v="Eric Decker" u="1"/>
        <s v="Paul Perkins" u="1"/>
        <s v="Russell Wilson^" u="1"/>
        <s v="Ryan Griffin^" u="1"/>
        <s v="Kenny Britt" u="1"/>
        <s v="Buccaneers D/ST" u="1"/>
        <s v="Eli Manning^" u="1"/>
        <s v="Bills D/ST" u="1"/>
        <s v="Cam Newton^" u="1"/>
        <s v="Carson Wentz^" u="1"/>
        <s v="Browns D/ST^" u="1"/>
        <s v="Dez Bryant" u="1"/>
        <s v="Jason Witten" u="1"/>
        <s v="Aaron Jones" u="1"/>
        <s v="Kevin White" u="1"/>
        <s v="Kai Forbath^" u="1"/>
        <s v="Andre Ellington" u="1"/>
        <s v="Ricardo Louis^" u="1"/>
        <s v="Carson Palmer" u="1"/>
        <s v="Cardinals D/ST" u="1"/>
        <s v="Antonio Gates^" u="1"/>
        <s v="Javorius Allen" u="1"/>
        <s v="Coby Fleener" u="1"/>
        <s v="Eric Ebron" u="1"/>
        <s v="Ronald Jones^" u="1"/>
        <s v="Eli Manning" u="1"/>
        <s v="Stephen Hauschka" u="1"/>
        <s v="Martellus Bennett" u="1"/>
        <s v="Jacquizz Rodgers" u="1"/>
        <s v="Zay Jones^" u="1"/>
        <s v="Marqise Lee" u="1"/>
        <s v="Jack Doyle^" u="1"/>
        <s v="Giovani Bernard" u="1"/>
        <s v="Dak Prescott" u="1"/>
        <s v="Michael Crabtree" u="1"/>
        <s v="Andrew Luck^" u="1"/>
        <s v="Vernon Davis^" u="1"/>
        <s v="Jermaine Gresham^" u="1"/>
        <s v="Kai Forbath" u="1"/>
        <s v="Cameron Brate^" u="1"/>
        <s v="Steelers D/ST" u="1"/>
        <s v="Terrance Williams" u="1"/>
        <s v="Mason Crosby^" u="1"/>
        <s v="Mitchell Trubisky^" u="1"/>
        <s v="Cameron Meredith" u="1"/>
        <s v="Mark Ingram" u="1"/>
        <s v="Josh McCown^" u="1"/>
        <s v="Josh Lambo^" u="1"/>
        <s v="Caleb Sturgis^" u="1"/>
        <s v="Trevor Siemian^" u="1"/>
        <s v="Nick Rose" u="1"/>
        <s v="Thomas Rawls" u="1"/>
        <s v="Greg Zuerlein^" u="1"/>
        <s v="Patriots D/ST^" u="1"/>
        <s v="Deshaun Watson^" u="1"/>
        <s v="Giants D/ST^" u="1"/>
        <s v="Chris Johnson" u="1"/>
        <s v="Kerwynn Williams" u="1"/>
        <s v="Tarik Cohen^" u="1"/>
        <s v="O.J. Howard^" u="1"/>
        <s v="49ers D/ST" u="1"/>
        <s v="Broncos D/ST^" u="1"/>
        <s v="Tyrod Taylor" u="1"/>
        <s v="Vikings D/ST^" u="1"/>
        <s v="Cameron Brate" u="1"/>
        <s v="Seahawks D/ST" u="1"/>
        <s v="Josh McCown" u="1"/>
        <s v="Ka'imi Fairbairn" u="1"/>
        <s v="Alex Smith^" u="1"/>
        <s v="Wendell Smallwood" u="1"/>
        <s v="Kerryon Johnson" u="1"/>
        <s v="Bears D/ST" u="1"/>
        <s v="Chandler Catanzaro^" u="1"/>
        <s v="Jermaine Kearse^" u="1"/>
        <s v="Ryan Griffin" u="1"/>
        <s v="Redskins D/ST^" u="1"/>
        <s v="Derek Carr^" u="1"/>
        <s v="Kirk Cousins^" u="1"/>
        <s v="Latavius Murray" u="1"/>
        <s v="Hunter Henry^" u="1"/>
        <s v="Andre Holmes^" u="1"/>
        <s v="Danny Woodhead" u="1"/>
        <s v="Andy Dalton^" u="1"/>
        <s v="Titans D/ST^" u="1"/>
        <s v="Panthers D/ST^" u="1"/>
        <s v="Teddy Bridgewater" u="1"/>
        <s v="Evan Engram^" u="1"/>
        <s v="Donte Moncrief" u="1"/>
        <s v="Giorgio Tavecchio^" u="1"/>
        <s v="Saints D/ST^" u="1"/>
        <s v="Raiders D/ST^" u="1"/>
        <s v="Mohamed Sanu" u="1"/>
        <s v="Corey Coleman" u="1"/>
        <s v="Robby Anderson" u="1"/>
        <s v="Ronald Jones" u="1"/>
        <s v="Sebastian Janikowski" u="1"/>
        <s v="Redskins D/ST" u="1"/>
        <s v="LeGarrette Blount" u="1"/>
        <s v="Ka'imi Fairbairn^" u="1"/>
        <s v="Darren Sproles" u="1"/>
        <s v="Vernon Davis" u="1"/>
        <s v="Paul Richardson" u="1"/>
        <s v="Matt Forte" u="1"/>
        <s v="Trey Burton^" u="1"/>
        <s v="Andy Dalton" u="1"/>
        <s v="Charcandrick West" u="1"/>
        <s v="Cairo Santos^" u="1"/>
        <s v="Mason Crosby" u="1"/>
        <s v="Matt Bryant^" u="1"/>
        <s v="Steven Hauschka" u="1"/>
        <s v="Cole Beasley^" u="1"/>
        <s v="NA" u="1"/>
        <s v="Dan Bailey^" u="1"/>
        <s v="Martavis Bryant^" u="1"/>
        <s v="Robbie Gould^" u="1"/>
        <s v="Sam Bradford^" u="1"/>
        <s v="Brandon Marshall" u="1"/>
        <s v="Vance McDonald^" u="1"/>
        <s v="Buccaneers D/ST^" u="1"/>
        <s v="Chiefs D/ST^" u="1"/>
        <s v="Sony Michel" u="1"/>
        <s v="Jameis Winston" u="1"/>
        <s v="Sammy Watkins^" u="1"/>
        <s v="Jay Cutler^" u="1"/>
        <s v="Justin Tucker^" u="1"/>
        <s v="Tyrell Williams" u="1"/>
        <s v="Ravens D/ST^" u="1"/>
        <s v="Todd Gurley" u="1"/>
        <s v="Jermaine Kearse" u="1"/>
        <s v="Jerick McKinnon" u="1"/>
        <s v="Roger Lewis" u="1"/>
        <s v="Matt Prater^" u="1"/>
        <s v="Nick Folk^" u="1"/>
        <s v="Rams D/ST^" u="1"/>
        <s v="JuJu Smith-Schuster^" u="1"/>
        <s v="Dolphins D/ST^" u="1"/>
        <s v="Chiefs D/ST" u="1"/>
        <s v="Frank Gore" u="1"/>
        <s v="Doug Martin" u="1"/>
        <s v="Eric Ebron^" u="1"/>
        <s v="Samaje Perine" u="1"/>
        <s v="Hunter Henry" u="1"/>
        <s v="Bengals D/ST" u="1"/>
        <s v="Tyler Kroft^" u="1"/>
        <s v="Jordan Matthews" u="1"/>
        <s v="Jeremy Hill" u="1"/>
        <s v="Connor Barth^" u="1"/>
        <s v="Terrance West" u="1"/>
        <s v="James White" u="1"/>
        <s v="C.J. Anderson" u="1"/>
        <s v="Jimmy Garoppolo^" u="1"/>
        <s v="J.J. Nelson^" u="1"/>
        <s v="Jaron Brown" u="1"/>
        <s v="C.J. Fiedorowicz" u="1"/>
        <s v="Ted Ginn Jr." u="1"/>
        <s v="Raiders D/ST" u="1"/>
        <s v="Dolphins D/ST" u="1"/>
        <s v="Deonte Thompson^" u="1"/>
        <s v="Brian Hoyer^" u="1"/>
        <s v="Tyler Kroft" u="1"/>
        <s v="49ers D/ST^" u="1"/>
        <s v="Lions D/ST^" u="1"/>
        <s v="Cairo Santos" u="1"/>
        <s v="Brett Hundley" u="1"/>
        <s v="Mike Gillislee" u="1"/>
        <s v="J.J. Nelson" u="1"/>
        <s v="Ameer Abdullah" u="1"/>
        <s v="Dustin Hopkins^" u="1"/>
        <s v="Ryan Succop^" u="1"/>
        <s v="Matt Ryan^" u="1"/>
        <s v="Eddie Lacy" u="1"/>
        <s v="Randall Cobb" u="1"/>
        <s v="Kenny Stills^" u="1"/>
        <s v="Sam Bradford" u="1"/>
        <s v="Blake Bortles^" u="1"/>
        <s v="Zach Miller^" u="1"/>
        <s v="Jesse James^" u="1"/>
        <s v="Jeremy Kerley^" u="1"/>
        <s v="Bears D/ST^" u="1"/>
        <s v="DeMarco Murray" u="1"/>
        <s v="Cooper Kupp^" u="1"/>
        <s v="Nick Rose^" u="1"/>
        <s v="Brian Hoyer" u="1"/>
        <s v="Mike Wallace" u="1"/>
        <s v="Stephen Hauschka^" u="1"/>
        <s v="Zay Jones" u="1"/>
        <s v="Corey Davis" u="1"/>
        <s v="Colts D/ST^" u="1"/>
        <s v="Rob Kelley" u="1"/>
        <s v="Danny Amendola" u="1"/>
        <s v="Ryan Succop" u="1"/>
        <s v="Ben Roethlisberger^" u="1"/>
        <s v="Theo Riddick" u="1"/>
        <s v="Julius Thomas^" u="1"/>
        <s v="Zach Miller" u="1"/>
        <s v="Phil Dawson^" u="1"/>
        <s v="Jesse James" u="1"/>
        <s v="Tyler Lockett" u="1"/>
        <s v="Cowboys D/ST^" u="1"/>
        <s v="Darren McFadden" u="1"/>
        <s v="Jason Myers^" u="1"/>
        <s v="Chris Boswell^" u="1"/>
        <s v="DeSean Jackson" u="1"/>
        <s v="Josh Doctson^" u="1"/>
        <s v="Nelson Agholor^" u="1"/>
        <s v="Nick Chubb" u="1"/>
        <s v="Stephen Gostkowski^" u="1"/>
        <s v="Allen Hurns^" u="1"/>
        <s v="Latavius Murray^" u="1"/>
        <s v="Jaguars D/ST^" u="1"/>
        <s v="Harrison Butker^" u="1"/>
        <s v="Packers D/ST" u="1"/>
        <s v="Jake Elliott^" u="1"/>
        <s v="Kyle Rudolph^" u="1"/>
        <s v="Steven Hauschka^" u="1"/>
        <s v="Jared Cook" u="1"/>
        <s v="Ed Dickson^" u="1"/>
        <s v="Cody Parkey^" u="1"/>
        <s v="Jeremy Maclin" u="1"/>
        <s v="Marquise Goodwin" u="1"/>
        <s v="Josh Lambo" u="1"/>
        <s v="Ryan Fitzpatrick" u="1"/>
        <s v="Jason Myers" u="1"/>
      </sharedItems>
    </cacheField>
    <cacheField name="Pos" numFmtId="0">
      <sharedItems count="7">
        <s v="RB"/>
        <s v="WR"/>
        <s v="QB"/>
        <s v="TE"/>
        <s v="D"/>
        <s v="K"/>
        <s v="NA" u="1"/>
      </sharedItems>
      <fieldGroup par="10"/>
    </cacheField>
    <cacheField name="Proj" numFmtId="49">
      <sharedItems/>
    </cacheField>
    <cacheField name="FD_Proj" numFmtId="0">
      <sharedItems containsSemiMixedTypes="0" containsString="0" containsNumber="1" minValue="0" maxValue="27.37"/>
    </cacheField>
    <cacheField name="max" numFmtId="0">
      <sharedItems containsSemiMixedTypes="0" containsString="0" containsNumber="1" minValue="0" maxValue="35.880000000000003"/>
    </cacheField>
    <cacheField name="min" numFmtId="0">
      <sharedItems containsSemiMixedTypes="0" containsString="0" containsNumber="1" minValue="-1.38" maxValue="18.14"/>
    </cacheField>
    <cacheField name="std" numFmtId="0">
      <sharedItems containsSemiMixedTypes="0" containsString="0" containsNumber="1" minValue="0" maxValue="11.01"/>
    </cacheField>
    <cacheField name="mean" numFmtId="0">
      <sharedItems containsSemiMixedTypes="0" containsString="0" containsNumber="1" minValue="0" maxValue="27.01"/>
    </cacheField>
    <cacheField name="Owner" numFmtId="0">
      <sharedItems count="22">
        <s v="andrew"/>
        <s v="jake"/>
        <s v="breanna"/>
        <s v="joseph"/>
        <s v="alyssa"/>
        <s v="chris"/>
        <s v="jordan"/>
        <s v="alex"/>
        <s v="colin"/>
        <s v="paul"/>
        <s v="chad" u="1"/>
        <s v="aj" u="1"/>
        <s v="cory" u="1"/>
        <s v="lucas" u="1"/>
        <s v="perry" u="1"/>
        <s v="devon" u="1"/>
        <s v="seth" u="1"/>
        <s v="jason" u="1"/>
        <s v="matty" u="1"/>
        <s v="comp" u="1"/>
        <s v="NA" u="1"/>
        <s v="scott" u="1"/>
      </sharedItems>
    </cacheField>
    <cacheField name="Pos2" numFmtId="0" databaseField="0">
      <fieldGroup base="2">
        <discretePr count="7">
          <x v="4"/>
          <x v="4"/>
          <x v="0"/>
          <x v="1"/>
          <x v="2"/>
          <x v="3"/>
          <x v="5"/>
        </discretePr>
        <groupItems count="6">
          <s v="QB"/>
          <s v="TE"/>
          <s v="D"/>
          <s v="K"/>
          <s v="Group1"/>
          <s v="NA"/>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30">
  <r>
    <x v="0"/>
    <x v="0"/>
    <x v="0"/>
    <s v="4.15-21.87"/>
    <n v="14.56"/>
    <n v="21.87"/>
    <n v="4.1500000000000004"/>
    <n v="8.86"/>
    <n v="13.01"/>
    <x v="0"/>
  </r>
  <r>
    <x v="0"/>
    <x v="1"/>
    <x v="0"/>
    <s v="3.66-19.72"/>
    <n v="12.82"/>
    <n v="19.72"/>
    <n v="3.66"/>
    <n v="8.0299999999999994"/>
    <n v="11.69"/>
    <x v="0"/>
  </r>
  <r>
    <x v="0"/>
    <x v="2"/>
    <x v="0"/>
    <s v="3.78-13.40"/>
    <n v="9.5299999999999994"/>
    <n v="13.4"/>
    <n v="3.78"/>
    <n v="4.8099999999999996"/>
    <n v="8.59"/>
    <x v="0"/>
  </r>
  <r>
    <x v="0"/>
    <x v="3"/>
    <x v="0"/>
    <s v="9.21-27.67"/>
    <n v="21.3"/>
    <n v="27.67"/>
    <n v="9.2100000000000009"/>
    <n v="9.23"/>
    <n v="18.440000000000001"/>
    <x v="1"/>
  </r>
  <r>
    <x v="0"/>
    <x v="4"/>
    <x v="0"/>
    <s v="7.50-18.38"/>
    <n v="14.32"/>
    <n v="18.38"/>
    <n v="7.5"/>
    <n v="5.44"/>
    <n v="12.94"/>
    <x v="1"/>
  </r>
  <r>
    <x v="0"/>
    <x v="5"/>
    <x v="0"/>
    <s v="4.32-16.44"/>
    <n v="11.78"/>
    <n v="16.440000000000001"/>
    <n v="4.32"/>
    <n v="6.06"/>
    <n v="10.38"/>
    <x v="1"/>
  </r>
  <r>
    <x v="0"/>
    <x v="6"/>
    <x v="0"/>
    <s v="7.44-25.88"/>
    <n v="18.39"/>
    <n v="25.88"/>
    <n v="7.44"/>
    <n v="9.2200000000000006"/>
    <n v="16.66"/>
    <x v="2"/>
  </r>
  <r>
    <x v="0"/>
    <x v="7"/>
    <x v="0"/>
    <s v="5.61-21.15"/>
    <n v="14.79"/>
    <n v="21.15"/>
    <n v="5.61"/>
    <n v="7.77"/>
    <n v="13.38"/>
    <x v="2"/>
  </r>
  <r>
    <x v="0"/>
    <x v="8"/>
    <x v="0"/>
    <s v="6.86-22.10"/>
    <n v="16.71"/>
    <n v="22.1"/>
    <n v="6.86"/>
    <n v="7.62"/>
    <n v="14.48"/>
    <x v="3"/>
  </r>
  <r>
    <x v="0"/>
    <x v="9"/>
    <x v="0"/>
    <s v="3.63-15.13"/>
    <n v="10.71"/>
    <n v="15.13"/>
    <n v="3.63"/>
    <n v="5.75"/>
    <n v="9.3800000000000008"/>
    <x v="3"/>
  </r>
  <r>
    <x v="0"/>
    <x v="10"/>
    <x v="0"/>
    <s v="3.43-14.75"/>
    <n v="9.94"/>
    <n v="14.75"/>
    <n v="3.43"/>
    <n v="5.66"/>
    <n v="9.09"/>
    <x v="3"/>
  </r>
  <r>
    <x v="0"/>
    <x v="11"/>
    <x v="0"/>
    <s v="8.06-20.96"/>
    <n v="15.69"/>
    <n v="20.96"/>
    <n v="8.06"/>
    <n v="6.45"/>
    <n v="14.51"/>
    <x v="4"/>
  </r>
  <r>
    <x v="0"/>
    <x v="12"/>
    <x v="0"/>
    <s v="8.22-20.00"/>
    <n v="16.27"/>
    <n v="20"/>
    <n v="8.2200000000000006"/>
    <n v="5.89"/>
    <n v="14.11"/>
    <x v="4"/>
  </r>
  <r>
    <x v="0"/>
    <x v="13"/>
    <x v="0"/>
    <s v="3.68-22.82"/>
    <n v="14.9"/>
    <n v="22.82"/>
    <n v="3.68"/>
    <n v="9.57"/>
    <n v="13.25"/>
    <x v="4"/>
  </r>
  <r>
    <x v="0"/>
    <x v="14"/>
    <x v="0"/>
    <s v="1.50-12.20"/>
    <n v="8.17"/>
    <n v="12.2"/>
    <n v="1.5"/>
    <n v="5.35"/>
    <n v="6.85"/>
    <x v="5"/>
  </r>
  <r>
    <x v="0"/>
    <x v="15"/>
    <x v="0"/>
    <s v="0.00-0.00"/>
    <n v="0"/>
    <n v="0"/>
    <n v="0"/>
    <n v="0"/>
    <n v="0"/>
    <x v="5"/>
  </r>
  <r>
    <x v="0"/>
    <x v="16"/>
    <x v="0"/>
    <s v="10.49-27.47"/>
    <n v="20.9"/>
    <n v="27.47"/>
    <n v="10.49"/>
    <n v="8.49"/>
    <n v="18.98"/>
    <x v="6"/>
  </r>
  <r>
    <x v="0"/>
    <x v="17"/>
    <x v="0"/>
    <s v="3.74-15.06"/>
    <n v="9.8699999999999992"/>
    <n v="15.06"/>
    <n v="3.74"/>
    <n v="5.66"/>
    <n v="9.4"/>
    <x v="6"/>
  </r>
  <r>
    <x v="0"/>
    <x v="18"/>
    <x v="0"/>
    <s v="3.05-11.95"/>
    <n v="9.43"/>
    <n v="11.95"/>
    <n v="3.05"/>
    <n v="4.45"/>
    <n v="7.5"/>
    <x v="6"/>
  </r>
  <r>
    <x v="0"/>
    <x v="19"/>
    <x v="0"/>
    <s v="4.25-20.69"/>
    <n v="13.51"/>
    <n v="20.69"/>
    <n v="4.25"/>
    <n v="8.2200000000000006"/>
    <n v="12.47"/>
    <x v="7"/>
  </r>
  <r>
    <x v="0"/>
    <x v="20"/>
    <x v="0"/>
    <s v="4.54-15.92"/>
    <n v="11.24"/>
    <n v="15.92"/>
    <n v="4.54"/>
    <n v="5.69"/>
    <n v="10.23"/>
    <x v="7"/>
  </r>
  <r>
    <x v="0"/>
    <x v="21"/>
    <x v="0"/>
    <s v="11.15-27.43"/>
    <n v="21.58"/>
    <n v="27.43"/>
    <n v="11.15"/>
    <n v="8.14"/>
    <n v="19.29"/>
    <x v="8"/>
  </r>
  <r>
    <x v="0"/>
    <x v="22"/>
    <x v="0"/>
    <s v="2.63-12.95"/>
    <n v="9"/>
    <n v="12.95"/>
    <n v="2.63"/>
    <n v="5.16"/>
    <n v="7.79"/>
    <x v="8"/>
  </r>
  <r>
    <x v="0"/>
    <x v="23"/>
    <x v="0"/>
    <s v="3.91-23.55"/>
    <n v="15.11"/>
    <n v="23.55"/>
    <n v="3.91"/>
    <n v="9.82"/>
    <n v="13.73"/>
    <x v="9"/>
  </r>
  <r>
    <x v="0"/>
    <x v="24"/>
    <x v="0"/>
    <s v="4.61-16.99"/>
    <n v="11.77"/>
    <n v="16.989999999999998"/>
    <n v="4.6100000000000003"/>
    <n v="6.19"/>
    <n v="10.8"/>
    <x v="9"/>
  </r>
  <r>
    <x v="0"/>
    <x v="25"/>
    <x v="0"/>
    <s v="2.88-18.10"/>
    <n v="12.33"/>
    <n v="18.100000000000001"/>
    <n v="2.88"/>
    <n v="7.61"/>
    <n v="10.49"/>
    <x v="9"/>
  </r>
  <r>
    <x v="0"/>
    <x v="26"/>
    <x v="1"/>
    <s v="5.55-20.33"/>
    <n v="16.14"/>
    <n v="20.329999999999998"/>
    <n v="5.55"/>
    <n v="7.39"/>
    <n v="12.94"/>
    <x v="0"/>
  </r>
  <r>
    <x v="0"/>
    <x v="27"/>
    <x v="1"/>
    <s v="3.69-16.29"/>
    <n v="12.6"/>
    <n v="16.29"/>
    <n v="3.69"/>
    <n v="6.3"/>
    <n v="9.99"/>
    <x v="0"/>
  </r>
  <r>
    <x v="0"/>
    <x v="28"/>
    <x v="1"/>
    <s v="5.29-17.51"/>
    <n v="14.31"/>
    <n v="17.510000000000002"/>
    <n v="5.29"/>
    <n v="6.11"/>
    <n v="11.4"/>
    <x v="1"/>
  </r>
  <r>
    <x v="0"/>
    <x v="29"/>
    <x v="1"/>
    <s v="2.78-16.86"/>
    <n v="12.89"/>
    <n v="16.86"/>
    <n v="2.78"/>
    <n v="7.04"/>
    <n v="9.82"/>
    <x v="1"/>
  </r>
  <r>
    <x v="0"/>
    <x v="30"/>
    <x v="1"/>
    <s v="3.80-14.74"/>
    <n v="11.68"/>
    <n v="14.74"/>
    <n v="3.8"/>
    <n v="5.47"/>
    <n v="9.27"/>
    <x v="2"/>
  </r>
  <r>
    <x v="0"/>
    <x v="31"/>
    <x v="1"/>
    <s v="3.48-13.80"/>
    <n v="10.89"/>
    <n v="13.8"/>
    <n v="3.48"/>
    <n v="5.16"/>
    <n v="8.64"/>
    <x v="2"/>
  </r>
  <r>
    <x v="0"/>
    <x v="32"/>
    <x v="1"/>
    <s v="2.66-13.62"/>
    <n v="10.029999999999999"/>
    <n v="13.62"/>
    <n v="2.66"/>
    <n v="5.48"/>
    <n v="8.14"/>
    <x v="2"/>
  </r>
  <r>
    <x v="0"/>
    <x v="33"/>
    <x v="1"/>
    <s v="8.38-21.58"/>
    <n v="18.48"/>
    <n v="21.58"/>
    <n v="8.3800000000000008"/>
    <n v="6.6"/>
    <n v="14.98"/>
    <x v="3"/>
  </r>
  <r>
    <x v="0"/>
    <x v="34"/>
    <x v="1"/>
    <s v="4.13-20.55"/>
    <n v="15.02"/>
    <n v="20.55"/>
    <n v="4.13"/>
    <n v="8.2100000000000009"/>
    <n v="12.34"/>
    <x v="3"/>
  </r>
  <r>
    <x v="0"/>
    <x v="35"/>
    <x v="1"/>
    <s v="5.31-18.41"/>
    <n v="15.25"/>
    <n v="18.41"/>
    <n v="5.31"/>
    <n v="6.55"/>
    <n v="11.86"/>
    <x v="4"/>
  </r>
  <r>
    <x v="0"/>
    <x v="36"/>
    <x v="1"/>
    <s v="3.28-18.82"/>
    <n v="13.78"/>
    <n v="18.82"/>
    <n v="3.28"/>
    <n v="7.77"/>
    <n v="11.05"/>
    <x v="4"/>
  </r>
  <r>
    <x v="0"/>
    <x v="37"/>
    <x v="1"/>
    <s v="5.94-19.36"/>
    <n v="15.75"/>
    <n v="19.36"/>
    <n v="5.94"/>
    <n v="6.71"/>
    <n v="12.65"/>
    <x v="5"/>
  </r>
  <r>
    <x v="0"/>
    <x v="38"/>
    <x v="1"/>
    <s v="4.01-13.45"/>
    <n v="11.39"/>
    <n v="13.45"/>
    <n v="4.01"/>
    <n v="4.72"/>
    <n v="8.73"/>
    <x v="5"/>
  </r>
  <r>
    <x v="0"/>
    <x v="39"/>
    <x v="1"/>
    <s v="2.59-14.39"/>
    <n v="11.59"/>
    <n v="14.39"/>
    <n v="2.59"/>
    <n v="5.9"/>
    <n v="8.49"/>
    <x v="6"/>
  </r>
  <r>
    <x v="0"/>
    <x v="40"/>
    <x v="1"/>
    <s v="0.99-12.93"/>
    <n v="8.57"/>
    <n v="12.93"/>
    <n v="0.99"/>
    <n v="5.97"/>
    <n v="6.96"/>
    <x v="6"/>
  </r>
  <r>
    <x v="0"/>
    <x v="41"/>
    <x v="1"/>
    <s v="3.33-18.05"/>
    <n v="13.05"/>
    <n v="18.05"/>
    <n v="3.33"/>
    <n v="7.36"/>
    <n v="10.69"/>
    <x v="7"/>
  </r>
  <r>
    <x v="0"/>
    <x v="42"/>
    <x v="1"/>
    <s v="1.74-18.00"/>
    <n v="12.62"/>
    <n v="18"/>
    <n v="1.74"/>
    <n v="8.1300000000000008"/>
    <n v="9.8699999999999992"/>
    <x v="7"/>
  </r>
  <r>
    <x v="0"/>
    <x v="43"/>
    <x v="1"/>
    <s v="3.01-15.31"/>
    <n v="12.08"/>
    <n v="15.31"/>
    <n v="3.01"/>
    <n v="6.15"/>
    <n v="9.16"/>
    <x v="7"/>
  </r>
  <r>
    <x v="0"/>
    <x v="44"/>
    <x v="1"/>
    <s v="2.73-14.39"/>
    <n v="11.04"/>
    <n v="14.39"/>
    <n v="2.73"/>
    <n v="5.83"/>
    <n v="8.56"/>
    <x v="8"/>
  </r>
  <r>
    <x v="0"/>
    <x v="45"/>
    <x v="1"/>
    <s v="1.97-13.21"/>
    <n v="9.8699999999999992"/>
    <n v="13.21"/>
    <n v="1.97"/>
    <n v="5.62"/>
    <n v="7.59"/>
    <x v="8"/>
  </r>
  <r>
    <x v="0"/>
    <x v="46"/>
    <x v="1"/>
    <s v="1.06-14.00"/>
    <n v="9.2200000000000006"/>
    <n v="14"/>
    <n v="1.06"/>
    <n v="6.47"/>
    <n v="7.53"/>
    <x v="8"/>
  </r>
  <r>
    <x v="0"/>
    <x v="47"/>
    <x v="1"/>
    <s v="4.14-15.36"/>
    <n v="11.96"/>
    <n v="15.36"/>
    <n v="4.1399999999999997"/>
    <n v="5.61"/>
    <n v="9.75"/>
    <x v="9"/>
  </r>
  <r>
    <x v="0"/>
    <x v="48"/>
    <x v="1"/>
    <s v="3.11-15.59"/>
    <n v="11.34"/>
    <n v="15.59"/>
    <n v="3.11"/>
    <n v="6.24"/>
    <n v="9.35"/>
    <x v="9"/>
  </r>
  <r>
    <x v="0"/>
    <x v="49"/>
    <x v="2"/>
    <s v="12.15-26.17"/>
    <n v="20.02"/>
    <n v="26.17"/>
    <n v="12.15"/>
    <n v="7.01"/>
    <n v="19.16"/>
    <x v="0"/>
  </r>
  <r>
    <x v="0"/>
    <x v="50"/>
    <x v="2"/>
    <s v="11.22-25.34"/>
    <n v="18.989999999999998"/>
    <n v="25.34"/>
    <n v="11.22"/>
    <n v="7.06"/>
    <n v="18.28"/>
    <x v="1"/>
  </r>
  <r>
    <x v="0"/>
    <x v="51"/>
    <x v="2"/>
    <s v="12.62-27.16"/>
    <n v="20.8"/>
    <n v="27.16"/>
    <n v="12.62"/>
    <n v="7.27"/>
    <n v="19.89"/>
    <x v="2"/>
  </r>
  <r>
    <x v="0"/>
    <x v="52"/>
    <x v="2"/>
    <s v="13.86-24.28"/>
    <n v="19.670000000000002"/>
    <n v="24.28"/>
    <n v="13.86"/>
    <n v="5.21"/>
    <n v="19.07"/>
    <x v="3"/>
  </r>
  <r>
    <x v="0"/>
    <x v="53"/>
    <x v="2"/>
    <s v="9.18-24.16"/>
    <n v="17.3"/>
    <n v="24.16"/>
    <n v="9.18"/>
    <n v="7.49"/>
    <n v="16.670000000000002"/>
    <x v="4"/>
  </r>
  <r>
    <x v="0"/>
    <x v="54"/>
    <x v="2"/>
    <s v="12.92-26.82"/>
    <n v="20.6"/>
    <n v="26.82"/>
    <n v="12.92"/>
    <n v="6.95"/>
    <n v="19.87"/>
    <x v="5"/>
  </r>
  <r>
    <x v="0"/>
    <x v="55"/>
    <x v="2"/>
    <s v="16.53-31.59"/>
    <n v="24.72"/>
    <n v="31.59"/>
    <n v="16.53"/>
    <n v="7.53"/>
    <n v="24.06"/>
    <x v="6"/>
  </r>
  <r>
    <x v="0"/>
    <x v="56"/>
    <x v="2"/>
    <s v="11.19-26.73"/>
    <n v="19.66"/>
    <n v="26.73"/>
    <n v="11.19"/>
    <n v="7.77"/>
    <n v="18.96"/>
    <x v="7"/>
  </r>
  <r>
    <x v="0"/>
    <x v="57"/>
    <x v="2"/>
    <s v="15.55-30.77"/>
    <n v="23.67"/>
    <n v="30.77"/>
    <n v="15.55"/>
    <n v="7.61"/>
    <n v="23.16"/>
    <x v="8"/>
  </r>
  <r>
    <x v="0"/>
    <x v="58"/>
    <x v="2"/>
    <s v="13.26-31.46"/>
    <n v="22.92"/>
    <n v="31.46"/>
    <n v="13.26"/>
    <n v="9.1"/>
    <n v="22.36"/>
    <x v="9"/>
  </r>
  <r>
    <x v="0"/>
    <x v="59"/>
    <x v="3"/>
    <s v="2.90-12.28"/>
    <n v="10.130000000000001"/>
    <n v="12.28"/>
    <n v="2.9"/>
    <n v="4.6900000000000004"/>
    <n v="7.59"/>
    <x v="0"/>
  </r>
  <r>
    <x v="0"/>
    <x v="60"/>
    <x v="3"/>
    <s v="2.40-13.38"/>
    <n v="10.48"/>
    <n v="13.38"/>
    <n v="2.4"/>
    <n v="5.49"/>
    <n v="7.89"/>
    <x v="1"/>
  </r>
  <r>
    <x v="0"/>
    <x v="61"/>
    <x v="3"/>
    <s v="0.28-8.38"/>
    <n v="5.76"/>
    <n v="8.3800000000000008"/>
    <n v="0.28000000000000003"/>
    <n v="4.05"/>
    <n v="4.33"/>
    <x v="2"/>
  </r>
  <r>
    <x v="0"/>
    <x v="62"/>
    <x v="3"/>
    <s v="3.19-15.23"/>
    <n v="12.01"/>
    <n v="15.23"/>
    <n v="3.19"/>
    <n v="6.02"/>
    <n v="9.2100000000000009"/>
    <x v="3"/>
  </r>
  <r>
    <x v="0"/>
    <x v="63"/>
    <x v="3"/>
    <s v="2.76-16.26"/>
    <n v="11.97"/>
    <n v="16.260000000000002"/>
    <n v="2.76"/>
    <n v="6.75"/>
    <n v="9.51"/>
    <x v="4"/>
  </r>
  <r>
    <x v="0"/>
    <x v="64"/>
    <x v="3"/>
    <s v="2.20-12.20"/>
    <n v="9.3000000000000007"/>
    <n v="12.2"/>
    <n v="2.2000000000000002"/>
    <n v="5"/>
    <n v="7.2"/>
    <x v="5"/>
  </r>
  <r>
    <x v="0"/>
    <x v="65"/>
    <x v="3"/>
    <s v="1.13-12.39"/>
    <n v="8.56"/>
    <n v="12.39"/>
    <n v="1.1299999999999999"/>
    <n v="5.63"/>
    <n v="6.76"/>
    <x v="5"/>
  </r>
  <r>
    <x v="0"/>
    <x v="66"/>
    <x v="3"/>
    <s v="6.33-18.73"/>
    <n v="14.8"/>
    <n v="18.73"/>
    <n v="6.33"/>
    <n v="6.2"/>
    <n v="12.53"/>
    <x v="6"/>
  </r>
  <r>
    <x v="0"/>
    <x v="67"/>
    <x v="3"/>
    <s v="0.81-11.31"/>
    <n v="8.32"/>
    <n v="11.31"/>
    <n v="0.81"/>
    <n v="5.25"/>
    <n v="6.06"/>
    <x v="7"/>
  </r>
  <r>
    <x v="0"/>
    <x v="68"/>
    <x v="3"/>
    <s v="3.95-16.39"/>
    <n v="13.02"/>
    <n v="16.39"/>
    <n v="3.95"/>
    <n v="6.22"/>
    <n v="10.17"/>
    <x v="8"/>
  </r>
  <r>
    <x v="0"/>
    <x v="69"/>
    <x v="3"/>
    <s v="0.79-10.03"/>
    <n v="7.55"/>
    <n v="10.029999999999999"/>
    <n v="0.79"/>
    <n v="4.62"/>
    <n v="5.41"/>
    <x v="9"/>
  </r>
  <r>
    <x v="0"/>
    <x v="70"/>
    <x v="4"/>
    <s v="4.09-18.43"/>
    <n v="10.7827"/>
    <n v="18.43"/>
    <n v="4.09"/>
    <n v="7.17"/>
    <n v="10.7827"/>
    <x v="0"/>
  </r>
  <r>
    <x v="0"/>
    <x v="71"/>
    <x v="4"/>
    <s v="2.34-14.12"/>
    <n v="8.2295999999999996"/>
    <n v="14.12"/>
    <n v="2.34"/>
    <n v="5.89"/>
    <n v="8.2295999999999996"/>
    <x v="1"/>
  </r>
  <r>
    <x v="0"/>
    <x v="72"/>
    <x v="4"/>
    <s v="2.89-14.39"/>
    <n v="7.9058999999999999"/>
    <n v="14.39"/>
    <n v="2.89"/>
    <n v="5.75"/>
    <n v="7.9058999999999999"/>
    <x v="2"/>
  </r>
  <r>
    <x v="0"/>
    <x v="73"/>
    <x v="4"/>
    <s v="-0.19-12.55"/>
    <n v="5.9324000000000003"/>
    <n v="12.55"/>
    <n v="-0.19"/>
    <n v="6.37"/>
    <n v="5.9324000000000003"/>
    <x v="3"/>
  </r>
  <r>
    <x v="0"/>
    <x v="74"/>
    <x v="4"/>
    <s v="-1.11-9.47"/>
    <n v="3.9504000000000001"/>
    <n v="9.4700000000000006"/>
    <n v="-1.1100000000000001"/>
    <n v="5.29"/>
    <n v="3.9504000000000001"/>
    <x v="4"/>
  </r>
  <r>
    <x v="0"/>
    <x v="75"/>
    <x v="4"/>
    <s v="5.18-19.26"/>
    <n v="11.738099999999999"/>
    <n v="19.260000000000002"/>
    <n v="5.18"/>
    <n v="7.04"/>
    <n v="11.738099999999999"/>
    <x v="5"/>
  </r>
  <r>
    <x v="0"/>
    <x v="76"/>
    <x v="4"/>
    <s v="3.44-15.00"/>
    <n v="8.8568999999999996"/>
    <n v="15"/>
    <n v="3.44"/>
    <n v="5.78"/>
    <n v="8.8568999999999996"/>
    <x v="6"/>
  </r>
  <r>
    <x v="0"/>
    <x v="77"/>
    <x v="4"/>
    <s v="0.95-10.81"/>
    <n v="5.7610000000000001"/>
    <n v="10.81"/>
    <n v="0.95"/>
    <n v="4.93"/>
    <n v="5.7610000000000001"/>
    <x v="7"/>
  </r>
  <r>
    <x v="0"/>
    <x v="78"/>
    <x v="4"/>
    <s v="0.45-12.99"/>
    <n v="6.1383000000000001"/>
    <n v="12.99"/>
    <n v="0.45"/>
    <n v="6.27"/>
    <n v="6.1383000000000001"/>
    <x v="8"/>
  </r>
  <r>
    <x v="0"/>
    <x v="79"/>
    <x v="4"/>
    <s v="6.47-17.25"/>
    <n v="11.6313"/>
    <n v="17.25"/>
    <n v="6.47"/>
    <n v="5.39"/>
    <n v="11.6313"/>
    <x v="9"/>
  </r>
  <r>
    <x v="0"/>
    <x v="80"/>
    <x v="5"/>
    <s v="4.73-13.83"/>
    <n v="9.2799999999999994"/>
    <n v="13.83"/>
    <n v="4.7300000000000004"/>
    <n v="4.55"/>
    <n v="9.2799999999999994"/>
    <x v="0"/>
  </r>
  <r>
    <x v="0"/>
    <x v="81"/>
    <x v="5"/>
    <s v="6.05-13.95"/>
    <n v="9.99"/>
    <n v="13.95"/>
    <n v="6.05"/>
    <n v="3.95"/>
    <n v="10"/>
    <x v="1"/>
  </r>
  <r>
    <x v="0"/>
    <x v="82"/>
    <x v="5"/>
    <s v="6.39-13.49"/>
    <n v="9.93"/>
    <n v="13.49"/>
    <n v="6.39"/>
    <n v="3.55"/>
    <n v="9.94"/>
    <x v="2"/>
  </r>
  <r>
    <x v="0"/>
    <x v="83"/>
    <x v="5"/>
    <s v="5.07-12.49"/>
    <n v="8.7799999999999994"/>
    <n v="12.49"/>
    <n v="5.07"/>
    <n v="3.71"/>
    <n v="8.7799999999999994"/>
    <x v="3"/>
  </r>
  <r>
    <x v="0"/>
    <x v="84"/>
    <x v="5"/>
    <s v="5.05-11.89"/>
    <n v="8.44"/>
    <n v="11.89"/>
    <n v="5.05"/>
    <n v="3.42"/>
    <n v="8.4700000000000006"/>
    <x v="4"/>
  </r>
  <r>
    <x v="0"/>
    <x v="85"/>
    <x v="5"/>
    <s v="3.57-15.53"/>
    <n v="9.5500000000000007"/>
    <n v="15.53"/>
    <n v="3.57"/>
    <n v="5.98"/>
    <n v="9.5500000000000007"/>
    <x v="5"/>
  </r>
  <r>
    <x v="0"/>
    <x v="86"/>
    <x v="5"/>
    <s v="5.52-13.12"/>
    <n v="9.2799999999999994"/>
    <n v="13.12"/>
    <n v="5.52"/>
    <n v="3.8"/>
    <n v="9.32"/>
    <x v="6"/>
  </r>
  <r>
    <x v="0"/>
    <x v="87"/>
    <x v="5"/>
    <s v="4.34-12.08"/>
    <n v="8.18"/>
    <n v="12.08"/>
    <n v="4.34"/>
    <n v="3.87"/>
    <n v="8.2100000000000009"/>
    <x v="7"/>
  </r>
  <r>
    <x v="0"/>
    <x v="88"/>
    <x v="5"/>
    <s v="3.62-13.50"/>
    <n v="8.5500000000000007"/>
    <n v="13.5"/>
    <n v="3.62"/>
    <n v="4.9400000000000004"/>
    <n v="8.56"/>
    <x v="8"/>
  </r>
  <r>
    <x v="0"/>
    <x v="89"/>
    <x v="5"/>
    <s v="4.84-12.52"/>
    <n v="8.68"/>
    <n v="12.52"/>
    <n v="4.84"/>
    <n v="3.84"/>
    <n v="8.68"/>
    <x v="9"/>
  </r>
  <r>
    <x v="1"/>
    <x v="2"/>
    <x v="0"/>
    <s v="3.69-16.37"/>
    <n v="11.19"/>
    <n v="16.37"/>
    <n v="3.69"/>
    <n v="6.34"/>
    <n v="10.029999999999999"/>
    <x v="0"/>
  </r>
  <r>
    <x v="1"/>
    <x v="90"/>
    <x v="0"/>
    <s v="0.74-17.96"/>
    <n v="10.49"/>
    <n v="17.96"/>
    <n v="0.74"/>
    <n v="8.61"/>
    <n v="9.35"/>
    <x v="0"/>
  </r>
  <r>
    <x v="1"/>
    <x v="3"/>
    <x v="0"/>
    <s v="5.17-24.63"/>
    <n v="17.28"/>
    <n v="24.63"/>
    <n v="5.17"/>
    <n v="9.73"/>
    <n v="14.9"/>
    <x v="1"/>
  </r>
  <r>
    <x v="1"/>
    <x v="5"/>
    <x v="0"/>
    <s v="5.22-16.98"/>
    <n v="12.47"/>
    <n v="16.98"/>
    <n v="5.22"/>
    <n v="5.88"/>
    <n v="11.1"/>
    <x v="1"/>
  </r>
  <r>
    <x v="1"/>
    <x v="4"/>
    <x v="0"/>
    <s v="4.69-15.67"/>
    <n v="11.31"/>
    <n v="15.67"/>
    <n v="4.6900000000000004"/>
    <n v="5.49"/>
    <n v="10.18"/>
    <x v="1"/>
  </r>
  <r>
    <x v="1"/>
    <x v="6"/>
    <x v="0"/>
    <s v="6.82-25.20"/>
    <n v="17.489999999999998"/>
    <n v="25.2"/>
    <n v="6.82"/>
    <n v="9.19"/>
    <n v="16.010000000000002"/>
    <x v="2"/>
  </r>
  <r>
    <x v="1"/>
    <x v="7"/>
    <x v="0"/>
    <s v="4.72-20.68"/>
    <n v="14"/>
    <n v="20.68"/>
    <n v="4.72"/>
    <n v="7.98"/>
    <n v="12.7"/>
    <x v="2"/>
  </r>
  <r>
    <x v="1"/>
    <x v="8"/>
    <x v="0"/>
    <s v="6.32-20.24"/>
    <n v="15.61"/>
    <n v="20.239999999999998"/>
    <n v="6.32"/>
    <n v="6.96"/>
    <n v="13.28"/>
    <x v="3"/>
  </r>
  <r>
    <x v="1"/>
    <x v="10"/>
    <x v="0"/>
    <s v="3.53-15.97"/>
    <n v="10.44"/>
    <n v="15.97"/>
    <n v="3.53"/>
    <n v="6.22"/>
    <n v="9.75"/>
    <x v="3"/>
  </r>
  <r>
    <x v="1"/>
    <x v="9"/>
    <x v="0"/>
    <s v="2.37-16.01"/>
    <n v="10.53"/>
    <n v="16.010000000000002"/>
    <n v="2.37"/>
    <n v="6.82"/>
    <n v="9.19"/>
    <x v="3"/>
  </r>
  <r>
    <x v="1"/>
    <x v="11"/>
    <x v="0"/>
    <s v="9.07-24.87"/>
    <n v="18.149999999999999"/>
    <n v="24.87"/>
    <n v="9.07"/>
    <n v="7.9"/>
    <n v="16.97"/>
    <x v="4"/>
  </r>
  <r>
    <x v="1"/>
    <x v="12"/>
    <x v="0"/>
    <s v="6.01-18.69"/>
    <n v="14.69"/>
    <n v="18.690000000000001"/>
    <n v="6.01"/>
    <n v="6.34"/>
    <n v="12.35"/>
    <x v="4"/>
  </r>
  <r>
    <x v="1"/>
    <x v="15"/>
    <x v="0"/>
    <s v="5.04-13.58"/>
    <n v="10.58"/>
    <n v="13.58"/>
    <n v="5.04"/>
    <n v="4.2699999999999996"/>
    <n v="9.31"/>
    <x v="5"/>
  </r>
  <r>
    <x v="1"/>
    <x v="14"/>
    <x v="0"/>
    <s v="2.30-13.78"/>
    <n v="9.6199999999999992"/>
    <n v="13.78"/>
    <n v="2.2999999999999998"/>
    <n v="5.74"/>
    <n v="8.0399999999999991"/>
    <x v="5"/>
  </r>
  <r>
    <x v="1"/>
    <x v="16"/>
    <x v="0"/>
    <s v="9.14-26.28"/>
    <n v="20.02"/>
    <n v="26.28"/>
    <n v="9.14"/>
    <n v="8.57"/>
    <n v="17.71"/>
    <x v="6"/>
  </r>
  <r>
    <x v="1"/>
    <x v="17"/>
    <x v="0"/>
    <s v="4.03-14.29"/>
    <n v="9.56"/>
    <n v="14.29"/>
    <n v="4.03"/>
    <n v="5.13"/>
    <n v="9.16"/>
    <x v="6"/>
  </r>
  <r>
    <x v="1"/>
    <x v="91"/>
    <x v="0"/>
    <s v="1.97-13.89"/>
    <n v="8.81"/>
    <n v="13.89"/>
    <n v="1.97"/>
    <n v="5.96"/>
    <n v="7.93"/>
    <x v="6"/>
  </r>
  <r>
    <x v="1"/>
    <x v="19"/>
    <x v="0"/>
    <s v="5.25-18.47"/>
    <n v="12.95"/>
    <n v="18.47"/>
    <n v="5.25"/>
    <n v="6.61"/>
    <n v="11.86"/>
    <x v="7"/>
  </r>
  <r>
    <x v="1"/>
    <x v="20"/>
    <x v="0"/>
    <s v="4.98-17.60"/>
    <n v="12.92"/>
    <n v="17.600000000000001"/>
    <n v="4.9800000000000004"/>
    <n v="6.31"/>
    <n v="11.29"/>
    <x v="7"/>
  </r>
  <r>
    <x v="1"/>
    <x v="21"/>
    <x v="0"/>
    <s v="9.97-27.01"/>
    <n v="20.72"/>
    <n v="27.01"/>
    <n v="9.9700000000000006"/>
    <n v="8.52"/>
    <n v="18.489999999999998"/>
    <x v="8"/>
  </r>
  <r>
    <x v="1"/>
    <x v="22"/>
    <x v="0"/>
    <s v="0.53-15.43"/>
    <n v="9.5500000000000007"/>
    <n v="15.43"/>
    <n v="0.53"/>
    <n v="7.45"/>
    <n v="7.98"/>
    <x v="8"/>
  </r>
  <r>
    <x v="1"/>
    <x v="92"/>
    <x v="0"/>
    <s v="3.40-12.18"/>
    <n v="8.6999999999999993"/>
    <n v="12.18"/>
    <n v="3.4"/>
    <n v="4.3899999999999997"/>
    <n v="7.79"/>
    <x v="8"/>
  </r>
  <r>
    <x v="1"/>
    <x v="23"/>
    <x v="0"/>
    <s v="4.05-21.35"/>
    <n v="13.99"/>
    <n v="21.35"/>
    <n v="4.05"/>
    <n v="8.65"/>
    <n v="12.7"/>
    <x v="9"/>
  </r>
  <r>
    <x v="1"/>
    <x v="25"/>
    <x v="0"/>
    <s v="3.28-17.76"/>
    <n v="11.81"/>
    <n v="17.760000000000002"/>
    <n v="3.28"/>
    <n v="7.24"/>
    <n v="10.52"/>
    <x v="9"/>
  </r>
  <r>
    <x v="1"/>
    <x v="24"/>
    <x v="0"/>
    <s v="4.35-15.65"/>
    <n v="11.1"/>
    <n v="15.65"/>
    <n v="4.3499999999999996"/>
    <n v="5.65"/>
    <n v="10"/>
    <x v="9"/>
  </r>
  <r>
    <x v="1"/>
    <x v="26"/>
    <x v="1"/>
    <s v="6.30-21.64"/>
    <n v="17.239999999999998"/>
    <n v="21.64"/>
    <n v="6.3"/>
    <n v="7.67"/>
    <n v="13.97"/>
    <x v="0"/>
  </r>
  <r>
    <x v="1"/>
    <x v="27"/>
    <x v="1"/>
    <s v="4.28-15.14"/>
    <n v="12.05"/>
    <n v="15.14"/>
    <n v="4.28"/>
    <n v="5.43"/>
    <n v="9.7100000000000009"/>
    <x v="0"/>
  </r>
  <r>
    <x v="1"/>
    <x v="93"/>
    <x v="1"/>
    <s v="3.55-14.65"/>
    <n v="11.27"/>
    <n v="14.65"/>
    <n v="3.55"/>
    <n v="5.55"/>
    <n v="9.1"/>
    <x v="0"/>
  </r>
  <r>
    <x v="1"/>
    <x v="28"/>
    <x v="1"/>
    <s v="4.22-16.62"/>
    <n v="13.27"/>
    <n v="16.62"/>
    <n v="4.22"/>
    <n v="6.2"/>
    <n v="10.42"/>
    <x v="1"/>
  </r>
  <r>
    <x v="1"/>
    <x v="29"/>
    <x v="1"/>
    <s v="3.22-15.50"/>
    <n v="12.14"/>
    <n v="15.5"/>
    <n v="3.22"/>
    <n v="6.14"/>
    <n v="9.36"/>
    <x v="1"/>
  </r>
  <r>
    <x v="1"/>
    <x v="31"/>
    <x v="1"/>
    <s v="2.95-16.59"/>
    <n v="11.8"/>
    <n v="16.59"/>
    <n v="2.95"/>
    <n v="6.82"/>
    <n v="9.77"/>
    <x v="2"/>
  </r>
  <r>
    <x v="1"/>
    <x v="94"/>
    <x v="1"/>
    <s v="1.11-15.91"/>
    <n v="10.71"/>
    <n v="15.91"/>
    <n v="1.1100000000000001"/>
    <n v="7.4"/>
    <n v="8.51"/>
    <x v="2"/>
  </r>
  <r>
    <x v="1"/>
    <x v="32"/>
    <x v="1"/>
    <s v="2.68-13.20"/>
    <n v="10.029999999999999"/>
    <n v="13.2"/>
    <n v="2.68"/>
    <n v="5.26"/>
    <n v="7.94"/>
    <x v="2"/>
  </r>
  <r>
    <x v="1"/>
    <x v="33"/>
    <x v="1"/>
    <s v="5.33-19.47"/>
    <n v="15.34"/>
    <n v="19.47"/>
    <n v="5.33"/>
    <n v="7.07"/>
    <n v="12.4"/>
    <x v="3"/>
  </r>
  <r>
    <x v="1"/>
    <x v="34"/>
    <x v="1"/>
    <s v="4.16-17.18"/>
    <n v="13.32"/>
    <n v="17.18"/>
    <n v="4.16"/>
    <n v="6.51"/>
    <n v="10.67"/>
    <x v="3"/>
  </r>
  <r>
    <x v="1"/>
    <x v="35"/>
    <x v="1"/>
    <s v="6.79-19.15"/>
    <n v="16.43"/>
    <n v="19.149999999999999"/>
    <n v="6.79"/>
    <n v="6.18"/>
    <n v="12.97"/>
    <x v="4"/>
  </r>
  <r>
    <x v="1"/>
    <x v="36"/>
    <x v="1"/>
    <s v="2.48-17.58"/>
    <n v="12.67"/>
    <n v="17.579999999999998"/>
    <n v="2.48"/>
    <n v="7.55"/>
    <n v="10.029999999999999"/>
    <x v="4"/>
  </r>
  <r>
    <x v="1"/>
    <x v="95"/>
    <x v="1"/>
    <s v="2.68-16.42"/>
    <n v="11.65"/>
    <n v="16.420000000000002"/>
    <n v="2.68"/>
    <n v="6.87"/>
    <n v="9.5500000000000007"/>
    <x v="4"/>
  </r>
  <r>
    <x v="1"/>
    <x v="37"/>
    <x v="1"/>
    <s v="3.24-17.18"/>
    <n v="12.98"/>
    <n v="17.18"/>
    <n v="3.24"/>
    <n v="6.97"/>
    <n v="10.210000000000001"/>
    <x v="5"/>
  </r>
  <r>
    <x v="1"/>
    <x v="38"/>
    <x v="1"/>
    <s v="5.10-14.38"/>
    <n v="12.42"/>
    <n v="14.38"/>
    <n v="5.0999999999999996"/>
    <n v="4.6399999999999997"/>
    <n v="9.74"/>
    <x v="5"/>
  </r>
  <r>
    <x v="1"/>
    <x v="96"/>
    <x v="1"/>
    <s v="1.50-14.66"/>
    <n v="10.63"/>
    <n v="14.66"/>
    <n v="1.5"/>
    <n v="6.58"/>
    <n v="8.08"/>
    <x v="5"/>
  </r>
  <r>
    <x v="1"/>
    <x v="39"/>
    <x v="1"/>
    <s v="3.48-16.06"/>
    <n v="13.23"/>
    <n v="16.059999999999999"/>
    <n v="3.48"/>
    <n v="6.29"/>
    <n v="9.77"/>
    <x v="6"/>
  </r>
  <r>
    <x v="1"/>
    <x v="97"/>
    <x v="1"/>
    <s v="2.85-11.03"/>
    <n v="9.44"/>
    <n v="11.03"/>
    <n v="2.85"/>
    <n v="4.09"/>
    <n v="6.94"/>
    <x v="6"/>
  </r>
  <r>
    <x v="1"/>
    <x v="43"/>
    <x v="1"/>
    <s v="5.50-20.80"/>
    <n v="16.5"/>
    <n v="20.8"/>
    <n v="5.5"/>
    <n v="7.65"/>
    <n v="13.15"/>
    <x v="7"/>
  </r>
  <r>
    <x v="1"/>
    <x v="42"/>
    <x v="1"/>
    <s v="2.93-20.61"/>
    <n v="14.82"/>
    <n v="20.61"/>
    <n v="2.93"/>
    <n v="8.84"/>
    <n v="11.77"/>
    <x v="7"/>
  </r>
  <r>
    <x v="1"/>
    <x v="41"/>
    <x v="1"/>
    <s v="3.34-15.96"/>
    <n v="11.91"/>
    <n v="15.96"/>
    <n v="3.34"/>
    <n v="6.31"/>
    <n v="9.65"/>
    <x v="7"/>
  </r>
  <r>
    <x v="1"/>
    <x v="46"/>
    <x v="1"/>
    <s v="2.01-15.19"/>
    <n v="10.92"/>
    <n v="15.19"/>
    <n v="2.0099999999999998"/>
    <n v="6.59"/>
    <n v="8.6"/>
    <x v="8"/>
  </r>
  <r>
    <x v="1"/>
    <x v="44"/>
    <x v="1"/>
    <s v="2.89-14.03"/>
    <n v="10.64"/>
    <n v="14.03"/>
    <n v="2.89"/>
    <n v="5.57"/>
    <n v="8.4600000000000009"/>
    <x v="8"/>
  </r>
  <r>
    <x v="1"/>
    <x v="98"/>
    <x v="1"/>
    <s v="4.36-15.34"/>
    <n v="12.36"/>
    <n v="15.34"/>
    <n v="4.3600000000000003"/>
    <n v="5.49"/>
    <n v="9.85"/>
    <x v="9"/>
  </r>
  <r>
    <x v="1"/>
    <x v="47"/>
    <x v="1"/>
    <s v="3.75-15.81"/>
    <n v="12.07"/>
    <n v="15.81"/>
    <n v="3.75"/>
    <n v="6.03"/>
    <n v="9.7799999999999994"/>
    <x v="9"/>
  </r>
  <r>
    <x v="1"/>
    <x v="49"/>
    <x v="2"/>
    <s v="12.29-25.61"/>
    <n v="19.809999999999999"/>
    <n v="25.61"/>
    <n v="12.29"/>
    <n v="6.66"/>
    <n v="18.95"/>
    <x v="0"/>
  </r>
  <r>
    <x v="1"/>
    <x v="50"/>
    <x v="2"/>
    <s v="10.23-27.05"/>
    <n v="19.48"/>
    <n v="27.05"/>
    <n v="10.23"/>
    <n v="8.41"/>
    <n v="18.64"/>
    <x v="1"/>
  </r>
  <r>
    <x v="1"/>
    <x v="99"/>
    <x v="2"/>
    <s v="13.53-26.95"/>
    <n v="20.71"/>
    <n v="26.95"/>
    <n v="13.53"/>
    <n v="6.71"/>
    <n v="20.239999999999998"/>
    <x v="2"/>
  </r>
  <r>
    <x v="1"/>
    <x v="52"/>
    <x v="2"/>
    <s v="12.02-24.62"/>
    <n v="18.97"/>
    <n v="24.62"/>
    <n v="12.02"/>
    <n v="6.3"/>
    <n v="18.32"/>
    <x v="3"/>
  </r>
  <r>
    <x v="1"/>
    <x v="100"/>
    <x v="2"/>
    <s v="9.70-21.06"/>
    <n v="16.21"/>
    <n v="21.06"/>
    <n v="9.6999999999999993"/>
    <n v="5.68"/>
    <n v="15.38"/>
    <x v="4"/>
  </r>
  <r>
    <x v="1"/>
    <x v="54"/>
    <x v="2"/>
    <s v="11.15-25.29"/>
    <n v="19.04"/>
    <n v="25.29"/>
    <n v="11.15"/>
    <n v="7.07"/>
    <n v="18.22"/>
    <x v="5"/>
  </r>
  <r>
    <x v="1"/>
    <x v="55"/>
    <x v="2"/>
    <s v="17.59-30.25"/>
    <n v="24.42"/>
    <n v="30.25"/>
    <n v="17.59"/>
    <n v="6.33"/>
    <n v="23.92"/>
    <x v="6"/>
  </r>
  <r>
    <x v="1"/>
    <x v="56"/>
    <x v="2"/>
    <s v="11.13-26.05"/>
    <n v="19.27"/>
    <n v="26.05"/>
    <n v="11.13"/>
    <n v="7.46"/>
    <n v="18.59"/>
    <x v="7"/>
  </r>
  <r>
    <x v="1"/>
    <x v="57"/>
    <x v="2"/>
    <s v="10.99-25.97"/>
    <n v="19.46"/>
    <n v="25.97"/>
    <n v="10.99"/>
    <n v="7.49"/>
    <n v="18.48"/>
    <x v="8"/>
  </r>
  <r>
    <x v="1"/>
    <x v="101"/>
    <x v="2"/>
    <s v="7.08-24.68"/>
    <n v="16.739999999999998"/>
    <n v="24.68"/>
    <n v="7.08"/>
    <n v="8.8000000000000007"/>
    <n v="15.88"/>
    <x v="9"/>
  </r>
  <r>
    <x v="1"/>
    <x v="102"/>
    <x v="3"/>
    <s v="-0.14-9.88"/>
    <n v="6.81"/>
    <n v="9.8800000000000008"/>
    <n v="-0.14000000000000001"/>
    <n v="5.01"/>
    <n v="4.87"/>
    <x v="0"/>
  </r>
  <r>
    <x v="1"/>
    <x v="60"/>
    <x v="3"/>
    <s v="1.63-12.03"/>
    <n v="8.8800000000000008"/>
    <n v="12.03"/>
    <n v="1.63"/>
    <n v="5.2"/>
    <n v="6.83"/>
    <x v="1"/>
  </r>
  <r>
    <x v="1"/>
    <x v="61"/>
    <x v="3"/>
    <s v="0.53-8.89"/>
    <n v="6.18"/>
    <n v="8.89"/>
    <n v="0.53"/>
    <n v="4.18"/>
    <n v="4.71"/>
    <x v="2"/>
  </r>
  <r>
    <x v="1"/>
    <x v="62"/>
    <x v="3"/>
    <s v="2.25-13.25"/>
    <n v="10.36"/>
    <n v="13.25"/>
    <n v="2.25"/>
    <n v="5.5"/>
    <n v="7.75"/>
    <x v="3"/>
  </r>
  <r>
    <x v="1"/>
    <x v="103"/>
    <x v="3"/>
    <s v="-0.34-9.80"/>
    <n v="6.15"/>
    <n v="9.8000000000000007"/>
    <n v="-0.34"/>
    <n v="5.07"/>
    <n v="4.7300000000000004"/>
    <x v="4"/>
  </r>
  <r>
    <x v="1"/>
    <x v="65"/>
    <x v="3"/>
    <s v="1.03-11.95"/>
    <n v="8.4"/>
    <n v="11.95"/>
    <n v="1.03"/>
    <n v="5.46"/>
    <n v="6.49"/>
    <x v="5"/>
  </r>
  <r>
    <x v="1"/>
    <x v="66"/>
    <x v="3"/>
    <s v="3.00-14.94"/>
    <n v="11.15"/>
    <n v="14.94"/>
    <n v="3"/>
    <n v="5.97"/>
    <n v="8.9700000000000006"/>
    <x v="6"/>
  </r>
  <r>
    <x v="1"/>
    <x v="67"/>
    <x v="3"/>
    <s v="1.25-11.87"/>
    <n v="8.9"/>
    <n v="11.87"/>
    <n v="1.25"/>
    <n v="5.31"/>
    <n v="6.56"/>
    <x v="7"/>
  </r>
  <r>
    <x v="1"/>
    <x v="68"/>
    <x v="3"/>
    <s v="3.72-14.06"/>
    <n v="11.66"/>
    <n v="14.06"/>
    <n v="3.72"/>
    <n v="5.17"/>
    <n v="8.89"/>
    <x v="8"/>
  </r>
  <r>
    <x v="1"/>
    <x v="69"/>
    <x v="3"/>
    <s v="1.13-13.07"/>
    <n v="9.33"/>
    <n v="13.07"/>
    <n v="1.1299999999999999"/>
    <n v="5.97"/>
    <n v="7.1"/>
    <x v="9"/>
  </r>
  <r>
    <x v="1"/>
    <x v="70"/>
    <x v="4"/>
    <s v="2.99-16.13"/>
    <n v="9.4217999999999993"/>
    <n v="16.13"/>
    <n v="2.99"/>
    <n v="6.57"/>
    <n v="9.4217999999999993"/>
    <x v="0"/>
  </r>
  <r>
    <x v="1"/>
    <x v="71"/>
    <x v="4"/>
    <s v="2.72-15.64"/>
    <n v="8.0958000000000006"/>
    <n v="15.64"/>
    <n v="2.72"/>
    <n v="6.46"/>
    <n v="8.0958000000000006"/>
    <x v="1"/>
  </r>
  <r>
    <x v="1"/>
    <x v="72"/>
    <x v="4"/>
    <s v="3.61-15.35"/>
    <n v="8.9517000000000007"/>
    <n v="15.35"/>
    <n v="3.61"/>
    <n v="5.87"/>
    <n v="8.9517000000000007"/>
    <x v="2"/>
  </r>
  <r>
    <x v="1"/>
    <x v="73"/>
    <x v="4"/>
    <s v="0.57-10.59"/>
    <n v="5.2218"/>
    <n v="10.59"/>
    <n v="0.56999999999999995"/>
    <n v="5.01"/>
    <n v="5.2218"/>
    <x v="3"/>
  </r>
  <r>
    <x v="1"/>
    <x v="74"/>
    <x v="4"/>
    <s v="2.99-16.23"/>
    <n v="9.3995999999999995"/>
    <n v="16.23"/>
    <n v="2.99"/>
    <n v="6.62"/>
    <n v="9.3995999999999995"/>
    <x v="4"/>
  </r>
  <r>
    <x v="1"/>
    <x v="104"/>
    <x v="4"/>
    <s v="1.37-17.85"/>
    <n v="9.3242999999999991"/>
    <n v="17.850000000000001"/>
    <n v="1.37"/>
    <n v="8.24"/>
    <n v="9.3242999999999991"/>
    <x v="5"/>
  </r>
  <r>
    <x v="1"/>
    <x v="76"/>
    <x v="4"/>
    <s v="6.96-19.84"/>
    <n v="12.7819"/>
    <n v="19.84"/>
    <n v="6.96"/>
    <n v="6.44"/>
    <n v="12.7819"/>
    <x v="6"/>
  </r>
  <r>
    <x v="1"/>
    <x v="77"/>
    <x v="4"/>
    <s v="1.88-15.58"/>
    <n v="8.4761000000000006"/>
    <n v="15.58"/>
    <n v="1.88"/>
    <n v="6.85"/>
    <n v="8.4761000000000006"/>
    <x v="7"/>
  </r>
  <r>
    <x v="1"/>
    <x v="78"/>
    <x v="4"/>
    <s v="2.66-15.96"/>
    <n v="8.6176999999999992"/>
    <n v="15.96"/>
    <n v="2.66"/>
    <n v="6.65"/>
    <n v="8.6176999999999992"/>
    <x v="8"/>
  </r>
  <r>
    <x v="1"/>
    <x v="79"/>
    <x v="4"/>
    <s v="2.66-14.68"/>
    <n v="8.5546000000000006"/>
    <n v="14.68"/>
    <n v="2.66"/>
    <n v="6.01"/>
    <n v="8.5546000000000006"/>
    <x v="9"/>
  </r>
  <r>
    <x v="1"/>
    <x v="80"/>
    <x v="5"/>
    <s v="5.13-14.41"/>
    <n v="9.76"/>
    <n v="14.41"/>
    <n v="5.13"/>
    <n v="4.6399999999999997"/>
    <n v="9.77"/>
    <x v="0"/>
  </r>
  <r>
    <x v="1"/>
    <x v="81"/>
    <x v="5"/>
    <s v="5.16-13.06"/>
    <n v="9.08"/>
    <n v="13.06"/>
    <n v="5.16"/>
    <n v="3.95"/>
    <n v="9.11"/>
    <x v="1"/>
  </r>
  <r>
    <x v="1"/>
    <x v="82"/>
    <x v="5"/>
    <s v="4.11-13.67"/>
    <n v="8.9"/>
    <n v="13.67"/>
    <n v="4.1100000000000003"/>
    <n v="4.78"/>
    <n v="8.89"/>
    <x v="2"/>
  </r>
  <r>
    <x v="1"/>
    <x v="83"/>
    <x v="5"/>
    <s v="4.34-12.70"/>
    <n v="8.5500000000000007"/>
    <n v="12.7"/>
    <n v="4.34"/>
    <n v="4.18"/>
    <n v="8.52"/>
    <x v="3"/>
  </r>
  <r>
    <x v="1"/>
    <x v="84"/>
    <x v="5"/>
    <s v="5.56-14.44"/>
    <n v="10.01"/>
    <n v="14.44"/>
    <n v="5.56"/>
    <n v="4.4400000000000004"/>
    <n v="10"/>
    <x v="4"/>
  </r>
  <r>
    <x v="1"/>
    <x v="85"/>
    <x v="5"/>
    <s v="3.98-14.66"/>
    <n v="9.36"/>
    <n v="14.66"/>
    <n v="3.98"/>
    <n v="5.34"/>
    <n v="9.32"/>
    <x v="5"/>
  </r>
  <r>
    <x v="1"/>
    <x v="86"/>
    <x v="5"/>
    <s v="4.42-13.24"/>
    <n v="8.84"/>
    <n v="13.24"/>
    <n v="4.42"/>
    <n v="4.41"/>
    <n v="8.83"/>
    <x v="6"/>
  </r>
  <r>
    <x v="1"/>
    <x v="87"/>
    <x v="5"/>
    <s v="4.55-11.35"/>
    <n v="7.97"/>
    <n v="11.35"/>
    <n v="4.55"/>
    <n v="3.4"/>
    <n v="7.95"/>
    <x v="7"/>
  </r>
  <r>
    <x v="1"/>
    <x v="88"/>
    <x v="5"/>
    <s v="3.33-12.71"/>
    <n v="7.96"/>
    <n v="12.71"/>
    <n v="3.33"/>
    <n v="4.6900000000000004"/>
    <n v="8.02"/>
    <x v="8"/>
  </r>
  <r>
    <x v="1"/>
    <x v="89"/>
    <x v="5"/>
    <s v="5.47-14.09"/>
    <n v="9.74"/>
    <n v="14.09"/>
    <n v="5.47"/>
    <n v="4.3099999999999996"/>
    <n v="9.7799999999999994"/>
    <x v="9"/>
  </r>
  <r>
    <x v="2"/>
    <x v="1"/>
    <x v="0"/>
    <s v="5.43-19.07"/>
    <n v="13.43"/>
    <n v="19.07"/>
    <n v="5.43"/>
    <n v="6.82"/>
    <n v="12.25"/>
    <x v="0"/>
  </r>
  <r>
    <x v="2"/>
    <x v="90"/>
    <x v="0"/>
    <s v="-0.03-17.75"/>
    <n v="10.220000000000001"/>
    <n v="17.75"/>
    <n v="-0.03"/>
    <n v="8.89"/>
    <n v="8.86"/>
    <x v="0"/>
  </r>
  <r>
    <x v="2"/>
    <x v="2"/>
    <x v="0"/>
    <s v="3.09-13.25"/>
    <n v="9.14"/>
    <n v="13.25"/>
    <n v="3.09"/>
    <n v="5.08"/>
    <n v="8.17"/>
    <x v="0"/>
  </r>
  <r>
    <x v="2"/>
    <x v="3"/>
    <x v="0"/>
    <s v="6.11-21.33"/>
    <n v="16.3"/>
    <n v="21.33"/>
    <n v="6.11"/>
    <n v="7.61"/>
    <n v="13.72"/>
    <x v="1"/>
  </r>
  <r>
    <x v="2"/>
    <x v="5"/>
    <x v="0"/>
    <s v="4.67-22.69"/>
    <n v="15.11"/>
    <n v="22.69"/>
    <n v="4.67"/>
    <n v="9.01"/>
    <n v="13.68"/>
    <x v="1"/>
  </r>
  <r>
    <x v="2"/>
    <x v="7"/>
    <x v="0"/>
    <s v="5.95-24.85"/>
    <n v="16.579999999999998"/>
    <n v="24.85"/>
    <n v="5.95"/>
    <n v="9.4499999999999993"/>
    <n v="15.4"/>
    <x v="2"/>
  </r>
  <r>
    <x v="2"/>
    <x v="6"/>
    <x v="0"/>
    <s v="4.97-20.63"/>
    <n v="14.36"/>
    <n v="20.63"/>
    <n v="4.97"/>
    <n v="7.83"/>
    <n v="12.8"/>
    <x v="2"/>
  </r>
  <r>
    <x v="2"/>
    <x v="10"/>
    <x v="0"/>
    <s v="4.68-17.94"/>
    <n v="11.88"/>
    <n v="17.940000000000001"/>
    <n v="4.68"/>
    <n v="6.63"/>
    <n v="11.31"/>
    <x v="3"/>
  </r>
  <r>
    <x v="2"/>
    <x v="8"/>
    <x v="0"/>
    <s v="5.15-17.45"/>
    <n v="13.23"/>
    <n v="17.45"/>
    <n v="5.15"/>
    <n v="6.15"/>
    <n v="11.3"/>
    <x v="3"/>
  </r>
  <r>
    <x v="2"/>
    <x v="11"/>
    <x v="0"/>
    <s v="8.78-22.64"/>
    <n v="16.96"/>
    <n v="22.64"/>
    <n v="8.7799999999999994"/>
    <n v="6.93"/>
    <n v="15.71"/>
    <x v="4"/>
  </r>
  <r>
    <x v="2"/>
    <x v="12"/>
    <x v="0"/>
    <s v="6.56-19.30"/>
    <n v="15.34"/>
    <n v="19.3"/>
    <n v="6.56"/>
    <n v="6.37"/>
    <n v="12.93"/>
    <x v="4"/>
  </r>
  <r>
    <x v="2"/>
    <x v="13"/>
    <x v="0"/>
    <s v="1.40-18.42"/>
    <n v="11.3"/>
    <n v="18.420000000000002"/>
    <n v="1.4"/>
    <n v="8.51"/>
    <n v="9.91"/>
    <x v="4"/>
  </r>
  <r>
    <x v="2"/>
    <x v="15"/>
    <x v="0"/>
    <s v="7.75-25.43"/>
    <n v="19.309999999999999"/>
    <n v="25.43"/>
    <n v="7.75"/>
    <n v="8.84"/>
    <n v="16.59"/>
    <x v="5"/>
  </r>
  <r>
    <x v="2"/>
    <x v="14"/>
    <x v="0"/>
    <s v="-0.04-12.26"/>
    <n v="7.42"/>
    <n v="12.26"/>
    <n v="-0.04"/>
    <n v="6.15"/>
    <n v="6.11"/>
    <x v="5"/>
  </r>
  <r>
    <x v="2"/>
    <x v="16"/>
    <x v="0"/>
    <s v="8.69-25.91"/>
    <n v="19.64"/>
    <n v="25.91"/>
    <n v="8.69"/>
    <n v="8.61"/>
    <n v="17.3"/>
    <x v="6"/>
  </r>
  <r>
    <x v="2"/>
    <x v="17"/>
    <x v="0"/>
    <s v="3.27-14.13"/>
    <n v="9.24"/>
    <n v="14.13"/>
    <n v="3.27"/>
    <n v="5.43"/>
    <n v="8.6999999999999993"/>
    <x v="6"/>
  </r>
  <r>
    <x v="2"/>
    <x v="20"/>
    <x v="0"/>
    <s v="5.31-15.25"/>
    <n v="11.36"/>
    <n v="15.25"/>
    <n v="5.31"/>
    <n v="4.97"/>
    <n v="10.28"/>
    <x v="7"/>
  </r>
  <r>
    <x v="2"/>
    <x v="19"/>
    <x v="0"/>
    <s v="3.49-14.69"/>
    <n v="9.98"/>
    <n v="14.69"/>
    <n v="3.49"/>
    <n v="5.6"/>
    <n v="9.09"/>
    <x v="7"/>
  </r>
  <r>
    <x v="2"/>
    <x v="21"/>
    <x v="0"/>
    <s v="8.57-24.73"/>
    <n v="19.11"/>
    <n v="24.73"/>
    <n v="8.57"/>
    <n v="8.08"/>
    <n v="16.649999999999999"/>
    <x v="8"/>
  </r>
  <r>
    <x v="2"/>
    <x v="22"/>
    <x v="0"/>
    <s v="0.46-17.62"/>
    <n v="10.59"/>
    <n v="17.62"/>
    <n v="0.46"/>
    <n v="8.58"/>
    <n v="9.0399999999999991"/>
    <x v="8"/>
  </r>
  <r>
    <x v="2"/>
    <x v="23"/>
    <x v="0"/>
    <s v="6.22-23.30"/>
    <n v="16.07"/>
    <n v="23.3"/>
    <n v="6.22"/>
    <n v="8.5399999999999991"/>
    <n v="14.76"/>
    <x v="9"/>
  </r>
  <r>
    <x v="2"/>
    <x v="25"/>
    <x v="0"/>
    <s v="2.96-17.30"/>
    <n v="11.89"/>
    <n v="17.3"/>
    <n v="2.96"/>
    <n v="7.17"/>
    <n v="10.130000000000001"/>
    <x v="9"/>
  </r>
  <r>
    <x v="2"/>
    <x v="105"/>
    <x v="0"/>
    <s v="2.62-14.84"/>
    <n v="9.8000000000000007"/>
    <n v="14.84"/>
    <n v="2.62"/>
    <n v="6.11"/>
    <n v="8.73"/>
    <x v="9"/>
  </r>
  <r>
    <x v="2"/>
    <x v="26"/>
    <x v="1"/>
    <s v="4.85-21.03"/>
    <n v="16.12"/>
    <n v="21.03"/>
    <n v="4.8499999999999996"/>
    <n v="8.09"/>
    <n v="12.94"/>
    <x v="0"/>
  </r>
  <r>
    <x v="2"/>
    <x v="27"/>
    <x v="1"/>
    <s v="4.17-15.79"/>
    <n v="12.72"/>
    <n v="15.79"/>
    <n v="4.17"/>
    <n v="5.81"/>
    <n v="9.98"/>
    <x v="0"/>
  </r>
  <r>
    <x v="2"/>
    <x v="28"/>
    <x v="1"/>
    <s v="3.65-15.59"/>
    <n v="12.39"/>
    <n v="15.59"/>
    <n v="3.65"/>
    <n v="5.97"/>
    <n v="9.6199999999999992"/>
    <x v="1"/>
  </r>
  <r>
    <x v="2"/>
    <x v="106"/>
    <x v="1"/>
    <s v="4.44-14.40"/>
    <n v="12.7"/>
    <n v="14.4"/>
    <n v="4.4400000000000004"/>
    <n v="4.9800000000000004"/>
    <n v="9.42"/>
    <x v="1"/>
  </r>
  <r>
    <x v="2"/>
    <x v="29"/>
    <x v="1"/>
    <s v="2.20-16.22"/>
    <n v="12.02"/>
    <n v="16.22"/>
    <n v="2.2000000000000002"/>
    <n v="7.01"/>
    <n v="9.2100000000000009"/>
    <x v="1"/>
  </r>
  <r>
    <x v="2"/>
    <x v="31"/>
    <x v="1"/>
    <s v="3.75-14.45"/>
    <n v="11.12"/>
    <n v="14.45"/>
    <n v="3.75"/>
    <n v="5.35"/>
    <n v="9.1"/>
    <x v="2"/>
  </r>
  <r>
    <x v="2"/>
    <x v="94"/>
    <x v="1"/>
    <s v="1.07-16.87"/>
    <n v="11.15"/>
    <n v="16.87"/>
    <n v="1.07"/>
    <n v="7.9"/>
    <n v="8.9700000000000006"/>
    <x v="2"/>
  </r>
  <r>
    <x v="2"/>
    <x v="32"/>
    <x v="1"/>
    <s v="2.86-11.02"/>
    <n v="8.7200000000000006"/>
    <n v="11.02"/>
    <n v="2.86"/>
    <n v="4.08"/>
    <n v="6.94"/>
    <x v="2"/>
  </r>
  <r>
    <x v="2"/>
    <x v="33"/>
    <x v="1"/>
    <s v="6.72-18.08"/>
    <n v="15.31"/>
    <n v="18.079999999999998"/>
    <n v="6.72"/>
    <n v="5.68"/>
    <n v="12.4"/>
    <x v="3"/>
  </r>
  <r>
    <x v="2"/>
    <x v="34"/>
    <x v="1"/>
    <s v="3.92-19.48"/>
    <n v="14.39"/>
    <n v="19.48"/>
    <n v="3.92"/>
    <n v="7.78"/>
    <n v="11.7"/>
    <x v="3"/>
  </r>
  <r>
    <x v="2"/>
    <x v="107"/>
    <x v="1"/>
    <s v="1.90-18.30"/>
    <n v="13.15"/>
    <n v="18.3"/>
    <n v="1.9"/>
    <n v="8.1999999999999993"/>
    <n v="10.1"/>
    <x v="3"/>
  </r>
  <r>
    <x v="2"/>
    <x v="35"/>
    <x v="1"/>
    <s v="4.99-17.99"/>
    <n v="14.74"/>
    <n v="17.989999999999998"/>
    <n v="4.99"/>
    <n v="6.5"/>
    <n v="11.49"/>
    <x v="4"/>
  </r>
  <r>
    <x v="2"/>
    <x v="95"/>
    <x v="1"/>
    <s v="3.40-16.44"/>
    <n v="12.41"/>
    <n v="16.440000000000001"/>
    <n v="3.4"/>
    <n v="6.52"/>
    <n v="9.92"/>
    <x v="4"/>
  </r>
  <r>
    <x v="2"/>
    <x v="37"/>
    <x v="1"/>
    <s v="2.47-17.23"/>
    <n v="12.48"/>
    <n v="17.23"/>
    <n v="2.4700000000000002"/>
    <n v="7.38"/>
    <n v="9.85"/>
    <x v="5"/>
  </r>
  <r>
    <x v="2"/>
    <x v="38"/>
    <x v="1"/>
    <s v="3.21-12.95"/>
    <n v="10.76"/>
    <n v="12.95"/>
    <n v="3.21"/>
    <n v="4.87"/>
    <n v="8.08"/>
    <x v="5"/>
  </r>
  <r>
    <x v="2"/>
    <x v="96"/>
    <x v="1"/>
    <s v="0.71-12.83"/>
    <n v="8.98"/>
    <n v="12.83"/>
    <n v="0.71"/>
    <n v="6.06"/>
    <n v="6.77"/>
    <x v="5"/>
  </r>
  <r>
    <x v="2"/>
    <x v="39"/>
    <x v="1"/>
    <s v="2.61-14.27"/>
    <n v="11.46"/>
    <n v="14.27"/>
    <n v="2.61"/>
    <n v="5.83"/>
    <n v="8.44"/>
    <x v="6"/>
  </r>
  <r>
    <x v="2"/>
    <x v="97"/>
    <x v="1"/>
    <s v="2.97-13.71"/>
    <n v="11.17"/>
    <n v="13.71"/>
    <n v="2.97"/>
    <n v="5.37"/>
    <n v="8.34"/>
    <x v="6"/>
  </r>
  <r>
    <x v="2"/>
    <x v="40"/>
    <x v="1"/>
    <s v="-0.15-12.41"/>
    <n v="7.62"/>
    <n v="12.41"/>
    <n v="-0.15"/>
    <n v="6.28"/>
    <n v="6.13"/>
    <x v="6"/>
  </r>
  <r>
    <x v="2"/>
    <x v="42"/>
    <x v="1"/>
    <s v="4.62-22.48"/>
    <n v="16.739999999999998"/>
    <n v="22.48"/>
    <n v="4.62"/>
    <n v="8.93"/>
    <n v="13.55"/>
    <x v="7"/>
  </r>
  <r>
    <x v="2"/>
    <x v="43"/>
    <x v="1"/>
    <s v="5.03-21.03"/>
    <n v="16.22"/>
    <n v="21.03"/>
    <n v="5.03"/>
    <n v="8"/>
    <n v="13.03"/>
    <x v="7"/>
  </r>
  <r>
    <x v="2"/>
    <x v="108"/>
    <x v="1"/>
    <s v="1.57-15.01"/>
    <n v="10.199999999999999"/>
    <n v="15.01"/>
    <n v="1.57"/>
    <n v="6.72"/>
    <n v="8.2899999999999991"/>
    <x v="7"/>
  </r>
  <r>
    <x v="2"/>
    <x v="46"/>
    <x v="1"/>
    <s v="1.74-16.00"/>
    <n v="10.85"/>
    <n v="16"/>
    <n v="1.74"/>
    <n v="7.13"/>
    <n v="8.8699999999999992"/>
    <x v="8"/>
  </r>
  <r>
    <x v="2"/>
    <x v="44"/>
    <x v="1"/>
    <s v="3.05-13.21"/>
    <n v="10.46"/>
    <n v="13.21"/>
    <n v="3.05"/>
    <n v="5.08"/>
    <n v="8.1300000000000008"/>
    <x v="8"/>
  </r>
  <r>
    <x v="2"/>
    <x v="109"/>
    <x v="1"/>
    <s v="1.50-11.58"/>
    <n v="8.48"/>
    <n v="11.58"/>
    <n v="1.5"/>
    <n v="5.04"/>
    <n v="6.54"/>
    <x v="8"/>
  </r>
  <r>
    <x v="2"/>
    <x v="98"/>
    <x v="1"/>
    <s v="4.34-18.88"/>
    <n v="14.08"/>
    <n v="18.88"/>
    <n v="4.34"/>
    <n v="7.27"/>
    <n v="11.61"/>
    <x v="9"/>
  </r>
  <r>
    <x v="2"/>
    <x v="48"/>
    <x v="1"/>
    <s v="2.48-15.20"/>
    <n v="10.93"/>
    <n v="15.2"/>
    <n v="2.48"/>
    <n v="6.36"/>
    <n v="8.84"/>
    <x v="9"/>
  </r>
  <r>
    <x v="2"/>
    <x v="49"/>
    <x v="2"/>
    <s v="13.31-27.49"/>
    <n v="21.32"/>
    <n v="27.49"/>
    <n v="13.31"/>
    <n v="7.09"/>
    <n v="20.399999999999999"/>
    <x v="0"/>
  </r>
  <r>
    <x v="2"/>
    <x v="50"/>
    <x v="2"/>
    <s v="8.38-22.94"/>
    <n v="16.54"/>
    <n v="22.94"/>
    <n v="8.3800000000000008"/>
    <n v="7.28"/>
    <n v="15.66"/>
    <x v="1"/>
  </r>
  <r>
    <x v="2"/>
    <x v="110"/>
    <x v="2"/>
    <s v="11.26-26.98"/>
    <n v="19.87"/>
    <n v="26.98"/>
    <n v="11.26"/>
    <n v="7.86"/>
    <n v="19.12"/>
    <x v="2"/>
  </r>
  <r>
    <x v="2"/>
    <x v="52"/>
    <x v="2"/>
    <s v="13.63-24.73"/>
    <n v="20.170000000000002"/>
    <n v="24.73"/>
    <n v="13.63"/>
    <n v="5.55"/>
    <n v="19.18"/>
    <x v="3"/>
  </r>
  <r>
    <x v="2"/>
    <x v="100"/>
    <x v="2"/>
    <s v="11.80-23.60"/>
    <n v="18.39"/>
    <n v="23.6"/>
    <n v="11.8"/>
    <n v="5.9"/>
    <n v="17.7"/>
    <x v="4"/>
  </r>
  <r>
    <x v="2"/>
    <x v="54"/>
    <x v="2"/>
    <s v="12.87-26.59"/>
    <n v="20.59"/>
    <n v="26.59"/>
    <n v="12.87"/>
    <n v="6.86"/>
    <n v="19.73"/>
    <x v="5"/>
  </r>
  <r>
    <x v="2"/>
    <x v="55"/>
    <x v="2"/>
    <s v="13.17-28.29"/>
    <n v="21.53"/>
    <n v="28.29"/>
    <n v="13.17"/>
    <n v="7.56"/>
    <n v="20.73"/>
    <x v="6"/>
  </r>
  <r>
    <x v="2"/>
    <x v="56"/>
    <x v="2"/>
    <s v="11.27-29.83"/>
    <n v="21.32"/>
    <n v="29.83"/>
    <n v="11.27"/>
    <n v="9.2799999999999994"/>
    <n v="20.55"/>
    <x v="7"/>
  </r>
  <r>
    <x v="2"/>
    <x v="57"/>
    <x v="2"/>
    <s v="13.62-28.02"/>
    <n v="21.34"/>
    <n v="28.02"/>
    <n v="13.62"/>
    <n v="7.2"/>
    <n v="20.82"/>
    <x v="8"/>
  </r>
  <r>
    <x v="2"/>
    <x v="58"/>
    <x v="2"/>
    <s v="14.35-29.31"/>
    <n v="22.36"/>
    <n v="29.31"/>
    <n v="14.35"/>
    <n v="7.48"/>
    <n v="21.83"/>
    <x v="9"/>
  </r>
  <r>
    <x v="2"/>
    <x v="102"/>
    <x v="3"/>
    <s v="0.34-9.50"/>
    <n v="6.56"/>
    <n v="9.5"/>
    <n v="0.34"/>
    <n v="4.58"/>
    <n v="4.92"/>
    <x v="0"/>
  </r>
  <r>
    <x v="2"/>
    <x v="60"/>
    <x v="3"/>
    <s v="2.35-11.07"/>
    <n v="9.19"/>
    <n v="11.07"/>
    <n v="2.35"/>
    <n v="4.3600000000000003"/>
    <n v="6.71"/>
    <x v="1"/>
  </r>
  <r>
    <x v="2"/>
    <x v="61"/>
    <x v="3"/>
    <s v="0.65-8.07"/>
    <n v="5.84"/>
    <n v="8.07"/>
    <n v="0.65"/>
    <n v="3.71"/>
    <n v="4.3600000000000003"/>
    <x v="2"/>
  </r>
  <r>
    <x v="2"/>
    <x v="62"/>
    <x v="3"/>
    <s v="3.68-14.52"/>
    <n v="11.57"/>
    <n v="14.52"/>
    <n v="3.68"/>
    <n v="5.42"/>
    <n v="9.1"/>
    <x v="3"/>
  </r>
  <r>
    <x v="2"/>
    <x v="111"/>
    <x v="3"/>
    <s v="0.65-8.07"/>
    <n v="5.84"/>
    <n v="8.07"/>
    <n v="0.65"/>
    <n v="3.71"/>
    <n v="4.3600000000000003"/>
    <x v="4"/>
  </r>
  <r>
    <x v="2"/>
    <x v="64"/>
    <x v="3"/>
    <s v="2.61-10.87"/>
    <n v="8.86"/>
    <n v="10.87"/>
    <n v="2.61"/>
    <n v="4.13"/>
    <n v="6.74"/>
    <x v="5"/>
  </r>
  <r>
    <x v="2"/>
    <x v="66"/>
    <x v="3"/>
    <s v="5.17-17.91"/>
    <n v="13.8"/>
    <n v="17.91"/>
    <n v="5.17"/>
    <n v="6.37"/>
    <n v="11.54"/>
    <x v="6"/>
  </r>
  <r>
    <x v="2"/>
    <x v="67"/>
    <x v="3"/>
    <s v="1.30-12.02"/>
    <n v="8.9700000000000006"/>
    <n v="12.02"/>
    <n v="1.3"/>
    <n v="5.36"/>
    <n v="6.66"/>
    <x v="7"/>
  </r>
  <r>
    <x v="2"/>
    <x v="68"/>
    <x v="3"/>
    <s v="4.80-15.08"/>
    <n v="12.58"/>
    <n v="15.08"/>
    <n v="4.8"/>
    <n v="5.14"/>
    <n v="9.94"/>
    <x v="8"/>
  </r>
  <r>
    <x v="2"/>
    <x v="69"/>
    <x v="3"/>
    <s v="0.53-11.53"/>
    <n v="8.26"/>
    <n v="11.53"/>
    <n v="0.53"/>
    <n v="5.5"/>
    <n v="6.03"/>
    <x v="9"/>
  </r>
  <r>
    <x v="2"/>
    <x v="70"/>
    <x v="4"/>
    <s v="3.82-17.00"/>
    <n v="10.1706"/>
    <n v="17"/>
    <n v="3.82"/>
    <n v="6.59"/>
    <n v="10.1706"/>
    <x v="0"/>
  </r>
  <r>
    <x v="2"/>
    <x v="71"/>
    <x v="4"/>
    <s v="-1.18-6.74"/>
    <n v="2.3026"/>
    <n v="6.74"/>
    <n v="-1.18"/>
    <n v="3.96"/>
    <n v="2.3026"/>
    <x v="1"/>
  </r>
  <r>
    <x v="2"/>
    <x v="112"/>
    <x v="4"/>
    <s v="1.32-13.88"/>
    <n v="7.0986000000000002"/>
    <n v="13.88"/>
    <n v="1.32"/>
    <n v="6.28"/>
    <n v="7.0986000000000002"/>
    <x v="2"/>
  </r>
  <r>
    <x v="2"/>
    <x v="73"/>
    <x v="4"/>
    <s v="3.70-15.78"/>
    <n v="9.0321999999999996"/>
    <n v="15.78"/>
    <n v="3.7"/>
    <n v="6.04"/>
    <n v="9.0321999999999996"/>
    <x v="3"/>
  </r>
  <r>
    <x v="2"/>
    <x v="74"/>
    <x v="4"/>
    <s v="3.65-14.45"/>
    <n v="8.7986000000000004"/>
    <n v="14.45"/>
    <n v="3.65"/>
    <n v="5.4"/>
    <n v="8.7986000000000004"/>
    <x v="4"/>
  </r>
  <r>
    <x v="2"/>
    <x v="75"/>
    <x v="4"/>
    <s v="5.53-17.29"/>
    <n v="11.0418"/>
    <n v="17.29"/>
    <n v="5.53"/>
    <n v="5.88"/>
    <n v="11.0418"/>
    <x v="5"/>
  </r>
  <r>
    <x v="2"/>
    <x v="113"/>
    <x v="4"/>
    <s v="0.88-11.00"/>
    <n v="5.8224"/>
    <n v="11"/>
    <n v="0.88"/>
    <n v="5.0599999999999996"/>
    <n v="5.8224"/>
    <x v="6"/>
  </r>
  <r>
    <x v="2"/>
    <x v="77"/>
    <x v="4"/>
    <s v="3.91-14.85"/>
    <n v="9.1397999999999993"/>
    <n v="14.85"/>
    <n v="3.91"/>
    <n v="5.47"/>
    <n v="9.1397999999999993"/>
    <x v="7"/>
  </r>
  <r>
    <x v="2"/>
    <x v="78"/>
    <x v="4"/>
    <s v="5.27-20.13"/>
    <n v="12.095599999999999"/>
    <n v="20.13"/>
    <n v="5.27"/>
    <n v="7.43"/>
    <n v="12.095599999999999"/>
    <x v="8"/>
  </r>
  <r>
    <x v="2"/>
    <x v="79"/>
    <x v="4"/>
    <s v="5.38-18.16"/>
    <n v="11.413"/>
    <n v="18.16"/>
    <n v="5.38"/>
    <n v="6.39"/>
    <n v="11.413"/>
    <x v="9"/>
  </r>
  <r>
    <x v="2"/>
    <x v="80"/>
    <x v="5"/>
    <s v="4.57-13.73"/>
    <n v="9.1300000000000008"/>
    <n v="13.73"/>
    <n v="4.57"/>
    <n v="4.58"/>
    <n v="9.15"/>
    <x v="0"/>
  </r>
  <r>
    <x v="2"/>
    <x v="81"/>
    <x v="5"/>
    <s v="5.09-12.85"/>
    <n v="9.01"/>
    <n v="12.85"/>
    <n v="5.09"/>
    <n v="3.88"/>
    <n v="8.9700000000000006"/>
    <x v="1"/>
  </r>
  <r>
    <x v="2"/>
    <x v="82"/>
    <x v="5"/>
    <s v="5.02-14.02"/>
    <n v="9.5299999999999994"/>
    <n v="14.02"/>
    <n v="5.0199999999999996"/>
    <n v="4.5"/>
    <n v="9.52"/>
    <x v="2"/>
  </r>
  <r>
    <x v="2"/>
    <x v="83"/>
    <x v="5"/>
    <s v="4.39-13.35"/>
    <n v="8.8699999999999992"/>
    <n v="13.35"/>
    <n v="4.3899999999999997"/>
    <n v="4.4800000000000004"/>
    <n v="8.8699999999999992"/>
    <x v="3"/>
  </r>
  <r>
    <x v="2"/>
    <x v="84"/>
    <x v="5"/>
    <s v="4.61-14.39"/>
    <n v="9.49"/>
    <n v="14.39"/>
    <n v="4.6100000000000003"/>
    <n v="4.8899999999999997"/>
    <n v="9.5"/>
    <x v="4"/>
  </r>
  <r>
    <x v="2"/>
    <x v="114"/>
    <x v="5"/>
    <s v="5.81-13.91"/>
    <n v="9.82"/>
    <n v="13.91"/>
    <n v="5.81"/>
    <n v="4.05"/>
    <n v="9.86"/>
    <x v="5"/>
  </r>
  <r>
    <x v="2"/>
    <x v="86"/>
    <x v="5"/>
    <s v="5.27-13.39"/>
    <n v="9.2799999999999994"/>
    <n v="13.39"/>
    <n v="5.27"/>
    <n v="4.0599999999999996"/>
    <n v="9.33"/>
    <x v="6"/>
  </r>
  <r>
    <x v="2"/>
    <x v="87"/>
    <x v="5"/>
    <s v="1.99-10.97"/>
    <n v="6.48"/>
    <n v="10.97"/>
    <n v="1.99"/>
    <n v="4.49"/>
    <n v="6.48"/>
    <x v="7"/>
  </r>
  <r>
    <x v="2"/>
    <x v="88"/>
    <x v="5"/>
    <s v="2.97-12.43"/>
    <n v="7.75"/>
    <n v="12.43"/>
    <n v="2.97"/>
    <n v="4.7300000000000004"/>
    <n v="7.7"/>
    <x v="8"/>
  </r>
  <r>
    <x v="2"/>
    <x v="89"/>
    <x v="5"/>
    <s v="5.50-13.00"/>
    <n v="9.26"/>
    <n v="13"/>
    <n v="5.5"/>
    <n v="3.75"/>
    <n v="9.25"/>
    <x v="9"/>
  </r>
  <r>
    <x v="3"/>
    <x v="1"/>
    <x v="0"/>
    <s v="5.13-19.83"/>
    <n v="13.61"/>
    <n v="19.829999999999998"/>
    <n v="5.13"/>
    <n v="7.35"/>
    <n v="12.48"/>
    <x v="0"/>
  </r>
  <r>
    <x v="3"/>
    <x v="2"/>
    <x v="0"/>
    <s v="3.27-13.83"/>
    <n v="9.58"/>
    <n v="13.83"/>
    <n v="3.27"/>
    <n v="5.28"/>
    <n v="8.5500000000000007"/>
    <x v="0"/>
  </r>
  <r>
    <x v="3"/>
    <x v="5"/>
    <x v="0"/>
    <s v="4.20-22.22"/>
    <n v="14.66"/>
    <n v="22.22"/>
    <n v="4.2"/>
    <n v="9.01"/>
    <n v="13.21"/>
    <x v="1"/>
  </r>
  <r>
    <x v="3"/>
    <x v="3"/>
    <x v="0"/>
    <s v="5.04-20.32"/>
    <n v="14.92"/>
    <n v="20.32"/>
    <n v="5.04"/>
    <n v="7.64"/>
    <n v="12.68"/>
    <x v="1"/>
  </r>
  <r>
    <x v="3"/>
    <x v="4"/>
    <x v="0"/>
    <s v="3.79-14.63"/>
    <n v="10.32"/>
    <n v="14.63"/>
    <n v="3.79"/>
    <n v="5.42"/>
    <n v="9.2100000000000009"/>
    <x v="1"/>
  </r>
  <r>
    <x v="3"/>
    <x v="6"/>
    <x v="0"/>
    <s v="7.18-25.88"/>
    <n v="18.52"/>
    <n v="25.88"/>
    <n v="7.18"/>
    <n v="9.35"/>
    <n v="16.53"/>
    <x v="2"/>
  </r>
  <r>
    <x v="3"/>
    <x v="7"/>
    <x v="0"/>
    <s v="3.08-18.68"/>
    <n v="12.07"/>
    <n v="18.68"/>
    <n v="3.08"/>
    <n v="7.8"/>
    <n v="10.88"/>
    <x v="2"/>
  </r>
  <r>
    <x v="3"/>
    <x v="8"/>
    <x v="0"/>
    <s v="5.18-21.44"/>
    <n v="15.21"/>
    <n v="21.44"/>
    <n v="5.18"/>
    <n v="8.1300000000000008"/>
    <n v="13.31"/>
    <x v="3"/>
  </r>
  <r>
    <x v="3"/>
    <x v="115"/>
    <x v="0"/>
    <s v="4.59-16.19"/>
    <n v="11.16"/>
    <n v="16.190000000000001"/>
    <n v="4.59"/>
    <n v="5.8"/>
    <n v="10.39"/>
    <x v="3"/>
  </r>
  <r>
    <x v="3"/>
    <x v="11"/>
    <x v="0"/>
    <s v="7.99-27.65"/>
    <n v="19.010000000000002"/>
    <n v="27.65"/>
    <n v="7.99"/>
    <n v="9.83"/>
    <n v="17.82"/>
    <x v="4"/>
  </r>
  <r>
    <x v="3"/>
    <x v="13"/>
    <x v="0"/>
    <s v="2.75-19.63"/>
    <n v="12.64"/>
    <n v="19.63"/>
    <n v="2.75"/>
    <n v="8.44"/>
    <n v="11.19"/>
    <x v="4"/>
  </r>
  <r>
    <x v="3"/>
    <x v="15"/>
    <x v="0"/>
    <s v="9.06-27.26"/>
    <n v="20.53"/>
    <n v="27.26"/>
    <n v="9.06"/>
    <n v="9.1"/>
    <n v="18.16"/>
    <x v="5"/>
  </r>
  <r>
    <x v="3"/>
    <x v="14"/>
    <x v="0"/>
    <s v="1.17-13.77"/>
    <n v="8.9499999999999993"/>
    <n v="13.77"/>
    <n v="1.17"/>
    <n v="6.3"/>
    <n v="7.47"/>
    <x v="5"/>
  </r>
  <r>
    <x v="3"/>
    <x v="16"/>
    <x v="0"/>
    <s v="8.64-23.24"/>
    <n v="18.29"/>
    <n v="23.24"/>
    <n v="8.64"/>
    <n v="7.3"/>
    <n v="15.94"/>
    <x v="6"/>
  </r>
  <r>
    <x v="3"/>
    <x v="17"/>
    <x v="0"/>
    <s v="4.14-14.30"/>
    <n v="9.8000000000000007"/>
    <n v="14.3"/>
    <n v="4.1399999999999997"/>
    <n v="5.08"/>
    <n v="9.2200000000000006"/>
    <x v="6"/>
  </r>
  <r>
    <x v="3"/>
    <x v="91"/>
    <x v="0"/>
    <s v="1.23-13.57"/>
    <n v="8.14"/>
    <n v="13.57"/>
    <n v="1.23"/>
    <n v="6.17"/>
    <n v="7.4"/>
    <x v="6"/>
  </r>
  <r>
    <x v="3"/>
    <x v="19"/>
    <x v="0"/>
    <s v="6.57-22.73"/>
    <n v="15.65"/>
    <n v="22.73"/>
    <n v="6.57"/>
    <n v="8.08"/>
    <n v="14.65"/>
    <x v="7"/>
  </r>
  <r>
    <x v="3"/>
    <x v="20"/>
    <x v="0"/>
    <s v="5.17-15.35"/>
    <n v="11.16"/>
    <n v="15.35"/>
    <n v="5.17"/>
    <n v="5.09"/>
    <n v="10.26"/>
    <x v="7"/>
  </r>
  <r>
    <x v="3"/>
    <x v="21"/>
    <x v="0"/>
    <s v="8.16-22.28"/>
    <n v="17.510000000000002"/>
    <n v="22.28"/>
    <n v="8.16"/>
    <n v="7.06"/>
    <n v="15.22"/>
    <x v="8"/>
  </r>
  <r>
    <x v="3"/>
    <x v="92"/>
    <x v="0"/>
    <s v="2.85-12.07"/>
    <n v="8.67"/>
    <n v="12.07"/>
    <n v="2.85"/>
    <n v="4.6100000000000003"/>
    <n v="7.46"/>
    <x v="8"/>
  </r>
  <r>
    <x v="3"/>
    <x v="22"/>
    <x v="0"/>
    <s v="1.73-12.05"/>
    <n v="8.6999999999999993"/>
    <n v="12.05"/>
    <n v="1.73"/>
    <n v="5.16"/>
    <n v="6.89"/>
    <x v="8"/>
  </r>
  <r>
    <x v="3"/>
    <x v="23"/>
    <x v="0"/>
    <s v="5.28-18.86"/>
    <n v="13.65"/>
    <n v="18.86"/>
    <n v="5.28"/>
    <n v="6.79"/>
    <n v="12.07"/>
    <x v="9"/>
  </r>
  <r>
    <x v="3"/>
    <x v="25"/>
    <x v="0"/>
    <s v="4.49-18.11"/>
    <n v="12.63"/>
    <n v="18.11"/>
    <n v="4.49"/>
    <n v="6.81"/>
    <n v="11.3"/>
    <x v="9"/>
  </r>
  <r>
    <x v="3"/>
    <x v="116"/>
    <x v="0"/>
    <s v="4.12-13.14"/>
    <n v="9.23"/>
    <n v="13.14"/>
    <n v="4.12"/>
    <n v="4.51"/>
    <n v="8.6300000000000008"/>
    <x v="9"/>
  </r>
  <r>
    <x v="3"/>
    <x v="26"/>
    <x v="1"/>
    <s v="5.54-22.66"/>
    <n v="17.28"/>
    <n v="22.66"/>
    <n v="5.54"/>
    <n v="8.56"/>
    <n v="14.1"/>
    <x v="0"/>
  </r>
  <r>
    <x v="3"/>
    <x v="27"/>
    <x v="1"/>
    <s v="4.60-16.36"/>
    <n v="13.16"/>
    <n v="16.36"/>
    <n v="4.5999999999999996"/>
    <n v="5.88"/>
    <n v="10.48"/>
    <x v="0"/>
  </r>
  <r>
    <x v="3"/>
    <x v="93"/>
    <x v="1"/>
    <s v="2.87-15.49"/>
    <n v="11.24"/>
    <n v="15.49"/>
    <n v="2.87"/>
    <n v="6.31"/>
    <n v="9.18"/>
    <x v="0"/>
  </r>
  <r>
    <x v="3"/>
    <x v="28"/>
    <x v="1"/>
    <s v="5.25-18.93"/>
    <n v="14.97"/>
    <n v="18.93"/>
    <n v="5.25"/>
    <n v="6.84"/>
    <n v="12.09"/>
    <x v="1"/>
  </r>
  <r>
    <x v="3"/>
    <x v="29"/>
    <x v="1"/>
    <s v="2.30-16.60"/>
    <n v="12.26"/>
    <n v="16.600000000000001"/>
    <n v="2.2999999999999998"/>
    <n v="7.15"/>
    <n v="9.4499999999999993"/>
    <x v="1"/>
  </r>
  <r>
    <x v="3"/>
    <x v="94"/>
    <x v="1"/>
    <s v="2.01-17.95"/>
    <n v="12.37"/>
    <n v="17.95"/>
    <n v="2.0099999999999998"/>
    <n v="7.97"/>
    <n v="9.98"/>
    <x v="2"/>
  </r>
  <r>
    <x v="3"/>
    <x v="30"/>
    <x v="1"/>
    <s v="3.98-15.52"/>
    <n v="12.34"/>
    <n v="15.52"/>
    <n v="3.98"/>
    <n v="5.77"/>
    <n v="9.75"/>
    <x v="2"/>
  </r>
  <r>
    <x v="3"/>
    <x v="31"/>
    <x v="1"/>
    <s v="3.27-14.79"/>
    <n v="11.19"/>
    <n v="14.79"/>
    <n v="3.27"/>
    <n v="5.76"/>
    <n v="9.0299999999999994"/>
    <x v="2"/>
  </r>
  <r>
    <x v="3"/>
    <x v="33"/>
    <x v="1"/>
    <s v="5.93-20.59"/>
    <n v="16.5"/>
    <n v="20.59"/>
    <n v="5.93"/>
    <n v="7.33"/>
    <n v="13.26"/>
    <x v="3"/>
  </r>
  <r>
    <x v="3"/>
    <x v="107"/>
    <x v="1"/>
    <s v="3.40-18.44"/>
    <n v="13.9"/>
    <n v="18.440000000000001"/>
    <n v="3.4"/>
    <n v="7.52"/>
    <n v="10.92"/>
    <x v="3"/>
  </r>
  <r>
    <x v="3"/>
    <x v="34"/>
    <x v="1"/>
    <s v="2.63-18.35"/>
    <n v="13.05"/>
    <n v="18.350000000000001"/>
    <n v="2.63"/>
    <n v="7.86"/>
    <n v="10.49"/>
    <x v="3"/>
  </r>
  <r>
    <x v="3"/>
    <x v="35"/>
    <x v="1"/>
    <s v="4.80-18.70"/>
    <n v="15.05"/>
    <n v="18.7"/>
    <n v="4.8"/>
    <n v="6.95"/>
    <n v="11.75"/>
    <x v="4"/>
  </r>
  <r>
    <x v="3"/>
    <x v="95"/>
    <x v="1"/>
    <s v="4.32-19.14"/>
    <n v="14.39"/>
    <n v="19.14"/>
    <n v="4.32"/>
    <n v="7.41"/>
    <n v="11.73"/>
    <x v="4"/>
  </r>
  <r>
    <x v="3"/>
    <x v="36"/>
    <x v="1"/>
    <s v="3.11-13.85"/>
    <n v="10.96"/>
    <n v="13.85"/>
    <n v="3.11"/>
    <n v="5.37"/>
    <n v="8.48"/>
    <x v="4"/>
  </r>
  <r>
    <x v="3"/>
    <x v="37"/>
    <x v="1"/>
    <s v="4.27-16.57"/>
    <n v="13.22"/>
    <n v="16.57"/>
    <n v="4.2699999999999996"/>
    <n v="6.15"/>
    <n v="10.42"/>
    <x v="5"/>
  </r>
  <r>
    <x v="3"/>
    <x v="38"/>
    <x v="1"/>
    <s v="4.21-13.19"/>
    <n v="11.5"/>
    <n v="13.19"/>
    <n v="4.21"/>
    <n v="4.49"/>
    <n v="8.6999999999999993"/>
    <x v="5"/>
  </r>
  <r>
    <x v="3"/>
    <x v="39"/>
    <x v="1"/>
    <s v="3.13-14.19"/>
    <n v="11.69"/>
    <n v="14.19"/>
    <n v="3.13"/>
    <n v="5.53"/>
    <n v="8.66"/>
    <x v="6"/>
  </r>
  <r>
    <x v="3"/>
    <x v="97"/>
    <x v="1"/>
    <s v="2.56-12.38"/>
    <n v="10.199999999999999"/>
    <n v="12.38"/>
    <n v="2.56"/>
    <n v="4.91"/>
    <n v="7.47"/>
    <x v="6"/>
  </r>
  <r>
    <x v="3"/>
    <x v="42"/>
    <x v="1"/>
    <s v="3.62-19.72"/>
    <n v="14.46"/>
    <n v="19.72"/>
    <n v="3.62"/>
    <n v="8.0500000000000007"/>
    <n v="11.67"/>
    <x v="7"/>
  </r>
  <r>
    <x v="3"/>
    <x v="43"/>
    <x v="1"/>
    <s v="4.25-17.11"/>
    <n v="13.62"/>
    <n v="17.11"/>
    <n v="4.25"/>
    <n v="6.43"/>
    <n v="10.68"/>
    <x v="7"/>
  </r>
  <r>
    <x v="3"/>
    <x v="41"/>
    <x v="1"/>
    <s v="2.19-14.29"/>
    <n v="10.41"/>
    <n v="14.29"/>
    <n v="2.19"/>
    <n v="6.05"/>
    <n v="8.24"/>
    <x v="7"/>
  </r>
  <r>
    <x v="3"/>
    <x v="44"/>
    <x v="1"/>
    <s v="2.77-14.49"/>
    <n v="11.07"/>
    <n v="14.49"/>
    <n v="2.77"/>
    <n v="5.86"/>
    <n v="8.6300000000000008"/>
    <x v="8"/>
  </r>
  <r>
    <x v="3"/>
    <x v="45"/>
    <x v="1"/>
    <s v="1.88-11.98"/>
    <n v="8.91"/>
    <n v="11.98"/>
    <n v="1.88"/>
    <n v="5.05"/>
    <n v="6.93"/>
    <x v="8"/>
  </r>
  <r>
    <x v="3"/>
    <x v="47"/>
    <x v="1"/>
    <s v="3.48-16.64"/>
    <n v="12.26"/>
    <n v="16.64"/>
    <n v="3.48"/>
    <n v="6.58"/>
    <n v="10.06"/>
    <x v="9"/>
  </r>
  <r>
    <x v="3"/>
    <x v="98"/>
    <x v="1"/>
    <s v="3.10-16.40"/>
    <n v="12.64"/>
    <n v="16.399999999999999"/>
    <n v="3.1"/>
    <n v="6.65"/>
    <n v="9.75"/>
    <x v="9"/>
  </r>
  <r>
    <x v="3"/>
    <x v="49"/>
    <x v="2"/>
    <s v="11.89-28.67"/>
    <n v="20.89"/>
    <n v="28.67"/>
    <n v="11.89"/>
    <n v="8.39"/>
    <n v="20.28"/>
    <x v="0"/>
  </r>
  <r>
    <x v="3"/>
    <x v="50"/>
    <x v="2"/>
    <s v="13.19-26.29"/>
    <n v="20.28"/>
    <n v="26.29"/>
    <n v="13.19"/>
    <n v="6.55"/>
    <n v="19.739999999999998"/>
    <x v="1"/>
  </r>
  <r>
    <x v="3"/>
    <x v="51"/>
    <x v="2"/>
    <s v="10.52-24.78"/>
    <n v="18.48"/>
    <n v="24.78"/>
    <n v="10.52"/>
    <n v="7.13"/>
    <n v="17.649999999999999"/>
    <x v="2"/>
  </r>
  <r>
    <x v="3"/>
    <x v="52"/>
    <x v="2"/>
    <s v="10.12-23.20"/>
    <n v="17.78"/>
    <n v="23.2"/>
    <n v="10.119999999999999"/>
    <n v="6.54"/>
    <n v="16.66"/>
    <x v="3"/>
  </r>
  <r>
    <x v="3"/>
    <x v="100"/>
    <x v="2"/>
    <s v="11.01-23.99"/>
    <n v="18.29"/>
    <n v="23.99"/>
    <n v="11.01"/>
    <n v="6.49"/>
    <n v="17.5"/>
    <x v="4"/>
  </r>
  <r>
    <x v="3"/>
    <x v="117"/>
    <x v="2"/>
    <s v="10.20-25.22"/>
    <n v="18.12"/>
    <n v="25.22"/>
    <n v="10.199999999999999"/>
    <n v="7.51"/>
    <n v="17.71"/>
    <x v="5"/>
  </r>
  <r>
    <x v="3"/>
    <x v="55"/>
    <x v="2"/>
    <s v="12.75-26.87"/>
    <n v="20.6"/>
    <n v="26.87"/>
    <n v="12.75"/>
    <n v="7.06"/>
    <n v="19.809999999999999"/>
    <x v="6"/>
  </r>
  <r>
    <x v="3"/>
    <x v="56"/>
    <x v="2"/>
    <s v="11.49-27.39"/>
    <n v="20.16"/>
    <n v="27.39"/>
    <n v="11.49"/>
    <n v="7.95"/>
    <n v="19.440000000000001"/>
    <x v="7"/>
  </r>
  <r>
    <x v="3"/>
    <x v="57"/>
    <x v="2"/>
    <s v="14.65-30.89"/>
    <n v="23.24"/>
    <n v="30.89"/>
    <n v="14.65"/>
    <n v="8.1199999999999992"/>
    <n v="22.77"/>
    <x v="8"/>
  </r>
  <r>
    <x v="3"/>
    <x v="58"/>
    <x v="2"/>
    <s v="16.66-31.88"/>
    <n v="24.77"/>
    <n v="31.88"/>
    <n v="16.66"/>
    <n v="7.61"/>
    <n v="24.27"/>
    <x v="9"/>
  </r>
  <r>
    <x v="3"/>
    <x v="102"/>
    <x v="3"/>
    <s v="1.13-11.47"/>
    <n v="8.2100000000000009"/>
    <n v="11.47"/>
    <n v="1.1299999999999999"/>
    <n v="5.17"/>
    <n v="6.3"/>
    <x v="0"/>
  </r>
  <r>
    <x v="3"/>
    <x v="60"/>
    <x v="3"/>
    <s v="1.88-10.92"/>
    <n v="8.6999999999999993"/>
    <n v="10.92"/>
    <n v="1.88"/>
    <n v="4.5199999999999996"/>
    <n v="6.4"/>
    <x v="1"/>
  </r>
  <r>
    <x v="3"/>
    <x v="61"/>
    <x v="3"/>
    <s v="0.67-8.19"/>
    <n v="5.98"/>
    <n v="8.19"/>
    <n v="0.67"/>
    <n v="3.76"/>
    <n v="4.43"/>
    <x v="2"/>
  </r>
  <r>
    <x v="3"/>
    <x v="62"/>
    <x v="3"/>
    <s v="3.05-12.71"/>
    <n v="10.43"/>
    <n v="12.71"/>
    <n v="3.05"/>
    <n v="4.83"/>
    <n v="7.88"/>
    <x v="3"/>
  </r>
  <r>
    <x v="3"/>
    <x v="103"/>
    <x v="3"/>
    <s v="-0.51-9.29"/>
    <n v="6.31"/>
    <n v="9.2899999999999991"/>
    <n v="-0.51"/>
    <n v="4.9000000000000004"/>
    <n v="4.3899999999999997"/>
    <x v="4"/>
  </r>
  <r>
    <x v="3"/>
    <x v="64"/>
    <x v="3"/>
    <s v="2.59-11.91"/>
    <n v="9.44"/>
    <n v="11.91"/>
    <n v="2.59"/>
    <n v="4.66"/>
    <n v="7.25"/>
    <x v="5"/>
  </r>
  <r>
    <x v="3"/>
    <x v="65"/>
    <x v="3"/>
    <s v="1.05-13.05"/>
    <n v="8.9600000000000009"/>
    <n v="13.05"/>
    <n v="1.05"/>
    <n v="6"/>
    <n v="7.05"/>
    <x v="5"/>
  </r>
  <r>
    <x v="3"/>
    <x v="66"/>
    <x v="3"/>
    <s v="5.93-18.63"/>
    <n v="14.5"/>
    <n v="18.63"/>
    <n v="5.93"/>
    <n v="6.35"/>
    <n v="12.28"/>
    <x v="6"/>
  </r>
  <r>
    <x v="3"/>
    <x v="118"/>
    <x v="3"/>
    <s v="2.51-10.97"/>
    <n v="9.1300000000000008"/>
    <n v="10.97"/>
    <n v="2.5099999999999998"/>
    <n v="4.2300000000000004"/>
    <n v="6.74"/>
    <x v="7"/>
  </r>
  <r>
    <x v="3"/>
    <x v="68"/>
    <x v="3"/>
    <s v="2.67-12.83"/>
    <n v="10.38"/>
    <n v="12.83"/>
    <n v="2.67"/>
    <n v="5.08"/>
    <n v="7.75"/>
    <x v="8"/>
  </r>
  <r>
    <x v="3"/>
    <x v="119"/>
    <x v="3"/>
    <s v="0.99-7.57"/>
    <n v="5.95"/>
    <n v="7.57"/>
    <n v="0.99"/>
    <n v="3.29"/>
    <n v="4.28"/>
    <x v="9"/>
  </r>
  <r>
    <x v="3"/>
    <x v="70"/>
    <x v="4"/>
    <s v="1.83-11.01"/>
    <n v="6.2971000000000004"/>
    <n v="11.01"/>
    <n v="1.83"/>
    <n v="4.59"/>
    <n v="6.2971000000000004"/>
    <x v="0"/>
  </r>
  <r>
    <x v="3"/>
    <x v="71"/>
    <x v="4"/>
    <s v="0.31-11.73"/>
    <n v="4.9427000000000003"/>
    <n v="11.73"/>
    <n v="0.31"/>
    <n v="5.71"/>
    <n v="4.9427000000000003"/>
    <x v="1"/>
  </r>
  <r>
    <x v="3"/>
    <x v="72"/>
    <x v="4"/>
    <s v="4.11-16.49"/>
    <n v="9.5808999999999997"/>
    <n v="16.489999999999998"/>
    <n v="4.1100000000000003"/>
    <n v="6.19"/>
    <n v="9.5808999999999997"/>
    <x v="2"/>
  </r>
  <r>
    <x v="3"/>
    <x v="120"/>
    <x v="4"/>
    <s v="1.79-13.13"/>
    <n v="6.9778000000000002"/>
    <n v="13.13"/>
    <n v="1.79"/>
    <n v="5.67"/>
    <n v="6.9778000000000002"/>
    <x v="3"/>
  </r>
  <r>
    <x v="3"/>
    <x v="74"/>
    <x v="4"/>
    <s v="2.60-15.36"/>
    <n v="8.5595999999999997"/>
    <n v="15.36"/>
    <n v="2.6"/>
    <n v="6.38"/>
    <n v="8.5595999999999997"/>
    <x v="4"/>
  </r>
  <r>
    <x v="3"/>
    <x v="75"/>
    <x v="4"/>
    <s v="5.81-18.45"/>
    <n v="11.534000000000001"/>
    <n v="18.45"/>
    <n v="5.81"/>
    <n v="6.32"/>
    <n v="11.534000000000001"/>
    <x v="5"/>
  </r>
  <r>
    <x v="3"/>
    <x v="76"/>
    <x v="4"/>
    <s v="1.52-12.56"/>
    <n v="6.9214000000000002"/>
    <n v="12.56"/>
    <n v="1.52"/>
    <n v="5.52"/>
    <n v="6.9214000000000002"/>
    <x v="6"/>
  </r>
  <r>
    <x v="3"/>
    <x v="77"/>
    <x v="4"/>
    <s v="4.22-15.22"/>
    <n v="9.5998000000000001"/>
    <n v="15.22"/>
    <n v="4.22"/>
    <n v="5.5"/>
    <n v="9.5998000000000001"/>
    <x v="7"/>
  </r>
  <r>
    <x v="3"/>
    <x v="78"/>
    <x v="4"/>
    <s v="1.19-13.75"/>
    <n v="7.2253999999999996"/>
    <n v="13.75"/>
    <n v="1.19"/>
    <n v="6.28"/>
    <n v="7.2253999999999996"/>
    <x v="8"/>
  </r>
  <r>
    <x v="3"/>
    <x v="79"/>
    <x v="4"/>
    <s v="0.58-11.80"/>
    <n v="5.9634999999999998"/>
    <n v="11.8"/>
    <n v="0.57999999999999996"/>
    <n v="5.61"/>
    <n v="5.9634999999999998"/>
    <x v="9"/>
  </r>
  <r>
    <x v="3"/>
    <x v="80"/>
    <x v="5"/>
    <s v="4.31-12.91"/>
    <n v="8.61"/>
    <n v="12.91"/>
    <n v="4.3099999999999996"/>
    <n v="4.3"/>
    <n v="8.61"/>
    <x v="0"/>
  </r>
  <r>
    <x v="3"/>
    <x v="81"/>
    <x v="5"/>
    <s v="4.30-12.36"/>
    <n v="8.36"/>
    <n v="12.36"/>
    <n v="4.3"/>
    <n v="4.03"/>
    <n v="8.33"/>
    <x v="1"/>
  </r>
  <r>
    <x v="3"/>
    <x v="82"/>
    <x v="5"/>
    <s v="4.01-13.61"/>
    <n v="8.7899999999999991"/>
    <n v="13.61"/>
    <n v="4.01"/>
    <n v="4.8"/>
    <n v="8.81"/>
    <x v="2"/>
  </r>
  <r>
    <x v="3"/>
    <x v="83"/>
    <x v="5"/>
    <s v="3.46-13.46"/>
    <n v="8.4700000000000006"/>
    <n v="13.46"/>
    <n v="3.46"/>
    <n v="5"/>
    <n v="8.4600000000000009"/>
    <x v="3"/>
  </r>
  <r>
    <x v="3"/>
    <x v="84"/>
    <x v="5"/>
    <s v="4.43-14.21"/>
    <n v="9.33"/>
    <n v="14.21"/>
    <n v="4.43"/>
    <n v="4.8899999999999997"/>
    <n v="9.32"/>
    <x v="4"/>
  </r>
  <r>
    <x v="3"/>
    <x v="85"/>
    <x v="5"/>
    <s v="3.80-14.40"/>
    <n v="9.14"/>
    <n v="14.4"/>
    <n v="3.8"/>
    <n v="5.3"/>
    <n v="9.1"/>
    <x v="5"/>
  </r>
  <r>
    <x v="3"/>
    <x v="86"/>
    <x v="5"/>
    <s v="5.94-13.92"/>
    <n v="9.8800000000000008"/>
    <n v="13.92"/>
    <n v="5.94"/>
    <n v="3.99"/>
    <n v="9.93"/>
    <x v="6"/>
  </r>
  <r>
    <x v="3"/>
    <x v="87"/>
    <x v="5"/>
    <s v="4.20-12.92"/>
    <n v="8.56"/>
    <n v="12.92"/>
    <n v="4.2"/>
    <n v="4.3600000000000003"/>
    <n v="8.56"/>
    <x v="7"/>
  </r>
  <r>
    <x v="3"/>
    <x v="88"/>
    <x v="5"/>
    <s v="2.84-13.18"/>
    <n v="8.0299999999999994"/>
    <n v="13.18"/>
    <n v="2.84"/>
    <n v="5.17"/>
    <n v="8.01"/>
    <x v="8"/>
  </r>
  <r>
    <x v="3"/>
    <x v="89"/>
    <x v="5"/>
    <s v="3.44-11.60"/>
    <n v="7.47"/>
    <n v="11.6"/>
    <n v="3.44"/>
    <n v="4.08"/>
    <n v="7.52"/>
    <x v="9"/>
  </r>
  <r>
    <x v="4"/>
    <x v="1"/>
    <x v="0"/>
    <s v="5.50-20.42"/>
    <n v="14.09"/>
    <n v="20.420000000000002"/>
    <n v="5.5"/>
    <n v="7.46"/>
    <n v="12.96"/>
    <x v="0"/>
  </r>
  <r>
    <x v="4"/>
    <x v="90"/>
    <x v="0"/>
    <s v="-0.57-17.41"/>
    <n v="9.48"/>
    <n v="17.41"/>
    <n v="-0.56999999999999995"/>
    <n v="8.99"/>
    <n v="8.42"/>
    <x v="0"/>
  </r>
  <r>
    <x v="4"/>
    <x v="3"/>
    <x v="0"/>
    <s v="12.63-27.39"/>
    <n v="22.7"/>
    <n v="27.39"/>
    <n v="12.63"/>
    <n v="7.38"/>
    <n v="20.010000000000002"/>
    <x v="1"/>
  </r>
  <r>
    <x v="4"/>
    <x v="5"/>
    <x v="0"/>
    <s v="3.47-21.45"/>
    <n v="14.01"/>
    <n v="21.45"/>
    <n v="3.47"/>
    <n v="8.99"/>
    <n v="12.46"/>
    <x v="1"/>
  </r>
  <r>
    <x v="4"/>
    <x v="4"/>
    <x v="0"/>
    <s v="5.07-19.37"/>
    <n v="13.35"/>
    <n v="19.37"/>
    <n v="5.07"/>
    <n v="7.15"/>
    <n v="12.22"/>
    <x v="1"/>
  </r>
  <r>
    <x v="4"/>
    <x v="6"/>
    <x v="0"/>
    <s v="7.19-25.87"/>
    <n v="18.52"/>
    <n v="25.87"/>
    <n v="7.19"/>
    <n v="9.34"/>
    <n v="16.53"/>
    <x v="2"/>
  </r>
  <r>
    <x v="4"/>
    <x v="7"/>
    <x v="0"/>
    <s v="3.57-16.01"/>
    <n v="11.33"/>
    <n v="16.010000000000002"/>
    <n v="3.57"/>
    <n v="6.22"/>
    <n v="9.7899999999999991"/>
    <x v="2"/>
  </r>
  <r>
    <x v="4"/>
    <x v="8"/>
    <x v="0"/>
    <s v="4.28-18.58"/>
    <n v="13.23"/>
    <n v="18.579999999999998"/>
    <n v="4.28"/>
    <n v="7.15"/>
    <n v="11.43"/>
    <x v="3"/>
  </r>
  <r>
    <x v="4"/>
    <x v="9"/>
    <x v="0"/>
    <s v="3.07-15.07"/>
    <n v="10.53"/>
    <n v="15.07"/>
    <n v="3.07"/>
    <n v="6"/>
    <n v="9.07"/>
    <x v="3"/>
  </r>
  <r>
    <x v="4"/>
    <x v="10"/>
    <x v="0"/>
    <s v="2.84-14.12"/>
    <n v="9.36"/>
    <n v="14.12"/>
    <n v="2.84"/>
    <n v="5.64"/>
    <n v="8.48"/>
    <x v="3"/>
  </r>
  <r>
    <x v="4"/>
    <x v="11"/>
    <x v="0"/>
    <s v="5.95-24.91"/>
    <n v="16.71"/>
    <n v="24.91"/>
    <n v="5.95"/>
    <n v="9.48"/>
    <n v="15.43"/>
    <x v="4"/>
  </r>
  <r>
    <x v="4"/>
    <x v="12"/>
    <x v="0"/>
    <s v="6.51-17.45"/>
    <n v="14.5"/>
    <n v="17.45"/>
    <n v="6.51"/>
    <n v="5.47"/>
    <n v="11.98"/>
    <x v="4"/>
  </r>
  <r>
    <x v="4"/>
    <x v="13"/>
    <x v="0"/>
    <s v="1.48-18.78"/>
    <n v="11.44"/>
    <n v="18.78"/>
    <n v="1.48"/>
    <n v="8.65"/>
    <n v="10.130000000000001"/>
    <x v="4"/>
  </r>
  <r>
    <x v="4"/>
    <x v="15"/>
    <x v="0"/>
    <s v="10.50-26.28"/>
    <n v="20.99"/>
    <n v="26.28"/>
    <n v="10.5"/>
    <n v="7.89"/>
    <n v="18.39"/>
    <x v="5"/>
  </r>
  <r>
    <x v="4"/>
    <x v="14"/>
    <x v="0"/>
    <s v="0.42-15.38"/>
    <n v="9.18"/>
    <n v="15.38"/>
    <n v="0.42"/>
    <n v="7.48"/>
    <n v="7.9"/>
    <x v="5"/>
  </r>
  <r>
    <x v="4"/>
    <x v="16"/>
    <x v="0"/>
    <s v="6.39-23.09"/>
    <n v="17.2"/>
    <n v="23.09"/>
    <n v="6.39"/>
    <n v="8.35"/>
    <n v="14.74"/>
    <x v="6"/>
  </r>
  <r>
    <x v="4"/>
    <x v="121"/>
    <x v="0"/>
    <s v="4.49-21.27"/>
    <n v="14.15"/>
    <n v="21.27"/>
    <n v="4.49"/>
    <n v="8.39"/>
    <n v="12.88"/>
    <x v="6"/>
  </r>
  <r>
    <x v="4"/>
    <x v="17"/>
    <x v="0"/>
    <s v="3.05-15.11"/>
    <n v="9.6199999999999992"/>
    <n v="15.11"/>
    <n v="3.05"/>
    <n v="6.03"/>
    <n v="9.08"/>
    <x v="6"/>
  </r>
  <r>
    <x v="4"/>
    <x v="20"/>
    <x v="0"/>
    <s v="5.29-15.75"/>
    <n v="11.5"/>
    <n v="15.75"/>
    <n v="5.29"/>
    <n v="5.23"/>
    <n v="10.52"/>
    <x v="7"/>
  </r>
  <r>
    <x v="4"/>
    <x v="122"/>
    <x v="0"/>
    <s v="0.70-8.70"/>
    <n v="5.71"/>
    <n v="8.6999999999999993"/>
    <n v="0.7"/>
    <n v="4"/>
    <n v="4.7"/>
    <x v="7"/>
  </r>
  <r>
    <x v="4"/>
    <x v="21"/>
    <x v="0"/>
    <s v="5.53-22.37"/>
    <n v="16.3"/>
    <n v="22.37"/>
    <n v="5.53"/>
    <n v="8.42"/>
    <n v="13.95"/>
    <x v="8"/>
  </r>
  <r>
    <x v="4"/>
    <x v="22"/>
    <x v="0"/>
    <s v="0.70-17.42"/>
    <n v="10.76"/>
    <n v="17.420000000000002"/>
    <n v="0.7"/>
    <n v="8.36"/>
    <n v="9.06"/>
    <x v="8"/>
  </r>
  <r>
    <x v="4"/>
    <x v="92"/>
    <x v="0"/>
    <s v="1.75-10.95"/>
    <n v="7.45"/>
    <n v="10.95"/>
    <n v="1.75"/>
    <n v="4.5999999999999996"/>
    <n v="6.35"/>
    <x v="8"/>
  </r>
  <r>
    <x v="4"/>
    <x v="23"/>
    <x v="0"/>
    <s v="5.67-22.57"/>
    <n v="15.46"/>
    <n v="22.57"/>
    <n v="5.67"/>
    <n v="8.4499999999999993"/>
    <n v="14.12"/>
    <x v="9"/>
  </r>
  <r>
    <x v="4"/>
    <x v="25"/>
    <x v="0"/>
    <s v="4.79-18.97"/>
    <n v="13.32"/>
    <n v="18.97"/>
    <n v="4.79"/>
    <n v="7.09"/>
    <n v="11.88"/>
    <x v="9"/>
  </r>
  <r>
    <x v="4"/>
    <x v="105"/>
    <x v="0"/>
    <s v="2.58-18.94"/>
    <n v="11.83"/>
    <n v="18.940000000000001"/>
    <n v="2.58"/>
    <n v="8.18"/>
    <n v="10.76"/>
    <x v="9"/>
  </r>
  <r>
    <x v="4"/>
    <x v="26"/>
    <x v="1"/>
    <s v="5.99-21.55"/>
    <n v="16.75"/>
    <n v="21.55"/>
    <n v="5.99"/>
    <n v="7.78"/>
    <n v="13.77"/>
    <x v="0"/>
  </r>
  <r>
    <x v="4"/>
    <x v="27"/>
    <x v="1"/>
    <s v="3.06-17.18"/>
    <n v="12.74"/>
    <n v="17.18"/>
    <n v="3.06"/>
    <n v="7.06"/>
    <n v="10.119999999999999"/>
    <x v="0"/>
  </r>
  <r>
    <x v="4"/>
    <x v="93"/>
    <x v="1"/>
    <s v="3.26-15.36"/>
    <n v="11.63"/>
    <n v="15.36"/>
    <n v="3.26"/>
    <n v="6.05"/>
    <n v="9.31"/>
    <x v="0"/>
  </r>
  <r>
    <x v="4"/>
    <x v="28"/>
    <x v="1"/>
    <s v="4.97-18.73"/>
    <n v="14.64"/>
    <n v="18.73"/>
    <n v="4.97"/>
    <n v="6.88"/>
    <n v="11.85"/>
    <x v="1"/>
  </r>
  <r>
    <x v="4"/>
    <x v="29"/>
    <x v="1"/>
    <s v="3.30-16.16"/>
    <n v="12.8"/>
    <n v="16.16"/>
    <n v="3.3"/>
    <n v="6.43"/>
    <n v="9.73"/>
    <x v="1"/>
  </r>
  <r>
    <x v="4"/>
    <x v="30"/>
    <x v="1"/>
    <s v="4.06-16.28"/>
    <n v="12.75"/>
    <n v="16.28"/>
    <n v="4.0599999999999996"/>
    <n v="6.11"/>
    <n v="10.17"/>
    <x v="2"/>
  </r>
  <r>
    <x v="4"/>
    <x v="31"/>
    <x v="1"/>
    <s v="3.26-13.14"/>
    <n v="10.27"/>
    <n v="13.14"/>
    <n v="3.26"/>
    <n v="4.9400000000000004"/>
    <n v="8.1999999999999993"/>
    <x v="2"/>
  </r>
  <r>
    <x v="4"/>
    <x v="94"/>
    <x v="1"/>
    <s v="1.81-13.57"/>
    <n v="9.6300000000000008"/>
    <n v="13.57"/>
    <n v="1.81"/>
    <n v="5.88"/>
    <n v="7.69"/>
    <x v="2"/>
  </r>
  <r>
    <x v="4"/>
    <x v="33"/>
    <x v="1"/>
    <s v="8.60-20.72"/>
    <n v="18.09"/>
    <n v="20.72"/>
    <n v="8.6"/>
    <n v="6.06"/>
    <n v="14.66"/>
    <x v="3"/>
  </r>
  <r>
    <x v="4"/>
    <x v="107"/>
    <x v="1"/>
    <s v="0.67-16.29"/>
    <n v="10.74"/>
    <n v="16.29"/>
    <n v="0.67"/>
    <n v="7.81"/>
    <n v="8.48"/>
    <x v="3"/>
  </r>
  <r>
    <x v="4"/>
    <x v="35"/>
    <x v="1"/>
    <s v="5.00-19.48"/>
    <n v="15.38"/>
    <n v="19.48"/>
    <n v="5"/>
    <n v="7.24"/>
    <n v="12.24"/>
    <x v="4"/>
  </r>
  <r>
    <x v="4"/>
    <x v="95"/>
    <x v="1"/>
    <s v="3.26-16.10"/>
    <n v="11.72"/>
    <n v="16.100000000000001"/>
    <n v="3.26"/>
    <n v="6.42"/>
    <n v="9.68"/>
    <x v="4"/>
  </r>
  <r>
    <x v="4"/>
    <x v="37"/>
    <x v="1"/>
    <s v="4.40-16.62"/>
    <n v="13.25"/>
    <n v="16.62"/>
    <n v="4.4000000000000004"/>
    <n v="6.11"/>
    <n v="10.51"/>
    <x v="5"/>
  </r>
  <r>
    <x v="4"/>
    <x v="38"/>
    <x v="1"/>
    <s v="4.07-14.33"/>
    <n v="11.93"/>
    <n v="14.33"/>
    <n v="4.07"/>
    <n v="5.13"/>
    <n v="9.1999999999999993"/>
    <x v="5"/>
  </r>
  <r>
    <x v="4"/>
    <x v="123"/>
    <x v="1"/>
    <s v="2.29-14.51"/>
    <n v="11.04"/>
    <n v="14.51"/>
    <n v="2.29"/>
    <n v="6.11"/>
    <n v="8.4"/>
    <x v="5"/>
  </r>
  <r>
    <x v="4"/>
    <x v="40"/>
    <x v="1"/>
    <s v="0.37-13.21"/>
    <n v="8.4700000000000006"/>
    <n v="13.21"/>
    <n v="0.37"/>
    <n v="6.42"/>
    <n v="6.79"/>
    <x v="6"/>
  </r>
  <r>
    <x v="4"/>
    <x v="39"/>
    <x v="1"/>
    <s v="2.29-11.09"/>
    <n v="9.56"/>
    <n v="11.09"/>
    <n v="2.29"/>
    <n v="4.4000000000000004"/>
    <n v="6.69"/>
    <x v="6"/>
  </r>
  <r>
    <x v="4"/>
    <x v="42"/>
    <x v="1"/>
    <s v="3.99-21.41"/>
    <n v="15.74"/>
    <n v="21.41"/>
    <n v="3.99"/>
    <n v="8.7100000000000009"/>
    <n v="12.7"/>
    <x v="7"/>
  </r>
  <r>
    <x v="4"/>
    <x v="43"/>
    <x v="1"/>
    <s v="3.23-16.61"/>
    <n v="13.03"/>
    <n v="16.61"/>
    <n v="3.23"/>
    <n v="6.69"/>
    <n v="9.92"/>
    <x v="7"/>
  </r>
  <r>
    <x v="4"/>
    <x v="41"/>
    <x v="1"/>
    <s v="2.70-13.52"/>
    <n v="10.52"/>
    <n v="13.52"/>
    <n v="2.7"/>
    <n v="5.41"/>
    <n v="8.11"/>
    <x v="7"/>
  </r>
  <r>
    <x v="4"/>
    <x v="45"/>
    <x v="1"/>
    <s v="0.95-11.69"/>
    <n v="8.14"/>
    <n v="11.69"/>
    <n v="0.95"/>
    <n v="5.37"/>
    <n v="6.32"/>
    <x v="8"/>
  </r>
  <r>
    <x v="4"/>
    <x v="46"/>
    <x v="1"/>
    <s v="0.62-10.90"/>
    <n v="7.51"/>
    <n v="10.9"/>
    <n v="0.62"/>
    <n v="5.14"/>
    <n v="5.76"/>
    <x v="8"/>
  </r>
  <r>
    <x v="4"/>
    <x v="47"/>
    <x v="1"/>
    <s v="3.72-15.54"/>
    <n v="11.86"/>
    <n v="15.54"/>
    <n v="3.72"/>
    <n v="5.91"/>
    <n v="9.6300000000000008"/>
    <x v="9"/>
  </r>
  <r>
    <x v="4"/>
    <x v="98"/>
    <x v="1"/>
    <s v="3.41-14.53"/>
    <n v="11.47"/>
    <n v="14.53"/>
    <n v="3.41"/>
    <n v="5.56"/>
    <n v="8.9700000000000006"/>
    <x v="9"/>
  </r>
  <r>
    <x v="4"/>
    <x v="49"/>
    <x v="2"/>
    <s v="13.47-27.35"/>
    <n v="21.39"/>
    <n v="27.35"/>
    <n v="13.47"/>
    <n v="6.94"/>
    <n v="20.41"/>
    <x v="0"/>
  </r>
  <r>
    <x v="4"/>
    <x v="50"/>
    <x v="2"/>
    <s v="13.14-26.22"/>
    <n v="20.27"/>
    <n v="26.22"/>
    <n v="13.14"/>
    <n v="6.54"/>
    <n v="19.68"/>
    <x v="1"/>
  </r>
  <r>
    <x v="4"/>
    <x v="51"/>
    <x v="2"/>
    <s v="12.25-27.39"/>
    <n v="20.6"/>
    <n v="27.39"/>
    <n v="12.25"/>
    <n v="7.57"/>
    <n v="19.82"/>
    <x v="2"/>
  </r>
  <r>
    <x v="4"/>
    <x v="52"/>
    <x v="2"/>
    <s v="7.45-20.79"/>
    <n v="14.99"/>
    <n v="20.79"/>
    <n v="7.45"/>
    <n v="6.67"/>
    <n v="14.12"/>
    <x v="3"/>
  </r>
  <r>
    <x v="4"/>
    <x v="53"/>
    <x v="2"/>
    <s v="11.08-25.20"/>
    <n v="18.73"/>
    <n v="25.2"/>
    <n v="11.08"/>
    <n v="7.06"/>
    <n v="18.14"/>
    <x v="4"/>
  </r>
  <r>
    <x v="4"/>
    <x v="54"/>
    <x v="2"/>
    <s v="10.69-26.13"/>
    <n v="19.14"/>
    <n v="26.13"/>
    <n v="10.69"/>
    <n v="7.72"/>
    <n v="18.41"/>
    <x v="5"/>
  </r>
  <r>
    <x v="4"/>
    <x v="55"/>
    <x v="2"/>
    <s v="12.66-28.24"/>
    <n v="21.23"/>
    <n v="28.24"/>
    <n v="12.66"/>
    <n v="7.79"/>
    <n v="20.45"/>
    <x v="6"/>
  </r>
  <r>
    <x v="4"/>
    <x v="56"/>
    <x v="2"/>
    <s v="14.20-27.50"/>
    <n v="21.52"/>
    <n v="27.5"/>
    <n v="14.2"/>
    <n v="6.65"/>
    <n v="20.85"/>
    <x v="7"/>
  </r>
  <r>
    <x v="4"/>
    <x v="57"/>
    <x v="2"/>
    <s v="17.33-32.99"/>
    <n v="25.6"/>
    <n v="32.99"/>
    <n v="17.329999999999998"/>
    <n v="7.83"/>
    <n v="25.16"/>
    <x v="8"/>
  </r>
  <r>
    <x v="4"/>
    <x v="58"/>
    <x v="2"/>
    <s v="13.70-32.50"/>
    <n v="23.51"/>
    <n v="32.5"/>
    <n v="13.7"/>
    <n v="9.4"/>
    <n v="23.1"/>
    <x v="9"/>
  </r>
  <r>
    <x v="4"/>
    <x v="102"/>
    <x v="3"/>
    <s v="-0.52-8.52"/>
    <n v="5.51"/>
    <n v="8.52"/>
    <n v="-0.52"/>
    <n v="4.5199999999999996"/>
    <n v="4"/>
    <x v="0"/>
  </r>
  <r>
    <x v="4"/>
    <x v="60"/>
    <x v="3"/>
    <s v="1.11-12.49"/>
    <n v="9.0399999999999991"/>
    <n v="12.49"/>
    <n v="1.1100000000000001"/>
    <n v="5.69"/>
    <n v="6.8"/>
    <x v="1"/>
  </r>
  <r>
    <x v="4"/>
    <x v="61"/>
    <x v="3"/>
    <s v="0.61-8.67"/>
    <n v="6.12"/>
    <n v="8.67"/>
    <n v="0.61"/>
    <n v="4.03"/>
    <n v="4.6399999999999997"/>
    <x v="2"/>
  </r>
  <r>
    <x v="4"/>
    <x v="62"/>
    <x v="3"/>
    <s v="2.67-14.57"/>
    <n v="11.06"/>
    <n v="14.57"/>
    <n v="2.67"/>
    <n v="5.95"/>
    <n v="8.6199999999999992"/>
    <x v="3"/>
  </r>
  <r>
    <x v="4"/>
    <x v="124"/>
    <x v="3"/>
    <s v="1.27-7.69"/>
    <n v="5.92"/>
    <n v="7.69"/>
    <n v="1.27"/>
    <n v="3.21"/>
    <n v="4.4800000000000004"/>
    <x v="4"/>
  </r>
  <r>
    <x v="4"/>
    <x v="64"/>
    <x v="3"/>
    <s v="2.74-12.28"/>
    <n v="9.68"/>
    <n v="12.28"/>
    <n v="2.74"/>
    <n v="4.7699999999999996"/>
    <n v="7.51"/>
    <x v="5"/>
  </r>
  <r>
    <x v="4"/>
    <x v="66"/>
    <x v="3"/>
    <s v="4.31-19.83"/>
    <n v="14.26"/>
    <n v="19.829999999999998"/>
    <n v="4.3099999999999996"/>
    <n v="7.76"/>
    <n v="12.07"/>
    <x v="6"/>
  </r>
  <r>
    <x v="4"/>
    <x v="67"/>
    <x v="3"/>
    <s v="1.27-14.69"/>
    <n v="10.34"/>
    <n v="14.69"/>
    <n v="1.27"/>
    <n v="6.71"/>
    <n v="7.98"/>
    <x v="7"/>
  </r>
  <r>
    <x v="4"/>
    <x v="68"/>
    <x v="3"/>
    <s v="2.65-14.47"/>
    <n v="10.87"/>
    <n v="14.47"/>
    <n v="2.65"/>
    <n v="5.91"/>
    <n v="8.56"/>
    <x v="8"/>
  </r>
  <r>
    <x v="4"/>
    <x v="69"/>
    <x v="3"/>
    <s v="-0.40-11.26"/>
    <n v="7.19"/>
    <n v="11.26"/>
    <n v="-0.4"/>
    <n v="5.83"/>
    <n v="5.43"/>
    <x v="9"/>
  </r>
  <r>
    <x v="4"/>
    <x v="70"/>
    <x v="4"/>
    <s v="2.80-12.56"/>
    <n v="7.33"/>
    <n v="12.56"/>
    <n v="2.8"/>
    <n v="4.88"/>
    <n v="7.33"/>
    <x v="0"/>
  </r>
  <r>
    <x v="4"/>
    <x v="71"/>
    <x v="4"/>
    <s v="3.34-14.74"/>
    <n v="7.6040999999999999"/>
    <n v="14.74"/>
    <n v="3.34"/>
    <n v="5.7"/>
    <n v="7.6040999999999999"/>
    <x v="1"/>
  </r>
  <r>
    <x v="4"/>
    <x v="72"/>
    <x v="4"/>
    <s v="2.63-15.11"/>
    <n v="8.1595999999999993"/>
    <n v="15.11"/>
    <n v="2.63"/>
    <n v="6.24"/>
    <n v="8.1595999999999993"/>
    <x v="2"/>
  </r>
  <r>
    <x v="4"/>
    <x v="73"/>
    <x v="4"/>
    <s v="3.65-17.29"/>
    <n v="9.8766999999999996"/>
    <n v="17.29"/>
    <n v="3.65"/>
    <n v="6.82"/>
    <n v="9.8766999999999996"/>
    <x v="3"/>
  </r>
  <r>
    <x v="4"/>
    <x v="125"/>
    <x v="4"/>
    <s v="2.34-13.60"/>
    <n v="7.6010999999999997"/>
    <n v="13.6"/>
    <n v="2.34"/>
    <n v="5.63"/>
    <n v="7.6010999999999997"/>
    <x v="4"/>
  </r>
  <r>
    <x v="4"/>
    <x v="104"/>
    <x v="4"/>
    <s v="3.09-14.25"/>
    <n v="8.3146000000000004"/>
    <n v="14.25"/>
    <n v="3.09"/>
    <n v="5.58"/>
    <n v="8.3146000000000004"/>
    <x v="5"/>
  </r>
  <r>
    <x v="4"/>
    <x v="76"/>
    <x v="4"/>
    <s v="4.08-15.48"/>
    <n v="9.42"/>
    <n v="15.48"/>
    <n v="4.08"/>
    <n v="5.7"/>
    <n v="9.42"/>
    <x v="6"/>
  </r>
  <r>
    <x v="4"/>
    <x v="77"/>
    <x v="4"/>
    <s v="2.51-13.29"/>
    <n v="7.6452"/>
    <n v="13.29"/>
    <n v="2.5099999999999998"/>
    <n v="5.39"/>
    <n v="7.6452"/>
    <x v="7"/>
  </r>
  <r>
    <x v="4"/>
    <x v="78"/>
    <x v="4"/>
    <s v="5.27-17.83"/>
    <n v="11.076599999999999"/>
    <n v="17.829999999999998"/>
    <n v="5.27"/>
    <n v="6.28"/>
    <n v="11.076599999999999"/>
    <x v="8"/>
  </r>
  <r>
    <x v="4"/>
    <x v="79"/>
    <x v="4"/>
    <s v="6.94-19.72"/>
    <n v="12.962899999999999"/>
    <n v="19.72"/>
    <n v="6.94"/>
    <n v="6.39"/>
    <n v="12.962899999999999"/>
    <x v="9"/>
  </r>
  <r>
    <x v="4"/>
    <x v="80"/>
    <x v="5"/>
    <s v="4.84-14.78"/>
    <n v="9.82"/>
    <n v="14.78"/>
    <n v="4.84"/>
    <n v="4.97"/>
    <n v="9.81"/>
    <x v="0"/>
  </r>
  <r>
    <x v="4"/>
    <x v="81"/>
    <x v="5"/>
    <s v="5.06-12.50"/>
    <n v="8.77"/>
    <n v="12.5"/>
    <n v="5.0599999999999996"/>
    <n v="3.72"/>
    <n v="8.7799999999999994"/>
    <x v="1"/>
  </r>
  <r>
    <x v="4"/>
    <x v="82"/>
    <x v="5"/>
    <s v="4.45-13.57"/>
    <n v="8.98"/>
    <n v="13.57"/>
    <n v="4.45"/>
    <n v="4.5599999999999996"/>
    <n v="9.01"/>
    <x v="2"/>
  </r>
  <r>
    <x v="4"/>
    <x v="83"/>
    <x v="5"/>
    <s v="2.93-13.03"/>
    <n v="7.95"/>
    <n v="13.03"/>
    <n v="2.93"/>
    <n v="5.05"/>
    <n v="7.98"/>
    <x v="3"/>
  </r>
  <r>
    <x v="4"/>
    <x v="84"/>
    <x v="5"/>
    <s v="4.71-13.77"/>
    <n v="9.23"/>
    <n v="13.77"/>
    <n v="4.71"/>
    <n v="4.53"/>
    <n v="9.24"/>
    <x v="4"/>
  </r>
  <r>
    <x v="4"/>
    <x v="85"/>
    <x v="5"/>
    <s v="4.16-13.90"/>
    <n v="9.06"/>
    <n v="13.9"/>
    <n v="4.16"/>
    <n v="4.87"/>
    <n v="9.0299999999999994"/>
    <x v="5"/>
  </r>
  <r>
    <x v="4"/>
    <x v="86"/>
    <x v="5"/>
    <s v="4.29-12.61"/>
    <n v="8.4700000000000006"/>
    <n v="12.61"/>
    <n v="4.29"/>
    <n v="4.16"/>
    <n v="8.4499999999999993"/>
    <x v="6"/>
  </r>
  <r>
    <x v="4"/>
    <x v="87"/>
    <x v="5"/>
    <s v="4.18-11.82"/>
    <n v="8.0500000000000007"/>
    <n v="11.82"/>
    <n v="4.18"/>
    <n v="3.82"/>
    <n v="8"/>
    <x v="7"/>
  </r>
  <r>
    <x v="4"/>
    <x v="88"/>
    <x v="5"/>
    <s v="2.90-11.72"/>
    <n v="7.26"/>
    <n v="11.72"/>
    <n v="2.9"/>
    <n v="4.41"/>
    <n v="7.31"/>
    <x v="8"/>
  </r>
  <r>
    <x v="4"/>
    <x v="89"/>
    <x v="5"/>
    <s v="5.24-13.96"/>
    <n v="9.61"/>
    <n v="13.96"/>
    <n v="5.24"/>
    <n v="4.3600000000000003"/>
    <n v="9.6"/>
    <x v="9"/>
  </r>
  <r>
    <x v="5"/>
    <x v="1"/>
    <x v="0"/>
    <s v="5.47-22.77"/>
    <n v="15.29"/>
    <n v="22.77"/>
    <n v="5.47"/>
    <n v="8.65"/>
    <n v="14.12"/>
    <x v="0"/>
  </r>
  <r>
    <x v="5"/>
    <x v="2"/>
    <x v="0"/>
    <s v="4.01-13.01"/>
    <n v="9.44"/>
    <n v="13.01"/>
    <n v="4.01"/>
    <n v="4.5"/>
    <n v="8.51"/>
    <x v="0"/>
  </r>
  <r>
    <x v="5"/>
    <x v="5"/>
    <x v="0"/>
    <s v="4.24-23.94"/>
    <n v="15.46"/>
    <n v="23.94"/>
    <n v="4.24"/>
    <n v="9.85"/>
    <n v="14.09"/>
    <x v="1"/>
  </r>
  <r>
    <x v="5"/>
    <x v="3"/>
    <x v="0"/>
    <s v="4.30-19.06"/>
    <n v="14.14"/>
    <n v="19.059999999999999"/>
    <n v="4.3"/>
    <n v="7.38"/>
    <n v="11.68"/>
    <x v="1"/>
  </r>
  <r>
    <x v="5"/>
    <x v="4"/>
    <x v="0"/>
    <s v="3.81-18.45"/>
    <n v="12.15"/>
    <n v="18.45"/>
    <n v="3.81"/>
    <n v="7.32"/>
    <n v="11.13"/>
    <x v="1"/>
  </r>
  <r>
    <x v="5"/>
    <x v="6"/>
    <x v="0"/>
    <s v="6.73-22.09"/>
    <n v="16.399999999999999"/>
    <n v="22.09"/>
    <n v="6.73"/>
    <n v="7.68"/>
    <n v="14.41"/>
    <x v="2"/>
  </r>
  <r>
    <x v="5"/>
    <x v="7"/>
    <x v="0"/>
    <s v="4.42-17.30"/>
    <n v="12.35"/>
    <n v="17.3"/>
    <n v="4.42"/>
    <n v="6.44"/>
    <n v="10.86"/>
    <x v="2"/>
  </r>
  <r>
    <x v="5"/>
    <x v="8"/>
    <x v="0"/>
    <s v="4.71-19.27"/>
    <n v="13.96"/>
    <n v="19.27"/>
    <n v="4.71"/>
    <n v="7.28"/>
    <n v="11.99"/>
    <x v="3"/>
  </r>
  <r>
    <x v="5"/>
    <x v="9"/>
    <x v="0"/>
    <s v="4.60-17.10"/>
    <n v="12.42"/>
    <n v="17.100000000000001"/>
    <n v="4.5999999999999996"/>
    <n v="6.25"/>
    <n v="10.85"/>
    <x v="3"/>
  </r>
  <r>
    <x v="5"/>
    <x v="11"/>
    <x v="0"/>
    <s v="8.89-21.09"/>
    <n v="16.079999999999998"/>
    <n v="21.09"/>
    <n v="8.89"/>
    <n v="6.1"/>
    <n v="14.99"/>
    <x v="4"/>
  </r>
  <r>
    <x v="5"/>
    <x v="12"/>
    <x v="0"/>
    <s v="6.90-20.18"/>
    <n v="15.84"/>
    <n v="20.18"/>
    <n v="6.9"/>
    <n v="6.64"/>
    <n v="13.54"/>
    <x v="4"/>
  </r>
  <r>
    <x v="5"/>
    <x v="13"/>
    <x v="0"/>
    <s v="2.48-19.14"/>
    <n v="12.21"/>
    <n v="19.14"/>
    <n v="2.48"/>
    <n v="8.33"/>
    <n v="10.81"/>
    <x v="4"/>
  </r>
  <r>
    <x v="5"/>
    <x v="15"/>
    <x v="0"/>
    <s v="9.19-24.55"/>
    <n v="19.39"/>
    <n v="24.55"/>
    <n v="9.19"/>
    <n v="7.68"/>
    <n v="16.87"/>
    <x v="5"/>
  </r>
  <r>
    <x v="5"/>
    <x v="14"/>
    <x v="0"/>
    <s v="0.67-13.73"/>
    <n v="8.57"/>
    <n v="13.73"/>
    <n v="0.67"/>
    <n v="6.53"/>
    <n v="7.2"/>
    <x v="5"/>
  </r>
  <r>
    <x v="5"/>
    <x v="16"/>
    <x v="0"/>
    <s v="6.48-19.92"/>
    <n v="15.49"/>
    <n v="19.920000000000002"/>
    <n v="6.48"/>
    <n v="6.72"/>
    <n v="13.2"/>
    <x v="6"/>
  </r>
  <r>
    <x v="5"/>
    <x v="17"/>
    <x v="0"/>
    <s v="5.04-15.52"/>
    <n v="10.9"/>
    <n v="15.52"/>
    <n v="5.04"/>
    <n v="5.24"/>
    <n v="10.28"/>
    <x v="6"/>
  </r>
  <r>
    <x v="5"/>
    <x v="91"/>
    <x v="0"/>
    <s v="0.43-12.61"/>
    <n v="7.37"/>
    <n v="12.61"/>
    <n v="0.43"/>
    <n v="6.09"/>
    <n v="6.52"/>
    <x v="6"/>
  </r>
  <r>
    <x v="5"/>
    <x v="19"/>
    <x v="0"/>
    <s v="3.92-18.46"/>
    <n v="12.31"/>
    <n v="18.46"/>
    <n v="3.92"/>
    <n v="7.27"/>
    <n v="11.19"/>
    <x v="7"/>
  </r>
  <r>
    <x v="5"/>
    <x v="20"/>
    <x v="0"/>
    <s v="5.46-16.90"/>
    <n v="12.24"/>
    <n v="16.899999999999999"/>
    <n v="5.46"/>
    <n v="5.72"/>
    <n v="11.18"/>
    <x v="7"/>
  </r>
  <r>
    <x v="5"/>
    <x v="22"/>
    <x v="0"/>
    <s v="-0.26-16.68"/>
    <n v="9.69"/>
    <n v="16.68"/>
    <n v="-0.26"/>
    <n v="8.4700000000000006"/>
    <n v="8.2100000000000009"/>
    <x v="8"/>
  </r>
  <r>
    <x v="5"/>
    <x v="92"/>
    <x v="0"/>
    <s v="2.94-11.68"/>
    <n v="8.4600000000000009"/>
    <n v="11.68"/>
    <n v="2.94"/>
    <n v="4.37"/>
    <n v="7.31"/>
    <x v="8"/>
  </r>
  <r>
    <x v="5"/>
    <x v="23"/>
    <x v="0"/>
    <s v="4.38-23.90"/>
    <n v="15.65"/>
    <n v="23.9"/>
    <n v="4.38"/>
    <n v="9.76"/>
    <n v="14.14"/>
    <x v="9"/>
  </r>
  <r>
    <x v="5"/>
    <x v="25"/>
    <x v="0"/>
    <s v="4.30-18.06"/>
    <n v="12.66"/>
    <n v="18.059999999999999"/>
    <n v="4.3"/>
    <n v="6.88"/>
    <n v="11.18"/>
    <x v="9"/>
  </r>
  <r>
    <x v="5"/>
    <x v="24"/>
    <x v="0"/>
    <s v="4.20-14.66"/>
    <n v="10.07"/>
    <n v="14.66"/>
    <n v="4.2"/>
    <n v="5.23"/>
    <n v="9.43"/>
    <x v="9"/>
  </r>
  <r>
    <x v="5"/>
    <x v="26"/>
    <x v="1"/>
    <s v="6.06-21.44"/>
    <n v="16.7"/>
    <n v="21.44"/>
    <n v="6.06"/>
    <n v="7.69"/>
    <n v="13.75"/>
    <x v="0"/>
  </r>
  <r>
    <x v="5"/>
    <x v="27"/>
    <x v="1"/>
    <s v="5.63-19.63"/>
    <n v="15.6"/>
    <n v="19.63"/>
    <n v="5.63"/>
    <n v="7"/>
    <n v="12.63"/>
    <x v="0"/>
  </r>
  <r>
    <x v="5"/>
    <x v="93"/>
    <x v="1"/>
    <s v="2.47-14.77"/>
    <n v="10.85"/>
    <n v="14.77"/>
    <n v="2.4700000000000002"/>
    <n v="6.15"/>
    <n v="8.6199999999999992"/>
    <x v="0"/>
  </r>
  <r>
    <x v="5"/>
    <x v="28"/>
    <x v="1"/>
    <s v="5.64-19.00"/>
    <n v="15.26"/>
    <n v="19"/>
    <n v="5.64"/>
    <n v="6.68"/>
    <n v="12.32"/>
    <x v="1"/>
  </r>
  <r>
    <x v="5"/>
    <x v="126"/>
    <x v="1"/>
    <s v="2.10-15.14"/>
    <n v="11.73"/>
    <n v="15.14"/>
    <n v="2.1"/>
    <n v="6.52"/>
    <n v="8.6199999999999992"/>
    <x v="1"/>
  </r>
  <r>
    <x v="5"/>
    <x v="30"/>
    <x v="1"/>
    <s v="4.91-18.25"/>
    <n v="14.3"/>
    <n v="18.25"/>
    <n v="4.91"/>
    <n v="6.67"/>
    <n v="11.58"/>
    <x v="2"/>
  </r>
  <r>
    <x v="5"/>
    <x v="31"/>
    <x v="1"/>
    <s v="2.61-16.17"/>
    <n v="11.46"/>
    <n v="16.170000000000002"/>
    <n v="2.61"/>
    <n v="6.78"/>
    <n v="9.39"/>
    <x v="2"/>
  </r>
  <r>
    <x v="5"/>
    <x v="94"/>
    <x v="1"/>
    <s v="0.91-14.19"/>
    <n v="9.58"/>
    <n v="14.19"/>
    <n v="0.91"/>
    <n v="6.64"/>
    <n v="7.55"/>
    <x v="2"/>
  </r>
  <r>
    <x v="5"/>
    <x v="33"/>
    <x v="1"/>
    <s v="5.87-19.95"/>
    <n v="15.85"/>
    <n v="19.95"/>
    <n v="5.87"/>
    <n v="7.04"/>
    <n v="12.91"/>
    <x v="3"/>
  </r>
  <r>
    <x v="5"/>
    <x v="34"/>
    <x v="1"/>
    <s v="3.93-20.77"/>
    <n v="15.09"/>
    <n v="20.77"/>
    <n v="3.93"/>
    <n v="8.42"/>
    <n v="12.35"/>
    <x v="3"/>
  </r>
  <r>
    <x v="5"/>
    <x v="107"/>
    <x v="1"/>
    <s v="2.14-15.70"/>
    <n v="11.32"/>
    <n v="15.7"/>
    <n v="2.14"/>
    <n v="6.78"/>
    <n v="8.92"/>
    <x v="3"/>
  </r>
  <r>
    <x v="5"/>
    <x v="36"/>
    <x v="1"/>
    <s v="3.45-14.89"/>
    <n v="11.66"/>
    <n v="14.89"/>
    <n v="3.45"/>
    <n v="5.72"/>
    <n v="9.17"/>
    <x v="4"/>
  </r>
  <r>
    <x v="5"/>
    <x v="127"/>
    <x v="1"/>
    <s v="1.58-14.54"/>
    <n v="10.56"/>
    <n v="14.54"/>
    <n v="1.58"/>
    <n v="6.48"/>
    <n v="8.06"/>
    <x v="4"/>
  </r>
  <r>
    <x v="5"/>
    <x v="37"/>
    <x v="1"/>
    <s v="4.45-16.75"/>
    <n v="13.37"/>
    <n v="16.75"/>
    <n v="4.45"/>
    <n v="6.15"/>
    <n v="10.6"/>
    <x v="5"/>
  </r>
  <r>
    <x v="5"/>
    <x v="96"/>
    <x v="1"/>
    <s v="2.50-16.82"/>
    <n v="12.42"/>
    <n v="16.82"/>
    <n v="2.5"/>
    <n v="7.16"/>
    <n v="9.66"/>
    <x v="5"/>
  </r>
  <r>
    <x v="5"/>
    <x v="38"/>
    <x v="1"/>
    <s v="4.09-12.97"/>
    <n v="11.22"/>
    <n v="12.97"/>
    <n v="4.09"/>
    <n v="4.4400000000000004"/>
    <n v="8.5299999999999994"/>
    <x v="5"/>
  </r>
  <r>
    <x v="5"/>
    <x v="39"/>
    <x v="1"/>
    <s v="2.84-12.34"/>
    <n v="10.38"/>
    <n v="12.34"/>
    <n v="2.84"/>
    <n v="4.75"/>
    <n v="7.59"/>
    <x v="6"/>
  </r>
  <r>
    <x v="5"/>
    <x v="97"/>
    <x v="1"/>
    <s v="1.72-12.02"/>
    <n v="9.75"/>
    <n v="12.02"/>
    <n v="1.72"/>
    <n v="5.15"/>
    <n v="6.87"/>
    <x v="6"/>
  </r>
  <r>
    <x v="5"/>
    <x v="42"/>
    <x v="1"/>
    <s v="5.17-23.63"/>
    <n v="17.62"/>
    <n v="23.63"/>
    <n v="5.17"/>
    <n v="9.23"/>
    <n v="14.4"/>
    <x v="7"/>
  </r>
  <r>
    <x v="5"/>
    <x v="43"/>
    <x v="1"/>
    <s v="3.13-15.47"/>
    <n v="12.27"/>
    <n v="15.47"/>
    <n v="3.13"/>
    <n v="6.17"/>
    <n v="9.3000000000000007"/>
    <x v="7"/>
  </r>
  <r>
    <x v="5"/>
    <x v="41"/>
    <x v="1"/>
    <s v="3.49-14.55"/>
    <n v="11.43"/>
    <n v="14.55"/>
    <n v="3.49"/>
    <n v="5.53"/>
    <n v="9.02"/>
    <x v="7"/>
  </r>
  <r>
    <x v="5"/>
    <x v="44"/>
    <x v="1"/>
    <s v="2.74-15.12"/>
    <n v="11.38"/>
    <n v="15.12"/>
    <n v="2.74"/>
    <n v="6.19"/>
    <n v="8.93"/>
    <x v="8"/>
  </r>
  <r>
    <x v="5"/>
    <x v="46"/>
    <x v="1"/>
    <s v="1.01-13.51"/>
    <n v="9.01"/>
    <n v="13.51"/>
    <n v="1.01"/>
    <n v="6.25"/>
    <n v="7.26"/>
    <x v="8"/>
  </r>
  <r>
    <x v="5"/>
    <x v="109"/>
    <x v="1"/>
    <s v="1.75-9.47"/>
    <n v="7.39"/>
    <n v="9.4700000000000006"/>
    <n v="1.75"/>
    <n v="3.86"/>
    <n v="5.61"/>
    <x v="8"/>
  </r>
  <r>
    <x v="5"/>
    <x v="47"/>
    <x v="1"/>
    <s v="3.30-17.54"/>
    <n v="12.75"/>
    <n v="17.54"/>
    <n v="3.3"/>
    <n v="7.12"/>
    <n v="10.42"/>
    <x v="9"/>
  </r>
  <r>
    <x v="5"/>
    <x v="98"/>
    <x v="1"/>
    <s v="3.74-16.20"/>
    <n v="12.37"/>
    <n v="16.2"/>
    <n v="3.74"/>
    <n v="6.23"/>
    <n v="9.9700000000000006"/>
    <x v="9"/>
  </r>
  <r>
    <x v="5"/>
    <x v="49"/>
    <x v="2"/>
    <s v="11.80-25.08"/>
    <n v="19.399999999999999"/>
    <n v="25.08"/>
    <n v="11.8"/>
    <n v="6.64"/>
    <n v="18.440000000000001"/>
    <x v="0"/>
  </r>
  <r>
    <x v="5"/>
    <x v="50"/>
    <x v="2"/>
    <s v="12.61-25.11"/>
    <n v="19.5"/>
    <n v="25.11"/>
    <n v="12.61"/>
    <n v="6.25"/>
    <n v="18.86"/>
    <x v="1"/>
  </r>
  <r>
    <x v="5"/>
    <x v="110"/>
    <x v="2"/>
    <s v="9.55-22.99"/>
    <n v="17.149999999999999"/>
    <n v="22.99"/>
    <n v="9.5500000000000007"/>
    <n v="6.72"/>
    <n v="16.27"/>
    <x v="2"/>
  </r>
  <r>
    <x v="5"/>
    <x v="52"/>
    <x v="2"/>
    <s v="8.95-23.45"/>
    <n v="17.13"/>
    <n v="23.45"/>
    <n v="8.9499999999999993"/>
    <n v="7.25"/>
    <n v="16.2"/>
    <x v="3"/>
  </r>
  <r>
    <x v="5"/>
    <x v="100"/>
    <x v="2"/>
    <s v="13.33-24.65"/>
    <n v="19.62"/>
    <n v="24.65"/>
    <n v="13.33"/>
    <n v="5.66"/>
    <n v="18.989999999999998"/>
    <x v="4"/>
  </r>
  <r>
    <x v="5"/>
    <x v="117"/>
    <x v="2"/>
    <s v="9.83-26.41"/>
    <n v="18.670000000000002"/>
    <n v="26.41"/>
    <n v="9.83"/>
    <n v="8.2899999999999991"/>
    <n v="18.12"/>
    <x v="5"/>
  </r>
  <r>
    <x v="5"/>
    <x v="128"/>
    <x v="2"/>
    <s v="8.45-22.75"/>
    <n v="16.45"/>
    <n v="22.75"/>
    <n v="8.4499999999999993"/>
    <n v="7.15"/>
    <n v="15.6"/>
    <x v="6"/>
  </r>
  <r>
    <x v="5"/>
    <x v="56"/>
    <x v="2"/>
    <s v="13.26-30.64"/>
    <n v="22.46"/>
    <n v="30.64"/>
    <n v="13.26"/>
    <n v="8.69"/>
    <n v="21.95"/>
    <x v="7"/>
  </r>
  <r>
    <x v="5"/>
    <x v="57"/>
    <x v="2"/>
    <s v="13.56-28.28"/>
    <n v="21.58"/>
    <n v="28.28"/>
    <n v="13.56"/>
    <n v="7.36"/>
    <n v="20.92"/>
    <x v="8"/>
  </r>
  <r>
    <x v="5"/>
    <x v="58"/>
    <x v="2"/>
    <s v="18.14-35.88"/>
    <n v="27.37"/>
    <n v="35.880000000000003"/>
    <n v="18.14"/>
    <n v="8.8699999999999992"/>
    <n v="27.01"/>
    <x v="9"/>
  </r>
  <r>
    <x v="5"/>
    <x v="102"/>
    <x v="3"/>
    <s v="-0.05-8.55"/>
    <n v="5.96"/>
    <n v="8.5500000000000007"/>
    <n v="-0.05"/>
    <n v="4.3"/>
    <n v="4.25"/>
    <x v="0"/>
  </r>
  <r>
    <x v="5"/>
    <x v="60"/>
    <x v="3"/>
    <s v="2.56-12.56"/>
    <n v="9.84"/>
    <n v="12.56"/>
    <n v="2.56"/>
    <n v="5"/>
    <n v="7.56"/>
    <x v="1"/>
  </r>
  <r>
    <x v="5"/>
    <x v="61"/>
    <x v="3"/>
    <s v="0.34-8.68"/>
    <n v="5.95"/>
    <n v="8.68"/>
    <n v="0.34"/>
    <n v="4.17"/>
    <n v="4.51"/>
    <x v="2"/>
  </r>
  <r>
    <x v="5"/>
    <x v="62"/>
    <x v="3"/>
    <s v="3.07-13.23"/>
    <n v="10.67"/>
    <n v="13.23"/>
    <n v="3.07"/>
    <n v="5.08"/>
    <n v="8.15"/>
    <x v="3"/>
  </r>
  <r>
    <x v="5"/>
    <x v="124"/>
    <x v="3"/>
    <s v="1.47-7.25"/>
    <n v="5.88"/>
    <n v="7.25"/>
    <n v="1.47"/>
    <n v="2.89"/>
    <n v="4.3600000000000003"/>
    <x v="4"/>
  </r>
  <r>
    <x v="5"/>
    <x v="64"/>
    <x v="3"/>
    <s v="2.22-11.70"/>
    <n v="8.93"/>
    <n v="11.7"/>
    <n v="2.2200000000000002"/>
    <n v="4.74"/>
    <n v="6.96"/>
    <x v="5"/>
  </r>
  <r>
    <x v="5"/>
    <x v="66"/>
    <x v="3"/>
    <s v="4.99-19.37"/>
    <n v="14.57"/>
    <n v="19.37"/>
    <n v="4.99"/>
    <n v="7.19"/>
    <n v="12.18"/>
    <x v="6"/>
  </r>
  <r>
    <x v="5"/>
    <x v="67"/>
    <x v="3"/>
    <s v="0.64-13.00"/>
    <n v="9.02"/>
    <n v="13"/>
    <n v="0.64"/>
    <n v="6.18"/>
    <n v="6.82"/>
    <x v="7"/>
  </r>
  <r>
    <x v="5"/>
    <x v="68"/>
    <x v="3"/>
    <s v="2.89-11.99"/>
    <n v="9.76"/>
    <n v="11.99"/>
    <n v="2.89"/>
    <n v="4.55"/>
    <n v="7.44"/>
    <x v="8"/>
  </r>
  <r>
    <x v="5"/>
    <x v="69"/>
    <x v="3"/>
    <s v="0.64-11.98"/>
    <n v="8.7899999999999991"/>
    <n v="11.98"/>
    <n v="0.64"/>
    <n v="5.67"/>
    <n v="6.31"/>
    <x v="9"/>
  </r>
  <r>
    <x v="5"/>
    <x v="70"/>
    <x v="4"/>
    <s v="5.15-17.93"/>
    <n v="11.1662"/>
    <n v="17.93"/>
    <n v="5.15"/>
    <n v="6.39"/>
    <n v="11.1662"/>
    <x v="0"/>
  </r>
  <r>
    <x v="5"/>
    <x v="129"/>
    <x v="4"/>
    <s v="2.04-12.92"/>
    <n v="7.1193999999999997"/>
    <n v="12.92"/>
    <n v="2.04"/>
    <n v="5.44"/>
    <n v="7.1193999999999997"/>
    <x v="1"/>
  </r>
  <r>
    <x v="5"/>
    <x v="112"/>
    <x v="4"/>
    <s v="-0.98-12.30"/>
    <n v="5.1711999999999998"/>
    <n v="12.3"/>
    <n v="-0.98"/>
    <n v="6.64"/>
    <n v="5.1711999999999998"/>
    <x v="2"/>
  </r>
  <r>
    <x v="5"/>
    <x v="73"/>
    <x v="4"/>
    <s v="3.77-14.83"/>
    <n v="8.5786999999999995"/>
    <n v="14.83"/>
    <n v="3.77"/>
    <n v="5.53"/>
    <n v="8.5786999999999995"/>
    <x v="3"/>
  </r>
  <r>
    <x v="5"/>
    <x v="74"/>
    <x v="4"/>
    <s v="3.43-13.93"/>
    <n v="8.2836999999999996"/>
    <n v="13.93"/>
    <n v="3.43"/>
    <n v="5.25"/>
    <n v="8.2836999999999996"/>
    <x v="4"/>
  </r>
  <r>
    <x v="5"/>
    <x v="104"/>
    <x v="4"/>
    <s v="2.98-16.32"/>
    <n v="9.4141999999999992"/>
    <n v="16.32"/>
    <n v="2.98"/>
    <n v="6.67"/>
    <n v="9.4141999999999992"/>
    <x v="5"/>
  </r>
  <r>
    <x v="5"/>
    <x v="76"/>
    <x v="4"/>
    <s v="4.69-17.81"/>
    <n v="10.524699999999999"/>
    <n v="17.809999999999999"/>
    <n v="4.6900000000000004"/>
    <n v="6.56"/>
    <n v="10.524699999999999"/>
    <x v="6"/>
  </r>
  <r>
    <x v="5"/>
    <x v="77"/>
    <x v="4"/>
    <s v="5.36-19.70"/>
    <n v="12.0442"/>
    <n v="19.7"/>
    <n v="5.36"/>
    <n v="7.17"/>
    <n v="12.0442"/>
    <x v="7"/>
  </r>
  <r>
    <x v="5"/>
    <x v="78"/>
    <x v="4"/>
    <s v="1.18-12.22"/>
    <n v="6.3369"/>
    <n v="12.22"/>
    <n v="1.18"/>
    <n v="5.52"/>
    <n v="6.3369"/>
    <x v="8"/>
  </r>
  <r>
    <x v="5"/>
    <x v="79"/>
    <x v="4"/>
    <s v="3.26-14.46"/>
    <n v="8.6196000000000002"/>
    <n v="14.46"/>
    <n v="3.26"/>
    <n v="5.6"/>
    <n v="8.6196000000000002"/>
    <x v="9"/>
  </r>
  <r>
    <x v="5"/>
    <x v="130"/>
    <x v="5"/>
    <s v="3.76-12.56"/>
    <n v="8.14"/>
    <n v="12.56"/>
    <n v="3.76"/>
    <n v="4.4000000000000004"/>
    <n v="8.16"/>
    <x v="0"/>
  </r>
  <r>
    <x v="5"/>
    <x v="130"/>
    <x v="5"/>
    <s v="3.76-12.56"/>
    <n v="8.14"/>
    <n v="12.56"/>
    <n v="3.76"/>
    <n v="4.4000000000000004"/>
    <n v="8.16"/>
    <x v="1"/>
  </r>
  <r>
    <x v="5"/>
    <x v="82"/>
    <x v="5"/>
    <s v="3.42-12.66"/>
    <n v="8.06"/>
    <n v="12.66"/>
    <n v="3.42"/>
    <n v="4.62"/>
    <n v="8.0399999999999991"/>
    <x v="2"/>
  </r>
  <r>
    <x v="5"/>
    <x v="83"/>
    <x v="5"/>
    <s v="4.25-14.23"/>
    <n v="9.24"/>
    <n v="14.23"/>
    <n v="4.25"/>
    <n v="4.99"/>
    <n v="9.24"/>
    <x v="3"/>
  </r>
  <r>
    <x v="5"/>
    <x v="84"/>
    <x v="5"/>
    <s v="3.94-13.08"/>
    <n v="8.4600000000000009"/>
    <n v="13.08"/>
    <n v="3.94"/>
    <n v="4.57"/>
    <n v="8.51"/>
    <x v="4"/>
  </r>
  <r>
    <x v="5"/>
    <x v="114"/>
    <x v="5"/>
    <s v="5.58-13.68"/>
    <n v="9.64"/>
    <n v="13.68"/>
    <n v="5.58"/>
    <n v="4.05"/>
    <n v="9.6300000000000008"/>
    <x v="5"/>
  </r>
  <r>
    <x v="5"/>
    <x v="86"/>
    <x v="5"/>
    <s v="5.08-14.76"/>
    <n v="9.89"/>
    <n v="14.76"/>
    <n v="5.08"/>
    <n v="4.84"/>
    <n v="9.92"/>
    <x v="6"/>
  </r>
  <r>
    <x v="5"/>
    <x v="87"/>
    <x v="5"/>
    <s v="3.96-10.78"/>
    <n v="7.42"/>
    <n v="10.78"/>
    <n v="3.96"/>
    <n v="3.41"/>
    <n v="7.37"/>
    <x v="7"/>
  </r>
  <r>
    <x v="5"/>
    <x v="88"/>
    <x v="5"/>
    <s v="4.59-13.99"/>
    <n v="9.2899999999999991"/>
    <n v="13.99"/>
    <n v="4.59"/>
    <n v="4.7"/>
    <n v="9.2899999999999991"/>
    <x v="8"/>
  </r>
  <r>
    <x v="5"/>
    <x v="89"/>
    <x v="5"/>
    <s v="4.52-13.12"/>
    <n v="8.85"/>
    <n v="13.12"/>
    <n v="4.5199999999999996"/>
    <n v="4.3"/>
    <n v="8.82"/>
    <x v="9"/>
  </r>
  <r>
    <x v="6"/>
    <x v="1"/>
    <x v="0"/>
    <s v="6.30-23.66"/>
    <n v="16.170000000000002"/>
    <n v="23.66"/>
    <n v="6.3"/>
    <n v="8.68"/>
    <n v="14.98"/>
    <x v="0"/>
  </r>
  <r>
    <x v="6"/>
    <x v="2"/>
    <x v="0"/>
    <s v="3.53-16.35"/>
    <n v="10.92"/>
    <n v="16.350000000000001"/>
    <n v="3.53"/>
    <n v="6.41"/>
    <n v="9.94"/>
    <x v="0"/>
  </r>
  <r>
    <x v="6"/>
    <x v="90"/>
    <x v="0"/>
    <s v="0.05-18.23"/>
    <n v="10.23"/>
    <n v="18.23"/>
    <n v="0.05"/>
    <n v="9.09"/>
    <n v="9.14"/>
    <x v="0"/>
  </r>
  <r>
    <x v="6"/>
    <x v="5"/>
    <x v="0"/>
    <s v="5.20-22.56"/>
    <n v="15.49"/>
    <n v="22.56"/>
    <n v="5.2"/>
    <n v="8.68"/>
    <n v="13.88"/>
    <x v="1"/>
  </r>
  <r>
    <x v="6"/>
    <x v="3"/>
    <x v="0"/>
    <s v="5.30-18.58"/>
    <n v="14.29"/>
    <n v="18.579999999999998"/>
    <n v="5.3"/>
    <n v="6.64"/>
    <n v="11.94"/>
    <x v="1"/>
  </r>
  <r>
    <x v="6"/>
    <x v="4"/>
    <x v="0"/>
    <s v="4.24-15.88"/>
    <n v="11.18"/>
    <n v="15.88"/>
    <n v="4.24"/>
    <n v="5.82"/>
    <n v="10.06"/>
    <x v="1"/>
  </r>
  <r>
    <x v="6"/>
    <x v="6"/>
    <x v="0"/>
    <s v="5.75-20.45"/>
    <n v="14.96"/>
    <n v="20.45"/>
    <n v="5.75"/>
    <n v="7.35"/>
    <n v="13.1"/>
    <x v="2"/>
  </r>
  <r>
    <x v="6"/>
    <x v="7"/>
    <x v="0"/>
    <s v="3.85-17.11"/>
    <n v="12.02"/>
    <n v="17.11"/>
    <n v="3.85"/>
    <n v="6.63"/>
    <n v="10.48"/>
    <x v="2"/>
  </r>
  <r>
    <x v="6"/>
    <x v="8"/>
    <x v="0"/>
    <s v="4.41-20.17"/>
    <n v="14.12"/>
    <n v="20.170000000000002"/>
    <n v="4.41"/>
    <n v="7.88"/>
    <n v="12.29"/>
    <x v="3"/>
  </r>
  <r>
    <x v="6"/>
    <x v="9"/>
    <x v="0"/>
    <s v="4.09-16.49"/>
    <n v="11.69"/>
    <n v="16.489999999999998"/>
    <n v="4.09"/>
    <n v="6.2"/>
    <n v="10.29"/>
    <x v="3"/>
  </r>
  <r>
    <x v="6"/>
    <x v="10"/>
    <x v="0"/>
    <s v="3.48-14.38"/>
    <n v="9.9"/>
    <n v="14.38"/>
    <n v="3.48"/>
    <n v="5.45"/>
    <n v="8.93"/>
    <x v="3"/>
  </r>
  <r>
    <x v="6"/>
    <x v="11"/>
    <x v="0"/>
    <s v="6.32-24.96"/>
    <n v="16.79"/>
    <n v="24.96"/>
    <n v="6.32"/>
    <n v="9.32"/>
    <n v="15.64"/>
    <x v="4"/>
  </r>
  <r>
    <x v="6"/>
    <x v="12"/>
    <x v="0"/>
    <s v="7.28-16.64"/>
    <n v="15.19"/>
    <n v="16.64"/>
    <n v="7.28"/>
    <n v="4.68"/>
    <n v="11.96"/>
    <x v="4"/>
  </r>
  <r>
    <x v="6"/>
    <x v="13"/>
    <x v="0"/>
    <s v="1.89-17.35"/>
    <n v="11.07"/>
    <n v="17.350000000000001"/>
    <n v="1.89"/>
    <n v="7.73"/>
    <n v="9.6199999999999992"/>
    <x v="4"/>
  </r>
  <r>
    <x v="6"/>
    <x v="14"/>
    <x v="0"/>
    <s v="-0.10-16.42"/>
    <n v="9.58"/>
    <n v="16.420000000000002"/>
    <n v="-0.1"/>
    <n v="8.26"/>
    <n v="8.16"/>
    <x v="5"/>
  </r>
  <r>
    <x v="6"/>
    <x v="131"/>
    <x v="0"/>
    <s v="1.37-10.47"/>
    <n v="6.95"/>
    <n v="10.47"/>
    <n v="1.37"/>
    <n v="4.55"/>
    <n v="5.92"/>
    <x v="5"/>
  </r>
  <r>
    <x v="6"/>
    <x v="16"/>
    <x v="0"/>
    <s v="12.05-31.55"/>
    <n v="23.84"/>
    <n v="31.55"/>
    <n v="12.05"/>
    <n v="9.75"/>
    <n v="21.8"/>
    <x v="6"/>
  </r>
  <r>
    <x v="6"/>
    <x v="121"/>
    <x v="0"/>
    <s v="3.64-19.94"/>
    <n v="13.25"/>
    <n v="19.940000000000001"/>
    <n v="3.64"/>
    <n v="8.15"/>
    <n v="11.79"/>
    <x v="6"/>
  </r>
  <r>
    <x v="6"/>
    <x v="17"/>
    <x v="0"/>
    <s v="3.42-14.80"/>
    <n v="9.6999999999999993"/>
    <n v="14.8"/>
    <n v="3.42"/>
    <n v="5.69"/>
    <n v="9.11"/>
    <x v="6"/>
  </r>
  <r>
    <x v="6"/>
    <x v="19"/>
    <x v="0"/>
    <s v="6.24-22.22"/>
    <n v="15.36"/>
    <n v="22.22"/>
    <n v="6.24"/>
    <n v="7.99"/>
    <n v="14.23"/>
    <x v="7"/>
  </r>
  <r>
    <x v="6"/>
    <x v="20"/>
    <x v="0"/>
    <s v="3.65-13.15"/>
    <n v="9.51"/>
    <n v="13.15"/>
    <n v="3.65"/>
    <n v="4.75"/>
    <n v="8.4"/>
    <x v="7"/>
  </r>
  <r>
    <x v="6"/>
    <x v="21"/>
    <x v="0"/>
    <s v="4.77-17.87"/>
    <n v="13.73"/>
    <n v="17.87"/>
    <n v="4.7699999999999996"/>
    <n v="6.55"/>
    <n v="11.32"/>
    <x v="8"/>
  </r>
  <r>
    <x v="6"/>
    <x v="132"/>
    <x v="0"/>
    <s v="1.72-9.24"/>
    <n v="7.17"/>
    <n v="9.24"/>
    <n v="1.72"/>
    <n v="3.76"/>
    <n v="5.48"/>
    <x v="8"/>
  </r>
  <r>
    <x v="6"/>
    <x v="23"/>
    <x v="0"/>
    <s v="5.74-23.40"/>
    <n v="15.86"/>
    <n v="23.4"/>
    <n v="5.74"/>
    <n v="8.83"/>
    <n v="14.57"/>
    <x v="9"/>
  </r>
  <r>
    <x v="6"/>
    <x v="25"/>
    <x v="0"/>
    <s v="5.31-19.09"/>
    <n v="13.66"/>
    <n v="19.09"/>
    <n v="5.31"/>
    <n v="6.89"/>
    <n v="12.2"/>
    <x v="9"/>
  </r>
  <r>
    <x v="6"/>
    <x v="105"/>
    <x v="0"/>
    <s v="0.78-18.52"/>
    <n v="10.73"/>
    <n v="18.52"/>
    <n v="0.78"/>
    <n v="8.8699999999999992"/>
    <n v="9.65"/>
    <x v="9"/>
  </r>
  <r>
    <x v="6"/>
    <x v="133"/>
    <x v="1"/>
    <s v="4.03-16.61"/>
    <n v="12.57"/>
    <n v="16.61"/>
    <n v="4.03"/>
    <n v="6.29"/>
    <n v="10.32"/>
    <x v="0"/>
  </r>
  <r>
    <x v="6"/>
    <x v="134"/>
    <x v="1"/>
    <s v="0.79-11.75"/>
    <n v="8.3699999999999992"/>
    <n v="11.75"/>
    <n v="0.79"/>
    <n v="5.48"/>
    <n v="6.27"/>
    <x v="0"/>
  </r>
  <r>
    <x v="6"/>
    <x v="28"/>
    <x v="1"/>
    <s v="3.94-16.74"/>
    <n v="12.97"/>
    <n v="16.739999999999998"/>
    <n v="3.94"/>
    <n v="6.4"/>
    <n v="10.34"/>
    <x v="1"/>
  </r>
  <r>
    <x v="6"/>
    <x v="29"/>
    <x v="1"/>
    <s v="2.27-16.65"/>
    <n v="12.33"/>
    <n v="16.649999999999999"/>
    <n v="2.27"/>
    <n v="7.19"/>
    <n v="9.4600000000000009"/>
    <x v="1"/>
  </r>
  <r>
    <x v="6"/>
    <x v="94"/>
    <x v="1"/>
    <s v="1.00-17.66"/>
    <n v="11.61"/>
    <n v="17.66"/>
    <n v="1"/>
    <n v="8.33"/>
    <n v="9.33"/>
    <x v="2"/>
  </r>
  <r>
    <x v="6"/>
    <x v="31"/>
    <x v="1"/>
    <s v="3.84-14.24"/>
    <n v="11.25"/>
    <n v="14.24"/>
    <n v="3.84"/>
    <n v="5.2"/>
    <n v="9.0399999999999991"/>
    <x v="2"/>
  </r>
  <r>
    <x v="6"/>
    <x v="32"/>
    <x v="1"/>
    <s v="2.77-13.67"/>
    <n v="10.130000000000001"/>
    <n v="13.67"/>
    <n v="2.77"/>
    <n v="5.45"/>
    <n v="8.2200000000000006"/>
    <x v="2"/>
  </r>
  <r>
    <x v="6"/>
    <x v="34"/>
    <x v="1"/>
    <s v="5.06-20.38"/>
    <n v="15.58"/>
    <n v="20.38"/>
    <n v="5.0599999999999996"/>
    <n v="7.66"/>
    <n v="12.72"/>
    <x v="3"/>
  </r>
  <r>
    <x v="6"/>
    <x v="33"/>
    <x v="1"/>
    <s v="5.61-16.85"/>
    <n v="14.15"/>
    <n v="16.850000000000001"/>
    <n v="5.61"/>
    <n v="5.62"/>
    <n v="11.23"/>
    <x v="3"/>
  </r>
  <r>
    <x v="6"/>
    <x v="35"/>
    <x v="1"/>
    <s v="4.57-16.95"/>
    <n v="14.12"/>
    <n v="16.95"/>
    <n v="4.57"/>
    <n v="6.19"/>
    <n v="10.76"/>
    <x v="4"/>
  </r>
  <r>
    <x v="6"/>
    <x v="36"/>
    <x v="1"/>
    <s v="2.07-15.13"/>
    <n v="11.21"/>
    <n v="15.13"/>
    <n v="2.0699999999999998"/>
    <n v="6.53"/>
    <n v="8.6"/>
    <x v="4"/>
  </r>
  <r>
    <x v="6"/>
    <x v="37"/>
    <x v="1"/>
    <s v="4.20-16.54"/>
    <n v="13.12"/>
    <n v="16.54"/>
    <n v="4.2"/>
    <n v="6.17"/>
    <n v="10.37"/>
    <x v="5"/>
  </r>
  <r>
    <x v="6"/>
    <x v="123"/>
    <x v="1"/>
    <s v="2.19-14.01"/>
    <n v="10.37"/>
    <n v="14.01"/>
    <n v="2.19"/>
    <n v="5.91"/>
    <n v="8.1"/>
    <x v="5"/>
  </r>
  <r>
    <x v="6"/>
    <x v="38"/>
    <x v="1"/>
    <s v="2.90-11.66"/>
    <n v="9.77"/>
    <n v="11.66"/>
    <n v="2.9"/>
    <n v="4.38"/>
    <n v="7.28"/>
    <x v="5"/>
  </r>
  <r>
    <x v="6"/>
    <x v="39"/>
    <x v="1"/>
    <s v="2.58-14.04"/>
    <n v="11.48"/>
    <n v="14.04"/>
    <n v="2.58"/>
    <n v="5.73"/>
    <n v="8.31"/>
    <x v="6"/>
  </r>
  <r>
    <x v="6"/>
    <x v="40"/>
    <x v="1"/>
    <s v="0.16-12.30"/>
    <n v="7.83"/>
    <n v="12.3"/>
    <n v="0.16"/>
    <n v="6.07"/>
    <n v="6.23"/>
    <x v="6"/>
  </r>
  <r>
    <x v="6"/>
    <x v="42"/>
    <x v="1"/>
    <s v="3.75-21.51"/>
    <n v="15.75"/>
    <n v="21.51"/>
    <n v="3.75"/>
    <n v="8.8800000000000008"/>
    <n v="12.63"/>
    <x v="7"/>
  </r>
  <r>
    <x v="6"/>
    <x v="43"/>
    <x v="1"/>
    <s v="3.39-18.91"/>
    <n v="14.19"/>
    <n v="18.91"/>
    <n v="3.39"/>
    <n v="7.76"/>
    <n v="11.15"/>
    <x v="7"/>
  </r>
  <r>
    <x v="6"/>
    <x v="41"/>
    <x v="1"/>
    <s v="2.33-16.09"/>
    <n v="11.64"/>
    <n v="16.09"/>
    <n v="2.33"/>
    <n v="6.88"/>
    <n v="9.2100000000000009"/>
    <x v="7"/>
  </r>
  <r>
    <x v="6"/>
    <x v="44"/>
    <x v="1"/>
    <s v="2.73-13.91"/>
    <n v="10.69"/>
    <n v="13.91"/>
    <n v="2.73"/>
    <n v="5.59"/>
    <n v="8.32"/>
    <x v="8"/>
  </r>
  <r>
    <x v="6"/>
    <x v="45"/>
    <x v="1"/>
    <s v="2.16-13.38"/>
    <n v="10.029999999999999"/>
    <n v="13.38"/>
    <n v="2.16"/>
    <n v="5.61"/>
    <n v="7.77"/>
    <x v="8"/>
  </r>
  <r>
    <x v="6"/>
    <x v="46"/>
    <x v="1"/>
    <s v="0.61-13.51"/>
    <n v="8.86"/>
    <n v="13.51"/>
    <n v="0.61"/>
    <n v="6.45"/>
    <n v="7.06"/>
    <x v="8"/>
  </r>
  <r>
    <x v="6"/>
    <x v="47"/>
    <x v="1"/>
    <s v="3.49-13.93"/>
    <n v="10.61"/>
    <n v="13.93"/>
    <n v="3.49"/>
    <n v="5.22"/>
    <n v="8.7100000000000009"/>
    <x v="9"/>
  </r>
  <r>
    <x v="6"/>
    <x v="48"/>
    <x v="1"/>
    <s v="2.16-15.14"/>
    <n v="10.6"/>
    <n v="15.14"/>
    <n v="2.16"/>
    <n v="6.49"/>
    <n v="8.65"/>
    <x v="9"/>
  </r>
  <r>
    <x v="6"/>
    <x v="135"/>
    <x v="2"/>
    <s v="11.58-25.34"/>
    <n v="19.46"/>
    <n v="25.34"/>
    <n v="11.58"/>
    <n v="6.88"/>
    <n v="18.46"/>
    <x v="0"/>
  </r>
  <r>
    <x v="6"/>
    <x v="50"/>
    <x v="2"/>
    <s v="13.78-26.38"/>
    <n v="20.84"/>
    <n v="26.38"/>
    <n v="13.78"/>
    <n v="6.3"/>
    <n v="20.079999999999998"/>
    <x v="1"/>
  </r>
  <r>
    <x v="6"/>
    <x v="99"/>
    <x v="2"/>
    <s v="12.56-24.56"/>
    <n v="19.21"/>
    <n v="24.56"/>
    <n v="12.56"/>
    <n v="6"/>
    <n v="18.559999999999999"/>
    <x v="2"/>
  </r>
  <r>
    <x v="6"/>
    <x v="52"/>
    <x v="2"/>
    <s v="9.33-24.19"/>
    <n v="17.52"/>
    <n v="24.19"/>
    <n v="9.33"/>
    <n v="7.43"/>
    <n v="16.760000000000002"/>
    <x v="3"/>
  </r>
  <r>
    <x v="6"/>
    <x v="100"/>
    <x v="2"/>
    <s v="11.22-24.82"/>
    <n v="18.73"/>
    <n v="24.82"/>
    <n v="11.22"/>
    <n v="6.8"/>
    <n v="18.02"/>
    <x v="4"/>
  </r>
  <r>
    <x v="6"/>
    <x v="117"/>
    <x v="2"/>
    <s v="9.99-27.29"/>
    <n v="19.37"/>
    <n v="27.29"/>
    <n v="9.99"/>
    <n v="8.65"/>
    <n v="18.64"/>
    <x v="5"/>
  </r>
  <r>
    <x v="6"/>
    <x v="128"/>
    <x v="2"/>
    <s v="11.64-26.24"/>
    <n v="19.57"/>
    <n v="26.24"/>
    <n v="11.64"/>
    <n v="7.3"/>
    <n v="18.940000000000001"/>
    <x v="6"/>
  </r>
  <r>
    <x v="6"/>
    <x v="136"/>
    <x v="2"/>
    <s v="10.02-23.50"/>
    <n v="17.760000000000002"/>
    <n v="23.5"/>
    <n v="10.02"/>
    <n v="6.74"/>
    <n v="16.760000000000002"/>
    <x v="7"/>
  </r>
  <r>
    <x v="6"/>
    <x v="57"/>
    <x v="2"/>
    <s v="10.31-25.57"/>
    <n v="18.64"/>
    <n v="25.57"/>
    <n v="10.31"/>
    <n v="7.63"/>
    <n v="17.940000000000001"/>
    <x v="8"/>
  </r>
  <r>
    <x v="6"/>
    <x v="101"/>
    <x v="2"/>
    <s v="7.96-26.36"/>
    <n v="18.03"/>
    <n v="26.36"/>
    <n v="7.96"/>
    <n v="9.1999999999999993"/>
    <n v="17.16"/>
    <x v="9"/>
  </r>
  <r>
    <x v="6"/>
    <x v="102"/>
    <x v="3"/>
    <s v="0.91-11.63"/>
    <n v="8.2100000000000009"/>
    <n v="11.63"/>
    <n v="0.91"/>
    <n v="5.36"/>
    <n v="6.27"/>
    <x v="0"/>
  </r>
  <r>
    <x v="6"/>
    <x v="137"/>
    <x v="3"/>
    <s v="0.58-8.06"/>
    <n v="5.91"/>
    <n v="8.06"/>
    <n v="0.57999999999999996"/>
    <n v="3.74"/>
    <n v="4.32"/>
    <x v="1"/>
  </r>
  <r>
    <x v="6"/>
    <x v="61"/>
    <x v="3"/>
    <s v="0.55-8.35"/>
    <n v="5.91"/>
    <n v="8.35"/>
    <n v="0.55000000000000004"/>
    <n v="3.9"/>
    <n v="4.45"/>
    <x v="2"/>
  </r>
  <r>
    <x v="6"/>
    <x v="62"/>
    <x v="3"/>
    <s v="2.34-12.42"/>
    <n v="9.85"/>
    <n v="12.42"/>
    <n v="2.34"/>
    <n v="5.04"/>
    <n v="7.38"/>
    <x v="3"/>
  </r>
  <r>
    <x v="6"/>
    <x v="137"/>
    <x v="3"/>
    <s v="0.58-8.06"/>
    <n v="5.91"/>
    <n v="8.06"/>
    <n v="0.57999999999999996"/>
    <n v="3.74"/>
    <n v="4.32"/>
    <x v="4"/>
  </r>
  <r>
    <x v="6"/>
    <x v="65"/>
    <x v="3"/>
    <s v="0.96-12.24"/>
    <n v="8.41"/>
    <n v="12.24"/>
    <n v="0.96"/>
    <n v="5.64"/>
    <n v="6.6"/>
    <x v="5"/>
  </r>
  <r>
    <x v="6"/>
    <x v="66"/>
    <x v="3"/>
    <s v="2.61-13.71"/>
    <n v="10.19"/>
    <n v="13.71"/>
    <n v="2.61"/>
    <n v="5.55"/>
    <n v="8.16"/>
    <x v="6"/>
  </r>
  <r>
    <x v="6"/>
    <x v="67"/>
    <x v="3"/>
    <s v="1.16-11.68"/>
    <n v="8.67"/>
    <n v="11.68"/>
    <n v="1.1599999999999999"/>
    <n v="5.26"/>
    <n v="6.42"/>
    <x v="7"/>
  </r>
  <r>
    <x v="6"/>
    <x v="68"/>
    <x v="3"/>
    <s v="3.00-14.84"/>
    <n v="11.42"/>
    <n v="14.84"/>
    <n v="3"/>
    <n v="5.92"/>
    <n v="8.92"/>
    <x v="8"/>
  </r>
  <r>
    <x v="6"/>
    <x v="69"/>
    <x v="3"/>
    <s v="-0.04-12.50"/>
    <n v="8.25"/>
    <n v="12.5"/>
    <n v="-0.04"/>
    <n v="6.27"/>
    <n v="6.23"/>
    <x v="9"/>
  </r>
  <r>
    <x v="6"/>
    <x v="70"/>
    <x v="4"/>
    <s v="4.73-17.33"/>
    <n v="10.5557"/>
    <n v="17.329999999999998"/>
    <n v="4.7300000000000004"/>
    <n v="6.3"/>
    <n v="10.5557"/>
    <x v="0"/>
  </r>
  <r>
    <x v="6"/>
    <x v="71"/>
    <x v="4"/>
    <s v="1.38-14.02"/>
    <n v="7.7157999999999998"/>
    <n v="14.02"/>
    <n v="1.38"/>
    <n v="6.32"/>
    <n v="7.7157999999999998"/>
    <x v="1"/>
  </r>
  <r>
    <x v="6"/>
    <x v="72"/>
    <x v="4"/>
    <s v="2.55-14.95"/>
    <n v="8.2944999999999993"/>
    <n v="14.95"/>
    <n v="2.5499999999999998"/>
    <n v="6.2"/>
    <n v="8.2944999999999993"/>
    <x v="2"/>
  </r>
  <r>
    <x v="6"/>
    <x v="73"/>
    <x v="4"/>
    <s v="1.12-11.40"/>
    <n v="6.0025000000000004"/>
    <n v="11.4"/>
    <n v="1.1200000000000001"/>
    <n v="5.14"/>
    <n v="6.0025000000000004"/>
    <x v="3"/>
  </r>
  <r>
    <x v="6"/>
    <x v="74"/>
    <x v="4"/>
    <s v="1.48-11.94"/>
    <n v="6.3091999999999997"/>
    <n v="11.94"/>
    <n v="1.48"/>
    <n v="5.23"/>
    <n v="6.3091999999999997"/>
    <x v="4"/>
  </r>
  <r>
    <x v="6"/>
    <x v="75"/>
    <x v="4"/>
    <s v="5.47-17.67"/>
    <n v="10.856299999999999"/>
    <n v="17.670000000000002"/>
    <n v="5.47"/>
    <n v="6.1"/>
    <n v="10.856299999999999"/>
    <x v="5"/>
  </r>
  <r>
    <x v="6"/>
    <x v="76"/>
    <x v="4"/>
    <s v="2.46-13.28"/>
    <n v="7.5151000000000003"/>
    <n v="13.28"/>
    <n v="2.46"/>
    <n v="5.41"/>
    <n v="7.5151000000000003"/>
    <x v="6"/>
  </r>
  <r>
    <x v="6"/>
    <x v="138"/>
    <x v="4"/>
    <s v="3.82-14.58"/>
    <n v="8.8443000000000005"/>
    <n v="14.58"/>
    <n v="3.82"/>
    <n v="5.38"/>
    <n v="8.8443000000000005"/>
    <x v="7"/>
  </r>
  <r>
    <x v="6"/>
    <x v="78"/>
    <x v="4"/>
    <s v="5.23-18.95"/>
    <n v="11.7212"/>
    <n v="18.95"/>
    <n v="5.23"/>
    <n v="6.86"/>
    <n v="11.7212"/>
    <x v="8"/>
  </r>
  <r>
    <x v="6"/>
    <x v="79"/>
    <x v="4"/>
    <s v="-0.20-9.80"/>
    <n v="4.4417999999999997"/>
    <n v="9.8000000000000007"/>
    <n v="-0.2"/>
    <n v="5"/>
    <n v="4.4417999999999997"/>
    <x v="9"/>
  </r>
  <r>
    <x v="6"/>
    <x v="80"/>
    <x v="5"/>
    <s v="3.94-13.30"/>
    <n v="8.65"/>
    <n v="13.3"/>
    <n v="3.94"/>
    <n v="4.68"/>
    <n v="8.6199999999999992"/>
    <x v="0"/>
  </r>
  <r>
    <x v="6"/>
    <x v="81"/>
    <x v="5"/>
    <s v="4.01-11.63"/>
    <n v="7.85"/>
    <n v="11.63"/>
    <n v="4.01"/>
    <n v="3.81"/>
    <n v="7.82"/>
    <x v="1"/>
  </r>
  <r>
    <x v="6"/>
    <x v="82"/>
    <x v="5"/>
    <s v="5.64-12.76"/>
    <n v="9.16"/>
    <n v="12.76"/>
    <n v="5.64"/>
    <n v="3.56"/>
    <n v="9.1999999999999993"/>
    <x v="2"/>
  </r>
  <r>
    <x v="6"/>
    <x v="83"/>
    <x v="5"/>
    <s v="3.15-13.25"/>
    <n v="8.2100000000000009"/>
    <n v="13.25"/>
    <n v="3.15"/>
    <n v="5.05"/>
    <n v="8.1999999999999993"/>
    <x v="3"/>
  </r>
  <r>
    <x v="6"/>
    <x v="84"/>
    <x v="5"/>
    <s v="5.89-14.99"/>
    <n v="10.45"/>
    <n v="14.99"/>
    <n v="5.89"/>
    <n v="4.55"/>
    <n v="10.44"/>
    <x v="4"/>
  </r>
  <r>
    <x v="6"/>
    <x v="114"/>
    <x v="5"/>
    <s v="5.83-13.65"/>
    <n v="9.7200000000000006"/>
    <n v="13.65"/>
    <n v="5.83"/>
    <n v="3.91"/>
    <n v="9.74"/>
    <x v="5"/>
  </r>
  <r>
    <x v="6"/>
    <x v="86"/>
    <x v="5"/>
    <s v="4.47-14.13"/>
    <n v="9.2899999999999991"/>
    <n v="14.13"/>
    <n v="4.47"/>
    <n v="4.83"/>
    <n v="9.3000000000000007"/>
    <x v="6"/>
  </r>
  <r>
    <x v="6"/>
    <x v="87"/>
    <x v="5"/>
    <s v="4.14-11.86"/>
    <n v="7.98"/>
    <n v="11.86"/>
    <n v="4.1399999999999997"/>
    <n v="3.86"/>
    <n v="8"/>
    <x v="7"/>
  </r>
  <r>
    <x v="6"/>
    <x v="88"/>
    <x v="5"/>
    <s v="3.11-13.13"/>
    <n v="8.09"/>
    <n v="13.13"/>
    <n v="3.11"/>
    <n v="5.01"/>
    <n v="8.1199999999999992"/>
    <x v="8"/>
  </r>
  <r>
    <x v="6"/>
    <x v="130"/>
    <x v="5"/>
    <s v="3.77-12.09"/>
    <n v="7.94"/>
    <n v="12.09"/>
    <n v="3.77"/>
    <n v="4.16"/>
    <n v="7.93"/>
    <x v="9"/>
  </r>
  <r>
    <x v="7"/>
    <x v="1"/>
    <x v="0"/>
    <s v="4.88-18.64"/>
    <n v="13.01"/>
    <n v="18.64"/>
    <n v="4.88"/>
    <n v="6.88"/>
    <n v="11.76"/>
    <x v="0"/>
  </r>
  <r>
    <x v="7"/>
    <x v="2"/>
    <x v="0"/>
    <s v="3.42-14.00"/>
    <n v="9.7200000000000006"/>
    <n v="14"/>
    <n v="3.42"/>
    <n v="5.29"/>
    <n v="8.7100000000000009"/>
    <x v="0"/>
  </r>
  <r>
    <x v="7"/>
    <x v="3"/>
    <x v="0"/>
    <s v="14.24-29.00"/>
    <n v="24.31"/>
    <n v="29"/>
    <n v="14.24"/>
    <n v="7.38"/>
    <n v="21.62"/>
    <x v="1"/>
  </r>
  <r>
    <x v="7"/>
    <x v="4"/>
    <x v="0"/>
    <s v="6.48-19.78"/>
    <n v="14.43"/>
    <n v="19.78"/>
    <n v="6.48"/>
    <n v="6.65"/>
    <n v="13.13"/>
    <x v="1"/>
  </r>
  <r>
    <x v="7"/>
    <x v="7"/>
    <x v="0"/>
    <s v="3.93-23.71"/>
    <n v="15.04"/>
    <n v="23.71"/>
    <n v="3.93"/>
    <n v="9.89"/>
    <n v="13.82"/>
    <x v="2"/>
  </r>
  <r>
    <x v="7"/>
    <x v="139"/>
    <x v="0"/>
    <s v="1.19-10.29"/>
    <n v="6.48"/>
    <n v="10.29"/>
    <n v="1.19"/>
    <n v="4.55"/>
    <n v="5.74"/>
    <x v="2"/>
  </r>
  <r>
    <x v="7"/>
    <x v="8"/>
    <x v="0"/>
    <s v="5.97-23.45"/>
    <n v="16.670000000000002"/>
    <n v="23.45"/>
    <n v="5.97"/>
    <n v="8.74"/>
    <n v="14.71"/>
    <x v="3"/>
  </r>
  <r>
    <x v="7"/>
    <x v="115"/>
    <x v="0"/>
    <s v="4.20-16.62"/>
    <n v="11.14"/>
    <n v="16.62"/>
    <n v="4.2"/>
    <n v="6.21"/>
    <n v="10.41"/>
    <x v="3"/>
  </r>
  <r>
    <x v="7"/>
    <x v="12"/>
    <x v="0"/>
    <s v="7.26-17.18"/>
    <n v="15.24"/>
    <n v="17.18"/>
    <n v="7.26"/>
    <n v="4.96"/>
    <n v="12.22"/>
    <x v="4"/>
  </r>
  <r>
    <x v="7"/>
    <x v="13"/>
    <x v="0"/>
    <s v="1.18-17.22"/>
    <n v="10.54"/>
    <n v="17.22"/>
    <n v="1.18"/>
    <n v="8.02"/>
    <n v="9.1999999999999993"/>
    <x v="4"/>
  </r>
  <r>
    <x v="7"/>
    <x v="15"/>
    <x v="0"/>
    <s v="9.36-27.28"/>
    <n v="21.15"/>
    <n v="27.28"/>
    <n v="9.36"/>
    <n v="8.9600000000000009"/>
    <n v="18.32"/>
    <x v="5"/>
  </r>
  <r>
    <x v="7"/>
    <x v="140"/>
    <x v="0"/>
    <s v="0.53-11.59"/>
    <n v="7.44"/>
    <n v="11.59"/>
    <n v="0.53"/>
    <n v="5.53"/>
    <n v="6.06"/>
    <x v="5"/>
  </r>
  <r>
    <x v="7"/>
    <x v="16"/>
    <x v="0"/>
    <s v="12.59-30.75"/>
    <n v="23.77"/>
    <n v="30.75"/>
    <n v="12.59"/>
    <n v="9.08"/>
    <n v="21.67"/>
    <x v="6"/>
  </r>
  <r>
    <x v="7"/>
    <x v="121"/>
    <x v="0"/>
    <s v="2.88-16.90"/>
    <n v="11.32"/>
    <n v="16.899999999999999"/>
    <n v="2.88"/>
    <n v="7.01"/>
    <n v="9.89"/>
    <x v="6"/>
  </r>
  <r>
    <x v="7"/>
    <x v="91"/>
    <x v="0"/>
    <s v="1.97-14.31"/>
    <n v="9.0500000000000007"/>
    <n v="14.31"/>
    <n v="1.97"/>
    <n v="6.17"/>
    <n v="8.14"/>
    <x v="6"/>
  </r>
  <r>
    <x v="7"/>
    <x v="19"/>
    <x v="0"/>
    <s v="4.13-18.75"/>
    <n v="12.47"/>
    <n v="18.75"/>
    <n v="4.13"/>
    <n v="7.31"/>
    <n v="11.44"/>
    <x v="7"/>
  </r>
  <r>
    <x v="7"/>
    <x v="20"/>
    <x v="0"/>
    <s v="5.63-15.89"/>
    <n v="11.85"/>
    <n v="15.89"/>
    <n v="5.63"/>
    <n v="5.13"/>
    <n v="10.76"/>
    <x v="7"/>
  </r>
  <r>
    <x v="7"/>
    <x v="21"/>
    <x v="0"/>
    <s v="4.46-17.30"/>
    <n v="13.29"/>
    <n v="17.3"/>
    <n v="4.46"/>
    <n v="6.42"/>
    <n v="10.88"/>
    <x v="8"/>
  </r>
  <r>
    <x v="7"/>
    <x v="22"/>
    <x v="0"/>
    <s v="0.61-18.09"/>
    <n v="11.02"/>
    <n v="18.09"/>
    <n v="0.61"/>
    <n v="8.74"/>
    <n v="9.35"/>
    <x v="8"/>
  </r>
  <r>
    <x v="7"/>
    <x v="25"/>
    <x v="0"/>
    <s v="6.50-20.30"/>
    <n v="14.9"/>
    <n v="20.3"/>
    <n v="6.5"/>
    <n v="6.9"/>
    <n v="13.4"/>
    <x v="9"/>
  </r>
  <r>
    <x v="7"/>
    <x v="23"/>
    <x v="0"/>
    <s v="6.24-19.82"/>
    <n v="14.62"/>
    <n v="19.82"/>
    <n v="6.24"/>
    <n v="6.79"/>
    <n v="13.03"/>
    <x v="9"/>
  </r>
  <r>
    <x v="7"/>
    <x v="116"/>
    <x v="0"/>
    <s v="3.74-12.56"/>
    <n v="8.7799999999999994"/>
    <n v="12.56"/>
    <n v="3.74"/>
    <n v="4.41"/>
    <n v="8.15"/>
    <x v="9"/>
  </r>
  <r>
    <x v="7"/>
    <x v="26"/>
    <x v="1"/>
    <s v="6.74-23.16"/>
    <n v="18.440000000000001"/>
    <n v="23.16"/>
    <n v="6.74"/>
    <n v="8.2100000000000009"/>
    <n v="14.95"/>
    <x v="0"/>
  </r>
  <r>
    <x v="7"/>
    <x v="27"/>
    <x v="1"/>
    <s v="3.38-16.60"/>
    <n v="12.59"/>
    <n v="16.600000000000001"/>
    <n v="3.38"/>
    <n v="6.61"/>
    <n v="9.99"/>
    <x v="0"/>
  </r>
  <r>
    <x v="7"/>
    <x v="93"/>
    <x v="1"/>
    <s v="2.41-15.35"/>
    <n v="10.87"/>
    <n v="15.35"/>
    <n v="2.41"/>
    <n v="6.47"/>
    <n v="8.8800000000000008"/>
    <x v="0"/>
  </r>
  <r>
    <x v="7"/>
    <x v="106"/>
    <x v="1"/>
    <s v="3.98-13.84"/>
    <n v="12.05"/>
    <n v="13.84"/>
    <n v="3.98"/>
    <n v="4.93"/>
    <n v="8.91"/>
    <x v="1"/>
  </r>
  <r>
    <x v="7"/>
    <x v="29"/>
    <x v="1"/>
    <s v="1.14-15.80"/>
    <n v="11.48"/>
    <n v="15.8"/>
    <n v="1.1399999999999999"/>
    <n v="7.33"/>
    <n v="8.4700000000000006"/>
    <x v="1"/>
  </r>
  <r>
    <x v="7"/>
    <x v="141"/>
    <x v="1"/>
    <s v="1.62-13.18"/>
    <n v="9.19"/>
    <n v="13.18"/>
    <n v="1.62"/>
    <n v="5.78"/>
    <n v="7.4"/>
    <x v="1"/>
  </r>
  <r>
    <x v="7"/>
    <x v="30"/>
    <x v="1"/>
    <s v="4.94-14.58"/>
    <n v="12.62"/>
    <n v="14.58"/>
    <n v="4.9400000000000004"/>
    <n v="4.82"/>
    <n v="9.76"/>
    <x v="2"/>
  </r>
  <r>
    <x v="7"/>
    <x v="31"/>
    <x v="1"/>
    <s v="4.32-14.32"/>
    <n v="11.45"/>
    <n v="14.32"/>
    <n v="4.32"/>
    <n v="5"/>
    <n v="9.32"/>
    <x v="2"/>
  </r>
  <r>
    <x v="7"/>
    <x v="32"/>
    <x v="1"/>
    <s v="2.98-14.10"/>
    <n v="10.58"/>
    <n v="14.1"/>
    <n v="2.98"/>
    <n v="5.56"/>
    <n v="8.5399999999999991"/>
    <x v="2"/>
  </r>
  <r>
    <x v="7"/>
    <x v="33"/>
    <x v="1"/>
    <s v="7.65-19.55"/>
    <n v="16.87"/>
    <n v="19.55"/>
    <n v="7.65"/>
    <n v="5.95"/>
    <n v="13.6"/>
    <x v="3"/>
  </r>
  <r>
    <x v="7"/>
    <x v="107"/>
    <x v="1"/>
    <s v="3.70-18.74"/>
    <n v="14.22"/>
    <n v="18.739999999999998"/>
    <n v="3.7"/>
    <n v="7.52"/>
    <n v="11.22"/>
    <x v="3"/>
  </r>
  <r>
    <x v="7"/>
    <x v="34"/>
    <x v="1"/>
    <s v="3.29-19.03"/>
    <n v="13.75"/>
    <n v="19.03"/>
    <n v="3.29"/>
    <n v="7.87"/>
    <n v="11.16"/>
    <x v="3"/>
  </r>
  <r>
    <x v="7"/>
    <x v="35"/>
    <x v="1"/>
    <s v="3.59-16.87"/>
    <n v="13.56"/>
    <n v="16.87"/>
    <n v="3.59"/>
    <n v="6.64"/>
    <n v="10.23"/>
    <x v="4"/>
  </r>
  <r>
    <x v="7"/>
    <x v="36"/>
    <x v="1"/>
    <s v="3.95-16.15"/>
    <n v="12.81"/>
    <n v="16.149999999999999"/>
    <n v="3.95"/>
    <n v="6.1"/>
    <n v="10.050000000000001"/>
    <x v="4"/>
  </r>
  <r>
    <x v="7"/>
    <x v="127"/>
    <x v="1"/>
    <s v="1.75-14.19"/>
    <n v="10.53"/>
    <n v="14.19"/>
    <n v="1.75"/>
    <n v="6.22"/>
    <n v="7.97"/>
    <x v="4"/>
  </r>
  <r>
    <x v="7"/>
    <x v="37"/>
    <x v="1"/>
    <s v="5.44-17.66"/>
    <n v="14.54"/>
    <n v="17.66"/>
    <n v="5.44"/>
    <n v="6.11"/>
    <n v="11.55"/>
    <x v="5"/>
  </r>
  <r>
    <x v="7"/>
    <x v="38"/>
    <x v="1"/>
    <s v="3.97-12.95"/>
    <n v="11.26"/>
    <n v="12.95"/>
    <n v="3.97"/>
    <n v="4.49"/>
    <n v="8.4600000000000009"/>
    <x v="5"/>
  </r>
  <r>
    <x v="7"/>
    <x v="39"/>
    <x v="1"/>
    <s v="2.22-13.58"/>
    <n v="10.96"/>
    <n v="13.58"/>
    <n v="2.2200000000000002"/>
    <n v="5.68"/>
    <n v="7.9"/>
    <x v="6"/>
  </r>
  <r>
    <x v="7"/>
    <x v="40"/>
    <x v="1"/>
    <s v="-0.21-15.09"/>
    <n v="9.14"/>
    <n v="15.09"/>
    <n v="-0.21"/>
    <n v="7.65"/>
    <n v="7.44"/>
    <x v="6"/>
  </r>
  <r>
    <x v="7"/>
    <x v="43"/>
    <x v="1"/>
    <s v="4.30-16.46"/>
    <n v="13.22"/>
    <n v="16.46"/>
    <n v="4.3"/>
    <n v="6.08"/>
    <n v="10.38"/>
    <x v="7"/>
  </r>
  <r>
    <x v="7"/>
    <x v="41"/>
    <x v="1"/>
    <s v="3.02-14.86"/>
    <n v="11.19"/>
    <n v="14.86"/>
    <n v="3.02"/>
    <n v="5.92"/>
    <n v="8.94"/>
    <x v="7"/>
  </r>
  <r>
    <x v="7"/>
    <x v="142"/>
    <x v="1"/>
    <s v="1.48-12.52"/>
    <n v="8.7799999999999994"/>
    <n v="12.52"/>
    <n v="1.48"/>
    <n v="5.52"/>
    <n v="7"/>
    <x v="7"/>
  </r>
  <r>
    <x v="7"/>
    <x v="44"/>
    <x v="1"/>
    <s v="3.46-15.44"/>
    <n v="11.92"/>
    <n v="15.44"/>
    <n v="3.46"/>
    <n v="5.99"/>
    <n v="9.4499999999999993"/>
    <x v="8"/>
  </r>
  <r>
    <x v="7"/>
    <x v="46"/>
    <x v="1"/>
    <s v="0.61-13.75"/>
    <n v="9"/>
    <n v="13.75"/>
    <n v="0.61"/>
    <n v="6.57"/>
    <n v="7.18"/>
    <x v="8"/>
  </r>
  <r>
    <x v="7"/>
    <x v="45"/>
    <x v="1"/>
    <s v="1.28-13.06"/>
    <n v="9.34"/>
    <n v="13.06"/>
    <n v="1.28"/>
    <n v="5.89"/>
    <n v="7.17"/>
    <x v="8"/>
  </r>
  <r>
    <x v="7"/>
    <x v="47"/>
    <x v="1"/>
    <s v="4.21-17.85"/>
    <n v="13.45"/>
    <n v="17.850000000000001"/>
    <n v="4.21"/>
    <n v="6.82"/>
    <n v="11.03"/>
    <x v="9"/>
  </r>
  <r>
    <x v="7"/>
    <x v="98"/>
    <x v="1"/>
    <s v="3.42-16.72"/>
    <n v="12.96"/>
    <n v="16.72"/>
    <n v="3.42"/>
    <n v="6.65"/>
    <n v="10.07"/>
    <x v="9"/>
  </r>
  <r>
    <x v="7"/>
    <x v="49"/>
    <x v="2"/>
    <s v="13.11-27.95"/>
    <n v="21.42"/>
    <n v="27.95"/>
    <n v="13.11"/>
    <n v="7.42"/>
    <n v="20.53"/>
    <x v="0"/>
  </r>
  <r>
    <x v="7"/>
    <x v="143"/>
    <x v="2"/>
    <s v="10.09-22.03"/>
    <n v="17.04"/>
    <n v="22.03"/>
    <n v="10.09"/>
    <n v="5.97"/>
    <n v="16.059999999999999"/>
    <x v="1"/>
  </r>
  <r>
    <x v="7"/>
    <x v="110"/>
    <x v="2"/>
    <s v="13.44-29.66"/>
    <n v="22.21"/>
    <n v="29.66"/>
    <n v="13.44"/>
    <n v="8.11"/>
    <n v="21.55"/>
    <x v="2"/>
  </r>
  <r>
    <x v="7"/>
    <x v="52"/>
    <x v="2"/>
    <s v="12.11-23.99"/>
    <n v="19.13"/>
    <n v="23.99"/>
    <n v="12.11"/>
    <n v="5.94"/>
    <n v="18.05"/>
    <x v="3"/>
  </r>
  <r>
    <x v="7"/>
    <x v="143"/>
    <x v="2"/>
    <s v="10.09-22.03"/>
    <n v="17.04"/>
    <n v="22.03"/>
    <n v="10.09"/>
    <n v="5.97"/>
    <n v="16.059999999999999"/>
    <x v="4"/>
  </r>
  <r>
    <x v="7"/>
    <x v="54"/>
    <x v="2"/>
    <s v="9.98-24.16"/>
    <n v="17.84"/>
    <n v="24.16"/>
    <n v="9.98"/>
    <n v="7.09"/>
    <n v="17.07"/>
    <x v="5"/>
  </r>
  <r>
    <x v="7"/>
    <x v="128"/>
    <x v="2"/>
    <s v="11.87-26.47"/>
    <n v="19.71"/>
    <n v="26.47"/>
    <n v="11.87"/>
    <n v="7.3"/>
    <n v="19.170000000000002"/>
    <x v="6"/>
  </r>
  <r>
    <x v="7"/>
    <x v="56"/>
    <x v="2"/>
    <s v="10.44-29.00"/>
    <n v="20.47"/>
    <n v="29"/>
    <n v="10.44"/>
    <n v="9.2799999999999994"/>
    <n v="19.72"/>
    <x v="7"/>
  </r>
  <r>
    <x v="7"/>
    <x v="57"/>
    <x v="2"/>
    <s v="11.95-26.57"/>
    <n v="20"/>
    <n v="26.57"/>
    <n v="11.95"/>
    <n v="7.31"/>
    <n v="19.260000000000002"/>
    <x v="8"/>
  </r>
  <r>
    <x v="7"/>
    <x v="58"/>
    <x v="2"/>
    <s v="13.87-29.73"/>
    <n v="22.37"/>
    <n v="29.73"/>
    <n v="13.87"/>
    <n v="7.93"/>
    <n v="21.8"/>
    <x v="9"/>
  </r>
  <r>
    <x v="7"/>
    <x v="102"/>
    <x v="3"/>
    <s v="-0.10-8.34"/>
    <n v="5.66"/>
    <n v="8.34"/>
    <n v="-0.1"/>
    <n v="4.22"/>
    <n v="4.12"/>
    <x v="0"/>
  </r>
  <r>
    <x v="7"/>
    <x v="60"/>
    <x v="3"/>
    <s v="1.67-12.15"/>
    <n v="9.5"/>
    <n v="12.15"/>
    <n v="1.67"/>
    <n v="5.24"/>
    <n v="6.91"/>
    <x v="1"/>
  </r>
  <r>
    <x v="7"/>
    <x v="61"/>
    <x v="3"/>
    <s v="0.77-6.53"/>
    <n v="5.24"/>
    <n v="6.53"/>
    <n v="0.77"/>
    <n v="2.88"/>
    <n v="3.65"/>
    <x v="2"/>
  </r>
  <r>
    <x v="7"/>
    <x v="62"/>
    <x v="3"/>
    <s v="3.27-12.93"/>
    <n v="10.67"/>
    <n v="12.93"/>
    <n v="3.27"/>
    <n v="4.83"/>
    <n v="8.1"/>
    <x v="3"/>
  </r>
  <r>
    <x v="7"/>
    <x v="144"/>
    <x v="3"/>
    <s v="-0.24-8.80"/>
    <n v="5.92"/>
    <n v="8.8000000000000007"/>
    <n v="-0.24"/>
    <n v="4.5199999999999996"/>
    <n v="4.28"/>
    <x v="4"/>
  </r>
  <r>
    <x v="7"/>
    <x v="64"/>
    <x v="3"/>
    <s v="3.11-12.23"/>
    <n v="9.8699999999999992"/>
    <n v="12.23"/>
    <n v="3.11"/>
    <n v="4.5599999999999996"/>
    <n v="7.67"/>
    <x v="5"/>
  </r>
  <r>
    <x v="7"/>
    <x v="65"/>
    <x v="3"/>
    <s v="1.35-13.59"/>
    <n v="9.4"/>
    <n v="13.59"/>
    <n v="1.35"/>
    <n v="6.12"/>
    <n v="7.47"/>
    <x v="5"/>
  </r>
  <r>
    <x v="7"/>
    <x v="66"/>
    <x v="3"/>
    <s v="2.94-17.88"/>
    <n v="12.67"/>
    <n v="17.88"/>
    <n v="2.94"/>
    <n v="7.47"/>
    <n v="10.41"/>
    <x v="6"/>
  </r>
  <r>
    <x v="7"/>
    <x v="67"/>
    <x v="3"/>
    <s v="1.34-10.96"/>
    <n v="8.43"/>
    <n v="10.96"/>
    <n v="1.34"/>
    <n v="4.8099999999999996"/>
    <n v="6.15"/>
    <x v="7"/>
  </r>
  <r>
    <x v="7"/>
    <x v="68"/>
    <x v="3"/>
    <s v="3.14-14.42"/>
    <n v="11.22"/>
    <n v="14.42"/>
    <n v="3.14"/>
    <n v="5.64"/>
    <n v="8.7799999999999994"/>
    <x v="8"/>
  </r>
  <r>
    <x v="7"/>
    <x v="69"/>
    <x v="3"/>
    <s v="-0.44-10.98"/>
    <n v="7.31"/>
    <n v="10.98"/>
    <n v="-0.44"/>
    <n v="5.71"/>
    <n v="5.27"/>
    <x v="9"/>
  </r>
  <r>
    <x v="7"/>
    <x v="70"/>
    <x v="4"/>
    <s v="0.36-9.50"/>
    <n v="4.3188000000000004"/>
    <n v="9.5"/>
    <n v="0.36"/>
    <n v="4.57"/>
    <n v="4.3188000000000004"/>
    <x v="0"/>
  </r>
  <r>
    <x v="7"/>
    <x v="71"/>
    <x v="4"/>
    <s v="0.91-12.57"/>
    <n v="6.5079000000000002"/>
    <n v="12.57"/>
    <n v="0.91"/>
    <n v="5.83"/>
    <n v="6.5079000000000002"/>
    <x v="1"/>
  </r>
  <r>
    <x v="7"/>
    <x v="112"/>
    <x v="4"/>
    <s v="2.00-13.36"/>
    <n v="7.0833000000000004"/>
    <n v="13.36"/>
    <n v="2"/>
    <n v="5.68"/>
    <n v="7.0833000000000004"/>
    <x v="2"/>
  </r>
  <r>
    <x v="7"/>
    <x v="73"/>
    <x v="4"/>
    <s v="4.34-16.60"/>
    <n v="9.7431999999999999"/>
    <n v="16.600000000000001"/>
    <n v="4.34"/>
    <n v="6.13"/>
    <n v="9.7431999999999999"/>
    <x v="3"/>
  </r>
  <r>
    <x v="7"/>
    <x v="74"/>
    <x v="4"/>
    <s v="4.25-15.39"/>
    <n v="9.3957999999999995"/>
    <n v="15.39"/>
    <n v="4.25"/>
    <n v="5.57"/>
    <n v="9.3957999999999995"/>
    <x v="4"/>
  </r>
  <r>
    <x v="7"/>
    <x v="75"/>
    <x v="4"/>
    <s v="1.95-13.03"/>
    <n v="7.4954999999999998"/>
    <n v="13.03"/>
    <n v="1.95"/>
    <n v="5.54"/>
    <n v="7.4954999999999998"/>
    <x v="5"/>
  </r>
  <r>
    <x v="7"/>
    <x v="76"/>
    <x v="4"/>
    <s v="1.42-13.80"/>
    <n v="6.8906000000000001"/>
    <n v="13.8"/>
    <n v="1.42"/>
    <n v="6.19"/>
    <n v="6.8906000000000001"/>
    <x v="6"/>
  </r>
  <r>
    <x v="7"/>
    <x v="77"/>
    <x v="4"/>
    <s v="1.93-13.07"/>
    <n v="7.3822999999999999"/>
    <n v="13.07"/>
    <n v="1.93"/>
    <n v="5.57"/>
    <n v="7.3822999999999999"/>
    <x v="7"/>
  </r>
  <r>
    <x v="7"/>
    <x v="78"/>
    <x v="4"/>
    <s v="1.19-13.75"/>
    <n v="7.2253999999999996"/>
    <n v="13.75"/>
    <n v="1.19"/>
    <n v="6.28"/>
    <n v="7.2253999999999996"/>
    <x v="8"/>
  </r>
  <r>
    <x v="7"/>
    <x v="79"/>
    <x v="4"/>
    <s v="2.67-14.01"/>
    <n v="8.1005000000000003"/>
    <n v="14.01"/>
    <n v="2.67"/>
    <n v="5.67"/>
    <n v="8.1005000000000003"/>
    <x v="9"/>
  </r>
  <r>
    <x v="7"/>
    <x v="80"/>
    <x v="5"/>
    <s v="3.11-13.29"/>
    <n v="8.18"/>
    <n v="13.29"/>
    <n v="3.11"/>
    <n v="5.09"/>
    <n v="8.1999999999999993"/>
    <x v="0"/>
  </r>
  <r>
    <x v="7"/>
    <x v="81"/>
    <x v="5"/>
    <s v="3.85-11.65"/>
    <n v="7.77"/>
    <n v="11.65"/>
    <n v="3.85"/>
    <n v="3.9"/>
    <n v="7.75"/>
    <x v="1"/>
  </r>
  <r>
    <x v="7"/>
    <x v="82"/>
    <x v="5"/>
    <s v="5.89-12.79"/>
    <n v="9.3699999999999992"/>
    <n v="12.79"/>
    <n v="5.89"/>
    <n v="3.45"/>
    <n v="9.34"/>
    <x v="2"/>
  </r>
  <r>
    <x v="7"/>
    <x v="83"/>
    <x v="5"/>
    <s v="2.82-12.12"/>
    <n v="7.52"/>
    <n v="12.12"/>
    <n v="2.82"/>
    <n v="4.6500000000000004"/>
    <n v="7.47"/>
    <x v="3"/>
  </r>
  <r>
    <x v="7"/>
    <x v="145"/>
    <x v="5"/>
    <s v="3.85-11.65"/>
    <n v="7.77"/>
    <n v="11.65"/>
    <n v="3.85"/>
    <n v="3.9"/>
    <n v="7.75"/>
    <x v="4"/>
  </r>
  <r>
    <x v="7"/>
    <x v="85"/>
    <x v="5"/>
    <s v="4.32-13.34"/>
    <n v="8.83"/>
    <n v="13.34"/>
    <n v="4.32"/>
    <n v="4.51"/>
    <n v="8.83"/>
    <x v="5"/>
  </r>
  <r>
    <x v="7"/>
    <x v="86"/>
    <x v="5"/>
    <s v="5.00-13.40"/>
    <n v="9.1999999999999993"/>
    <n v="13.4"/>
    <n v="5"/>
    <n v="4.2"/>
    <n v="9.1999999999999993"/>
    <x v="6"/>
  </r>
  <r>
    <x v="7"/>
    <x v="87"/>
    <x v="5"/>
    <s v="3.61-11.23"/>
    <n v="7.45"/>
    <n v="11.23"/>
    <n v="3.61"/>
    <n v="3.81"/>
    <n v="7.42"/>
    <x v="7"/>
  </r>
  <r>
    <x v="7"/>
    <x v="88"/>
    <x v="5"/>
    <s v="2.75-11.09"/>
    <n v="6.91"/>
    <n v="11.09"/>
    <n v="2.75"/>
    <n v="4.17"/>
    <n v="6.92"/>
    <x v="8"/>
  </r>
  <r>
    <x v="7"/>
    <x v="89"/>
    <x v="5"/>
    <s v="5.48-14.20"/>
    <n v="9.83"/>
    <n v="14.2"/>
    <n v="5.48"/>
    <n v="4.3600000000000003"/>
    <n v="9.84"/>
    <x v="9"/>
  </r>
  <r>
    <x v="8"/>
    <x v="2"/>
    <x v="0"/>
    <s v="4.84-15.70"/>
    <n v="11.32"/>
    <n v="15.7"/>
    <n v="4.84"/>
    <n v="5.43"/>
    <n v="10.27"/>
    <x v="0"/>
  </r>
  <r>
    <x v="8"/>
    <x v="90"/>
    <x v="0"/>
    <s v="-0.47-16.83"/>
    <n v="9.15"/>
    <n v="16.829999999999998"/>
    <n v="-0.47"/>
    <n v="8.65"/>
    <n v="8.18"/>
    <x v="0"/>
  </r>
  <r>
    <x v="8"/>
    <x v="5"/>
    <x v="0"/>
    <s v="5.06-20.30"/>
    <n v="14.23"/>
    <n v="20.3"/>
    <n v="5.0599999999999996"/>
    <n v="7.62"/>
    <n v="12.68"/>
    <x v="1"/>
  </r>
  <r>
    <x v="8"/>
    <x v="146"/>
    <x v="0"/>
    <s v="0.41-14.09"/>
    <n v="8.16"/>
    <n v="14.09"/>
    <n v="0.41"/>
    <n v="6.84"/>
    <n v="7.25"/>
    <x v="1"/>
  </r>
  <r>
    <x v="8"/>
    <x v="147"/>
    <x v="0"/>
    <s v="2.52-11.88"/>
    <n v="8.5399999999999991"/>
    <n v="11.88"/>
    <n v="2.52"/>
    <n v="4.68"/>
    <n v="7.2"/>
    <x v="1"/>
  </r>
  <r>
    <x v="8"/>
    <x v="7"/>
    <x v="0"/>
    <s v="4.03-21.31"/>
    <n v="13.81"/>
    <n v="21.31"/>
    <n v="4.03"/>
    <n v="8.64"/>
    <n v="12.67"/>
    <x v="2"/>
  </r>
  <r>
    <x v="8"/>
    <x v="6"/>
    <x v="0"/>
    <s v="4.66-20.54"/>
    <n v="14.26"/>
    <n v="20.54"/>
    <n v="4.66"/>
    <n v="7.94"/>
    <n v="12.6"/>
    <x v="2"/>
  </r>
  <r>
    <x v="8"/>
    <x v="115"/>
    <x v="0"/>
    <s v="3.25-17.05"/>
    <n v="10.84"/>
    <n v="17.05"/>
    <n v="3.25"/>
    <n v="6.9"/>
    <n v="10.15"/>
    <x v="3"/>
  </r>
  <r>
    <x v="8"/>
    <x v="9"/>
    <x v="0"/>
    <s v="3.09-16.73"/>
    <n v="11.28"/>
    <n v="16.73"/>
    <n v="3.09"/>
    <n v="6.82"/>
    <n v="9.91"/>
    <x v="3"/>
  </r>
  <r>
    <x v="8"/>
    <x v="11"/>
    <x v="0"/>
    <s v="6.83-22.45"/>
    <n v="16.05"/>
    <n v="22.45"/>
    <n v="6.83"/>
    <n v="7.81"/>
    <n v="14.64"/>
    <x v="4"/>
  </r>
  <r>
    <x v="8"/>
    <x v="12"/>
    <x v="0"/>
    <s v="7.67-20.09"/>
    <n v="16.22"/>
    <n v="20.09"/>
    <n v="7.67"/>
    <n v="6.21"/>
    <n v="13.88"/>
    <x v="4"/>
  </r>
  <r>
    <x v="8"/>
    <x v="13"/>
    <x v="0"/>
    <s v="2.32-19.08"/>
    <n v="12.11"/>
    <n v="19.079999999999998"/>
    <n v="2.3199999999999998"/>
    <n v="8.3800000000000008"/>
    <n v="10.7"/>
    <x v="4"/>
  </r>
  <r>
    <x v="8"/>
    <x v="15"/>
    <x v="0"/>
    <s v="7.54-25.74"/>
    <n v="19.010000000000002"/>
    <n v="25.74"/>
    <n v="7.54"/>
    <n v="9.1"/>
    <n v="16.64"/>
    <x v="5"/>
  </r>
  <r>
    <x v="8"/>
    <x v="14"/>
    <x v="0"/>
    <s v="1.36-12.28"/>
    <n v="8.08"/>
    <n v="12.28"/>
    <n v="1.36"/>
    <n v="5.46"/>
    <n v="6.82"/>
    <x v="5"/>
  </r>
  <r>
    <x v="8"/>
    <x v="16"/>
    <x v="0"/>
    <s v="9.01-26.25"/>
    <n v="19.77"/>
    <n v="26.25"/>
    <n v="9.01"/>
    <n v="8.6199999999999992"/>
    <n v="17.63"/>
    <x v="6"/>
  </r>
  <r>
    <x v="8"/>
    <x v="121"/>
    <x v="0"/>
    <s v="4.46-21.28"/>
    <n v="14.23"/>
    <n v="21.28"/>
    <n v="4.46"/>
    <n v="8.41"/>
    <n v="12.87"/>
    <x v="6"/>
  </r>
  <r>
    <x v="8"/>
    <x v="17"/>
    <x v="0"/>
    <s v="2.83-14.21"/>
    <n v="9"/>
    <n v="14.21"/>
    <n v="2.83"/>
    <n v="5.69"/>
    <n v="8.52"/>
    <x v="6"/>
  </r>
  <r>
    <x v="8"/>
    <x v="19"/>
    <x v="0"/>
    <s v="6.20-23.64"/>
    <n v="16.170000000000002"/>
    <n v="23.64"/>
    <n v="6.2"/>
    <n v="8.7200000000000006"/>
    <n v="14.92"/>
    <x v="7"/>
  </r>
  <r>
    <x v="8"/>
    <x v="20"/>
    <x v="0"/>
    <s v="3.23-13.57"/>
    <n v="9.48"/>
    <n v="13.57"/>
    <n v="3.23"/>
    <n v="5.17"/>
    <n v="8.4"/>
    <x v="7"/>
  </r>
  <r>
    <x v="8"/>
    <x v="21"/>
    <x v="0"/>
    <s v="5.57-20.95"/>
    <n v="15.41"/>
    <n v="20.95"/>
    <n v="5.57"/>
    <n v="7.69"/>
    <n v="13.26"/>
    <x v="8"/>
  </r>
  <r>
    <x v="8"/>
    <x v="22"/>
    <x v="0"/>
    <s v="1.81-12.87"/>
    <n v="8.8699999999999992"/>
    <n v="12.87"/>
    <n v="1.81"/>
    <n v="5.53"/>
    <n v="7.34"/>
    <x v="8"/>
  </r>
  <r>
    <x v="8"/>
    <x v="92"/>
    <x v="0"/>
    <s v="2.72-11.64"/>
    <n v="8.27"/>
    <n v="11.64"/>
    <n v="2.72"/>
    <n v="4.46"/>
    <n v="7.18"/>
    <x v="8"/>
  </r>
  <r>
    <x v="8"/>
    <x v="23"/>
    <x v="0"/>
    <s v="4.60-20.92"/>
    <n v="14.19"/>
    <n v="20.92"/>
    <n v="4.5999999999999996"/>
    <n v="8.16"/>
    <n v="12.76"/>
    <x v="9"/>
  </r>
  <r>
    <x v="8"/>
    <x v="25"/>
    <x v="0"/>
    <s v="3.91-19.31"/>
    <n v="12.82"/>
    <n v="19.309999999999999"/>
    <n v="3.91"/>
    <n v="7.7"/>
    <n v="11.61"/>
    <x v="9"/>
  </r>
  <r>
    <x v="8"/>
    <x v="105"/>
    <x v="0"/>
    <s v="1.93-15.31"/>
    <n v="9.61"/>
    <n v="15.31"/>
    <n v="1.93"/>
    <n v="6.69"/>
    <n v="8.6199999999999992"/>
    <x v="9"/>
  </r>
  <r>
    <x v="8"/>
    <x v="26"/>
    <x v="1"/>
    <s v="4.99-22.11"/>
    <n v="16.739999999999998"/>
    <n v="22.11"/>
    <n v="4.99"/>
    <n v="8.56"/>
    <n v="13.55"/>
    <x v="0"/>
  </r>
  <r>
    <x v="8"/>
    <x v="27"/>
    <x v="1"/>
    <s v="3.56-17.00"/>
    <n v="12.95"/>
    <n v="17"/>
    <n v="3.56"/>
    <n v="6.72"/>
    <n v="10.28"/>
    <x v="0"/>
  </r>
  <r>
    <x v="8"/>
    <x v="93"/>
    <x v="1"/>
    <s v="2.49-15.11"/>
    <n v="10.88"/>
    <n v="15.11"/>
    <n v="2.4900000000000002"/>
    <n v="6.31"/>
    <n v="8.8000000000000007"/>
    <x v="0"/>
  </r>
  <r>
    <x v="8"/>
    <x v="28"/>
    <x v="1"/>
    <s v="3.93-16.45"/>
    <n v="13.14"/>
    <n v="16.45"/>
    <n v="3.93"/>
    <n v="6.26"/>
    <n v="10.19"/>
    <x v="1"/>
  </r>
  <r>
    <x v="8"/>
    <x v="126"/>
    <x v="1"/>
    <s v="1.88-14.88"/>
    <n v="11.18"/>
    <n v="14.88"/>
    <n v="1.88"/>
    <n v="6.5"/>
    <n v="8.3800000000000008"/>
    <x v="1"/>
  </r>
  <r>
    <x v="8"/>
    <x v="30"/>
    <x v="1"/>
    <s v="3.80-15.42"/>
    <n v="12.2"/>
    <n v="15.42"/>
    <n v="3.8"/>
    <n v="5.81"/>
    <n v="9.61"/>
    <x v="2"/>
  </r>
  <r>
    <x v="8"/>
    <x v="94"/>
    <x v="1"/>
    <s v="1.71-17.31"/>
    <n v="11.8"/>
    <n v="17.309999999999999"/>
    <n v="1.71"/>
    <n v="7.8"/>
    <n v="9.51"/>
    <x v="2"/>
  </r>
  <r>
    <x v="8"/>
    <x v="31"/>
    <x v="1"/>
    <s v="4.35-14.47"/>
    <n v="11.49"/>
    <n v="14.47"/>
    <n v="4.3499999999999996"/>
    <n v="5.0599999999999996"/>
    <n v="9.41"/>
    <x v="2"/>
  </r>
  <r>
    <x v="8"/>
    <x v="33"/>
    <x v="1"/>
    <s v="6.42-18.28"/>
    <n v="15.36"/>
    <n v="18.28"/>
    <n v="6.42"/>
    <n v="5.93"/>
    <n v="12.35"/>
    <x v="3"/>
  </r>
  <r>
    <x v="8"/>
    <x v="107"/>
    <x v="1"/>
    <s v="3.15-17.91"/>
    <n v="13.51"/>
    <n v="17.91"/>
    <n v="3.15"/>
    <n v="7.38"/>
    <n v="10.53"/>
    <x v="3"/>
  </r>
  <r>
    <x v="8"/>
    <x v="34"/>
    <x v="1"/>
    <s v="3.00-17.14"/>
    <n v="12.78"/>
    <n v="17.14"/>
    <n v="3"/>
    <n v="7.07"/>
    <n v="10.07"/>
    <x v="3"/>
  </r>
  <r>
    <x v="8"/>
    <x v="35"/>
    <x v="1"/>
    <s v="5.39-18.53"/>
    <n v="15.19"/>
    <n v="18.53"/>
    <n v="5.39"/>
    <n v="6.57"/>
    <n v="11.96"/>
    <x v="4"/>
  </r>
  <r>
    <x v="8"/>
    <x v="36"/>
    <x v="1"/>
    <s v="3.20-16.18"/>
    <n v="12.5"/>
    <n v="16.18"/>
    <n v="3.2"/>
    <n v="6.49"/>
    <n v="9.69"/>
    <x v="4"/>
  </r>
  <r>
    <x v="8"/>
    <x v="96"/>
    <x v="1"/>
    <s v="2.94-16.42"/>
    <n v="12.5"/>
    <n v="16.420000000000002"/>
    <n v="2.94"/>
    <n v="6.74"/>
    <n v="9.68"/>
    <x v="5"/>
  </r>
  <r>
    <x v="8"/>
    <x v="38"/>
    <x v="1"/>
    <s v="4.50-13.34"/>
    <n v="11.7"/>
    <n v="13.34"/>
    <n v="4.5"/>
    <n v="4.42"/>
    <n v="8.92"/>
    <x v="5"/>
  </r>
  <r>
    <x v="8"/>
    <x v="123"/>
    <x v="1"/>
    <s v="2.15-13.89"/>
    <n v="10.41"/>
    <n v="13.89"/>
    <n v="2.15"/>
    <n v="5.87"/>
    <n v="8.02"/>
    <x v="5"/>
  </r>
  <r>
    <x v="8"/>
    <x v="39"/>
    <x v="1"/>
    <s v="2.47-13.91"/>
    <n v="11.31"/>
    <n v="13.91"/>
    <n v="2.4700000000000002"/>
    <n v="5.72"/>
    <n v="8.19"/>
    <x v="6"/>
  </r>
  <r>
    <x v="8"/>
    <x v="97"/>
    <x v="1"/>
    <s v="2.87-12.39"/>
    <n v="10.38"/>
    <n v="12.39"/>
    <n v="2.87"/>
    <n v="4.76"/>
    <n v="7.63"/>
    <x v="6"/>
  </r>
  <r>
    <x v="8"/>
    <x v="42"/>
    <x v="1"/>
    <s v="3.22-21.60"/>
    <n v="15.65"/>
    <n v="21.6"/>
    <n v="3.22"/>
    <n v="9.19"/>
    <n v="12.41"/>
    <x v="7"/>
  </r>
  <r>
    <x v="8"/>
    <x v="41"/>
    <x v="1"/>
    <s v="3.60-15.50"/>
    <n v="11.99"/>
    <n v="15.5"/>
    <n v="3.6"/>
    <n v="5.95"/>
    <n v="9.5500000000000007"/>
    <x v="7"/>
  </r>
  <r>
    <x v="8"/>
    <x v="108"/>
    <x v="1"/>
    <s v="1.53-15.97"/>
    <n v="10.89"/>
    <n v="15.97"/>
    <n v="1.53"/>
    <n v="7.22"/>
    <n v="8.75"/>
    <x v="7"/>
  </r>
  <r>
    <x v="8"/>
    <x v="44"/>
    <x v="1"/>
    <s v="4.06-15.38"/>
    <n v="12.26"/>
    <n v="15.38"/>
    <n v="4.0599999999999996"/>
    <n v="5.66"/>
    <n v="9.7200000000000006"/>
    <x v="8"/>
  </r>
  <r>
    <x v="8"/>
    <x v="46"/>
    <x v="1"/>
    <s v="0.66-13.66"/>
    <n v="8.82"/>
    <n v="13.66"/>
    <n v="0.66"/>
    <n v="6.5"/>
    <n v="7.16"/>
    <x v="8"/>
  </r>
  <r>
    <x v="8"/>
    <x v="98"/>
    <x v="1"/>
    <s v="3.45-17.51"/>
    <n v="12.81"/>
    <n v="17.510000000000002"/>
    <n v="3.45"/>
    <n v="7.03"/>
    <n v="10.48"/>
    <x v="9"/>
  </r>
  <r>
    <x v="8"/>
    <x v="48"/>
    <x v="1"/>
    <s v="1.68-14.88"/>
    <n v="10.25"/>
    <n v="14.88"/>
    <n v="1.68"/>
    <n v="6.6"/>
    <n v="8.2799999999999994"/>
    <x v="9"/>
  </r>
  <r>
    <x v="8"/>
    <x v="135"/>
    <x v="2"/>
    <s v="12.58-26.18"/>
    <n v="20.12"/>
    <n v="26.18"/>
    <n v="12.58"/>
    <n v="6.8"/>
    <n v="19.38"/>
    <x v="0"/>
  </r>
  <r>
    <x v="8"/>
    <x v="50"/>
    <x v="2"/>
    <s v="9.03-21.95"/>
    <n v="16.5"/>
    <n v="21.95"/>
    <n v="9.0299999999999994"/>
    <n v="6.46"/>
    <n v="15.49"/>
    <x v="1"/>
  </r>
  <r>
    <x v="8"/>
    <x v="99"/>
    <x v="2"/>
    <s v="11.31-24.39"/>
    <n v="18.48"/>
    <n v="24.39"/>
    <n v="11.31"/>
    <n v="6.54"/>
    <n v="17.850000000000001"/>
    <x v="2"/>
  </r>
  <r>
    <x v="8"/>
    <x v="52"/>
    <x v="2"/>
    <s v="13.16-24.84"/>
    <n v="19.84"/>
    <n v="24.84"/>
    <n v="13.16"/>
    <n v="5.84"/>
    <n v="19"/>
    <x v="3"/>
  </r>
  <r>
    <x v="8"/>
    <x v="53"/>
    <x v="2"/>
    <s v="11.02-24.96"/>
    <n v="18.63"/>
    <n v="24.96"/>
    <n v="11.02"/>
    <n v="6.97"/>
    <n v="17.989999999999998"/>
    <x v="4"/>
  </r>
  <r>
    <x v="8"/>
    <x v="54"/>
    <x v="2"/>
    <s v="12.94-26.96"/>
    <n v="20.69"/>
    <n v="26.96"/>
    <n v="12.94"/>
    <n v="7.01"/>
    <n v="19.95"/>
    <x v="5"/>
  </r>
  <r>
    <x v="8"/>
    <x v="55"/>
    <x v="2"/>
    <s v="13.25-27.13"/>
    <n v="21.05"/>
    <n v="27.13"/>
    <n v="13.25"/>
    <n v="6.94"/>
    <n v="20.190000000000001"/>
    <x v="6"/>
  </r>
  <r>
    <x v="8"/>
    <x v="56"/>
    <x v="2"/>
    <s v="13.79-29.19"/>
    <n v="22.23"/>
    <n v="29.19"/>
    <n v="13.79"/>
    <n v="7.7"/>
    <n v="21.49"/>
    <x v="7"/>
  </r>
  <r>
    <x v="8"/>
    <x v="57"/>
    <x v="2"/>
    <s v="15.31-30.05"/>
    <n v="23.13"/>
    <n v="30.05"/>
    <n v="15.31"/>
    <n v="7.37"/>
    <n v="22.68"/>
    <x v="8"/>
  </r>
  <r>
    <x v="8"/>
    <x v="58"/>
    <x v="2"/>
    <s v="12.81-31.77"/>
    <n v="22.71"/>
    <n v="31.77"/>
    <n v="12.81"/>
    <n v="9.48"/>
    <n v="22.29"/>
    <x v="9"/>
  </r>
  <r>
    <x v="8"/>
    <x v="102"/>
    <x v="3"/>
    <s v="0.47-9.89"/>
    <n v="6.99"/>
    <n v="9.89"/>
    <n v="0.47"/>
    <n v="4.71"/>
    <n v="5.18"/>
    <x v="0"/>
  </r>
  <r>
    <x v="8"/>
    <x v="60"/>
    <x v="3"/>
    <s v="1.37-11.31"/>
    <n v="8.6"/>
    <n v="11.31"/>
    <n v="1.37"/>
    <n v="4.97"/>
    <n v="6.34"/>
    <x v="1"/>
  </r>
  <r>
    <x v="8"/>
    <x v="148"/>
    <x v="3"/>
    <s v="0.64-7.52"/>
    <n v="5.57"/>
    <n v="7.52"/>
    <n v="0.64"/>
    <n v="3.44"/>
    <n v="4.08"/>
    <x v="2"/>
  </r>
  <r>
    <x v="8"/>
    <x v="62"/>
    <x v="3"/>
    <s v="3.23-17.61"/>
    <n v="13.14"/>
    <n v="17.61"/>
    <n v="3.23"/>
    <n v="7.19"/>
    <n v="10.42"/>
    <x v="3"/>
  </r>
  <r>
    <x v="8"/>
    <x v="63"/>
    <x v="3"/>
    <s v="1.36-8.46"/>
    <n v="6.14"/>
    <n v="8.4600000000000009"/>
    <n v="1.36"/>
    <n v="3.55"/>
    <n v="4.91"/>
    <x v="4"/>
  </r>
  <r>
    <x v="8"/>
    <x v="64"/>
    <x v="3"/>
    <s v="2.63-10.05"/>
    <n v="8.4499999999999993"/>
    <n v="10.050000000000001"/>
    <n v="2.63"/>
    <n v="3.71"/>
    <n v="6.34"/>
    <x v="5"/>
  </r>
  <r>
    <x v="8"/>
    <x v="66"/>
    <x v="3"/>
    <s v="6.22-18.72"/>
    <n v="14.75"/>
    <n v="18.72"/>
    <n v="6.22"/>
    <n v="6.25"/>
    <n v="12.47"/>
    <x v="6"/>
  </r>
  <r>
    <x v="8"/>
    <x v="148"/>
    <x v="3"/>
    <s v="0.64-7.52"/>
    <n v="5.57"/>
    <n v="7.52"/>
    <n v="0.64"/>
    <n v="3.44"/>
    <n v="4.08"/>
    <x v="7"/>
  </r>
  <r>
    <x v="8"/>
    <x v="148"/>
    <x v="3"/>
    <s v="0.64-7.52"/>
    <n v="5.57"/>
    <n v="7.52"/>
    <n v="0.64"/>
    <n v="3.44"/>
    <n v="4.08"/>
    <x v="8"/>
  </r>
  <r>
    <x v="8"/>
    <x v="69"/>
    <x v="3"/>
    <s v="-0.39-10.83"/>
    <n v="7.03"/>
    <n v="10.83"/>
    <n v="-0.39"/>
    <n v="5.61"/>
    <n v="5.22"/>
    <x v="9"/>
  </r>
  <r>
    <x v="8"/>
    <x v="70"/>
    <x v="4"/>
    <s v="1.56-15.62"/>
    <n v="8.4612999999999996"/>
    <n v="15.62"/>
    <n v="1.56"/>
    <n v="7.03"/>
    <n v="8.4612999999999996"/>
    <x v="0"/>
  </r>
  <r>
    <x v="8"/>
    <x v="71"/>
    <x v="4"/>
    <s v="-0.71-9.17"/>
    <n v="3.7378999999999998"/>
    <n v="9.17"/>
    <n v="-0.71"/>
    <n v="4.9400000000000004"/>
    <n v="3.7378999999999998"/>
    <x v="1"/>
  </r>
  <r>
    <x v="8"/>
    <x v="112"/>
    <x v="4"/>
    <s v="1.36-12.76"/>
    <n v="6.1948999999999996"/>
    <n v="12.76"/>
    <n v="1.36"/>
    <n v="5.7"/>
    <n v="6.1948999999999996"/>
    <x v="2"/>
  </r>
  <r>
    <x v="8"/>
    <x v="73"/>
    <x v="4"/>
    <s v="3.82-13.64"/>
    <n v="7.8859000000000004"/>
    <n v="13.64"/>
    <n v="3.82"/>
    <n v="4.91"/>
    <n v="7.8859000000000004"/>
    <x v="3"/>
  </r>
  <r>
    <x v="8"/>
    <x v="74"/>
    <x v="4"/>
    <s v="3.12-15.24"/>
    <n v="8.9242000000000008"/>
    <n v="15.24"/>
    <n v="3.12"/>
    <n v="6.06"/>
    <n v="8.9242000000000008"/>
    <x v="4"/>
  </r>
  <r>
    <x v="8"/>
    <x v="104"/>
    <x v="4"/>
    <s v="3.04-16.94"/>
    <n v="9.4992999999999999"/>
    <n v="16.940000000000001"/>
    <n v="3.04"/>
    <n v="6.95"/>
    <n v="9.4992999999999999"/>
    <x v="5"/>
  </r>
  <r>
    <x v="8"/>
    <x v="113"/>
    <x v="4"/>
    <s v="0.11-10.87"/>
    <n v="4.7599"/>
    <n v="10.87"/>
    <n v="0.11"/>
    <n v="5.38"/>
    <n v="4.7599"/>
    <x v="6"/>
  </r>
  <r>
    <x v="8"/>
    <x v="138"/>
    <x v="4"/>
    <s v="1.62-12.58"/>
    <n v="6.6215000000000002"/>
    <n v="12.58"/>
    <n v="1.62"/>
    <n v="5.48"/>
    <n v="6.6215000000000002"/>
    <x v="7"/>
  </r>
  <r>
    <x v="8"/>
    <x v="78"/>
    <x v="4"/>
    <s v="3.50-17.74"/>
    <n v="10.014900000000001"/>
    <n v="17.739999999999998"/>
    <n v="3.5"/>
    <n v="7.12"/>
    <n v="10.014900000000001"/>
    <x v="8"/>
  </r>
  <r>
    <x v="8"/>
    <x v="79"/>
    <x v="4"/>
    <s v="0.58-11.80"/>
    <n v="5.9634999999999998"/>
    <n v="11.8"/>
    <n v="0.57999999999999996"/>
    <n v="5.61"/>
    <n v="5.9634999999999998"/>
    <x v="9"/>
  </r>
  <r>
    <x v="8"/>
    <x v="80"/>
    <x v="5"/>
    <s v="2.74-13.24"/>
    <n v="8"/>
    <n v="13.24"/>
    <n v="2.74"/>
    <n v="5.25"/>
    <n v="7.99"/>
    <x v="0"/>
  </r>
  <r>
    <x v="8"/>
    <x v="81"/>
    <x v="5"/>
    <s v="4.55-12.73"/>
    <n v="8.6"/>
    <n v="12.73"/>
    <n v="4.55"/>
    <n v="4.09"/>
    <n v="8.64"/>
    <x v="1"/>
  </r>
  <r>
    <x v="8"/>
    <x v="82"/>
    <x v="5"/>
    <s v="4.82-11.18"/>
    <n v="8"/>
    <n v="11.18"/>
    <n v="4.82"/>
    <n v="3.18"/>
    <n v="8"/>
    <x v="2"/>
  </r>
  <r>
    <x v="8"/>
    <x v="149"/>
    <x v="5"/>
    <s v="3.86-11.58"/>
    <n v="7.7"/>
    <n v="11.58"/>
    <n v="3.86"/>
    <n v="3.86"/>
    <n v="7.72"/>
    <x v="3"/>
  </r>
  <r>
    <x v="8"/>
    <x v="84"/>
    <x v="5"/>
    <s v="4.96-13.96"/>
    <n v="9.48"/>
    <n v="13.96"/>
    <n v="4.96"/>
    <n v="4.5"/>
    <n v="9.4600000000000009"/>
    <x v="4"/>
  </r>
  <r>
    <x v="8"/>
    <x v="85"/>
    <x v="5"/>
    <s v="4.05-15.27"/>
    <n v="9.7100000000000009"/>
    <n v="15.27"/>
    <n v="4.05"/>
    <n v="5.61"/>
    <n v="9.66"/>
    <x v="5"/>
  </r>
  <r>
    <x v="8"/>
    <x v="86"/>
    <x v="5"/>
    <s v="5.23-12.85"/>
    <n v="9.06"/>
    <n v="12.85"/>
    <n v="5.23"/>
    <n v="3.81"/>
    <n v="9.0399999999999991"/>
    <x v="6"/>
  </r>
  <r>
    <x v="8"/>
    <x v="149"/>
    <x v="5"/>
    <s v="3.86-11.58"/>
    <n v="7.7"/>
    <n v="11.58"/>
    <n v="3.86"/>
    <n v="3.86"/>
    <n v="7.72"/>
    <x v="7"/>
  </r>
  <r>
    <x v="8"/>
    <x v="88"/>
    <x v="5"/>
    <s v="4.66-13.94"/>
    <n v="9.27"/>
    <n v="13.94"/>
    <n v="4.66"/>
    <n v="4.6399999999999997"/>
    <n v="9.3000000000000007"/>
    <x v="8"/>
  </r>
  <r>
    <x v="8"/>
    <x v="89"/>
    <x v="5"/>
    <s v="3.25-10.97"/>
    <n v="7.13"/>
    <n v="10.97"/>
    <n v="3.25"/>
    <n v="3.86"/>
    <n v="7.11"/>
    <x v="9"/>
  </r>
  <r>
    <x v="9"/>
    <x v="1"/>
    <x v="0"/>
    <s v="6.84-22.74"/>
    <n v="15.98"/>
    <n v="22.74"/>
    <n v="6.84"/>
    <n v="7.95"/>
    <n v="14.79"/>
    <x v="0"/>
  </r>
  <r>
    <x v="9"/>
    <x v="2"/>
    <x v="0"/>
    <s v="4.26-15.38"/>
    <n v="10.86"/>
    <n v="15.38"/>
    <n v="4.26"/>
    <n v="5.56"/>
    <n v="9.82"/>
    <x v="0"/>
  </r>
  <r>
    <x v="9"/>
    <x v="3"/>
    <x v="0"/>
    <s v="6.81-25.43"/>
    <n v="18.53"/>
    <n v="25.43"/>
    <n v="6.81"/>
    <n v="9.31"/>
    <n v="16.12"/>
    <x v="1"/>
  </r>
  <r>
    <x v="9"/>
    <x v="5"/>
    <x v="0"/>
    <s v="3.72-22.92"/>
    <n v="14.86"/>
    <n v="22.92"/>
    <n v="3.72"/>
    <n v="9.6"/>
    <n v="13.32"/>
    <x v="1"/>
  </r>
  <r>
    <x v="9"/>
    <x v="4"/>
    <x v="0"/>
    <s v="4.86-20.34"/>
    <n v="13.79"/>
    <n v="20.34"/>
    <n v="4.8600000000000003"/>
    <n v="7.74"/>
    <n v="12.6"/>
    <x v="1"/>
  </r>
  <r>
    <x v="9"/>
    <x v="6"/>
    <x v="0"/>
    <s v="5.93-24.61"/>
    <n v="17.25"/>
    <n v="24.61"/>
    <n v="5.93"/>
    <n v="9.34"/>
    <n v="15.27"/>
    <x v="2"/>
  </r>
  <r>
    <x v="9"/>
    <x v="139"/>
    <x v="0"/>
    <s v="2.68-11.80"/>
    <n v="7.98"/>
    <n v="11.8"/>
    <n v="2.68"/>
    <n v="4.5599999999999996"/>
    <n v="7.24"/>
    <x v="2"/>
  </r>
  <r>
    <x v="9"/>
    <x v="8"/>
    <x v="0"/>
    <s v="5.70-21.36"/>
    <n v="15.85"/>
    <n v="21.36"/>
    <n v="5.7"/>
    <n v="7.83"/>
    <n v="13.53"/>
    <x v="3"/>
  </r>
  <r>
    <x v="9"/>
    <x v="10"/>
    <x v="0"/>
    <s v="4.17-16.77"/>
    <n v="11.18"/>
    <n v="16.77"/>
    <n v="4.17"/>
    <n v="6.3"/>
    <n v="10.47"/>
    <x v="3"/>
  </r>
  <r>
    <x v="9"/>
    <x v="150"/>
    <x v="0"/>
    <s v="3.22-13.84"/>
    <n v="9.5399999999999991"/>
    <n v="13.84"/>
    <n v="3.22"/>
    <n v="5.31"/>
    <n v="8.5299999999999994"/>
    <x v="3"/>
  </r>
  <r>
    <x v="9"/>
    <x v="11"/>
    <x v="0"/>
    <s v="6.67-19.47"/>
    <n v="14.23"/>
    <n v="19.47"/>
    <n v="6.67"/>
    <n v="6.4"/>
    <n v="13.07"/>
    <x v="4"/>
  </r>
  <r>
    <x v="9"/>
    <x v="12"/>
    <x v="0"/>
    <s v="5.91-18.41"/>
    <n v="14.63"/>
    <n v="18.41"/>
    <n v="5.91"/>
    <n v="6.25"/>
    <n v="12.16"/>
    <x v="4"/>
  </r>
  <r>
    <x v="9"/>
    <x v="13"/>
    <x v="0"/>
    <s v="1.23-15.55"/>
    <n v="9.7100000000000009"/>
    <n v="15.55"/>
    <n v="1.23"/>
    <n v="7.16"/>
    <n v="8.39"/>
    <x v="4"/>
  </r>
  <r>
    <x v="9"/>
    <x v="15"/>
    <x v="0"/>
    <s v="8.14-27.06"/>
    <n v="19.96"/>
    <n v="27.06"/>
    <n v="8.14"/>
    <n v="9.4600000000000009"/>
    <n v="17.600000000000001"/>
    <x v="5"/>
  </r>
  <r>
    <x v="9"/>
    <x v="14"/>
    <x v="0"/>
    <s v="1.82-13.82"/>
    <n v="9.1"/>
    <n v="13.82"/>
    <n v="1.82"/>
    <n v="6"/>
    <n v="7.82"/>
    <x v="5"/>
  </r>
  <r>
    <x v="9"/>
    <x v="16"/>
    <x v="0"/>
    <s v="7.60-24.30"/>
    <n v="18.43"/>
    <n v="24.3"/>
    <n v="7.6"/>
    <n v="8.35"/>
    <n v="15.95"/>
    <x v="6"/>
  </r>
  <r>
    <x v="9"/>
    <x v="121"/>
    <x v="0"/>
    <s v="3.53-21.25"/>
    <n v="13.79"/>
    <n v="21.25"/>
    <n v="3.53"/>
    <n v="8.86"/>
    <n v="12.39"/>
    <x v="6"/>
  </r>
  <r>
    <x v="9"/>
    <x v="17"/>
    <x v="0"/>
    <s v="4.80-17.62"/>
    <n v="11.67"/>
    <n v="17.62"/>
    <n v="4.8"/>
    <n v="6.41"/>
    <n v="11.21"/>
    <x v="6"/>
  </r>
  <r>
    <x v="9"/>
    <x v="19"/>
    <x v="0"/>
    <s v="5.19-19.03"/>
    <n v="13.26"/>
    <n v="19.03"/>
    <n v="5.19"/>
    <n v="6.92"/>
    <n v="12.11"/>
    <x v="7"/>
  </r>
  <r>
    <x v="9"/>
    <x v="122"/>
    <x v="0"/>
    <s v="0.79-7.85"/>
    <n v="5.4"/>
    <n v="7.85"/>
    <n v="0.79"/>
    <n v="3.53"/>
    <n v="4.32"/>
    <x v="7"/>
  </r>
  <r>
    <x v="9"/>
    <x v="21"/>
    <x v="0"/>
    <s v="4.76-19.94"/>
    <n v="14.9"/>
    <n v="19.940000000000001"/>
    <n v="4.76"/>
    <n v="7.59"/>
    <n v="12.35"/>
    <x v="8"/>
  </r>
  <r>
    <x v="9"/>
    <x v="22"/>
    <x v="0"/>
    <s v="0.16-15.20"/>
    <n v="9.24"/>
    <n v="15.2"/>
    <n v="0.16"/>
    <n v="7.52"/>
    <n v="7.68"/>
    <x v="8"/>
  </r>
  <r>
    <x v="9"/>
    <x v="23"/>
    <x v="0"/>
    <s v="5.56-18.64"/>
    <n v="13.68"/>
    <n v="18.64"/>
    <n v="5.56"/>
    <n v="6.54"/>
    <n v="12.1"/>
    <x v="9"/>
  </r>
  <r>
    <x v="9"/>
    <x v="25"/>
    <x v="0"/>
    <s v="3.77-16.83"/>
    <n v="11.71"/>
    <n v="16.829999999999998"/>
    <n v="3.77"/>
    <n v="6.53"/>
    <n v="10.3"/>
    <x v="9"/>
  </r>
  <r>
    <x v="9"/>
    <x v="116"/>
    <x v="0"/>
    <s v="5.47-13.85"/>
    <n v="10.23"/>
    <n v="13.85"/>
    <n v="5.47"/>
    <n v="4.1900000000000004"/>
    <n v="9.66"/>
    <x v="9"/>
  </r>
  <r>
    <x v="9"/>
    <x v="26"/>
    <x v="1"/>
    <s v="7.00-22.12"/>
    <n v="17.79"/>
    <n v="22.12"/>
    <n v="7"/>
    <n v="7.56"/>
    <n v="14.56"/>
    <x v="0"/>
  </r>
  <r>
    <x v="9"/>
    <x v="27"/>
    <x v="1"/>
    <s v="4.17-17.49"/>
    <n v="13.49"/>
    <n v="17.489999999999998"/>
    <n v="4.17"/>
    <n v="6.66"/>
    <n v="10.83"/>
    <x v="0"/>
  </r>
  <r>
    <x v="9"/>
    <x v="133"/>
    <x v="1"/>
    <s v="2.24-17.40"/>
    <n v="11.67"/>
    <n v="17.399999999999999"/>
    <n v="2.2400000000000002"/>
    <n v="7.58"/>
    <n v="9.82"/>
    <x v="0"/>
  </r>
  <r>
    <x v="9"/>
    <x v="28"/>
    <x v="1"/>
    <s v="4.51-18.27"/>
    <n v="14.22"/>
    <n v="18.27"/>
    <n v="4.51"/>
    <n v="6.88"/>
    <n v="11.39"/>
    <x v="1"/>
  </r>
  <r>
    <x v="9"/>
    <x v="106"/>
    <x v="1"/>
    <s v="4.62-14.04"/>
    <n v="12.61"/>
    <n v="14.04"/>
    <n v="4.62"/>
    <n v="4.71"/>
    <n v="9.33"/>
    <x v="1"/>
  </r>
  <r>
    <x v="9"/>
    <x v="30"/>
    <x v="1"/>
    <s v="3.77-15.99"/>
    <n v="12.45"/>
    <n v="15.99"/>
    <n v="3.77"/>
    <n v="6.11"/>
    <n v="9.8800000000000008"/>
    <x v="2"/>
  </r>
  <r>
    <x v="9"/>
    <x v="94"/>
    <x v="1"/>
    <s v="1.23-16.75"/>
    <n v="11.2"/>
    <n v="16.75"/>
    <n v="1.23"/>
    <n v="7.76"/>
    <n v="8.99"/>
    <x v="2"/>
  </r>
  <r>
    <x v="9"/>
    <x v="31"/>
    <x v="1"/>
    <s v="3.56-13.44"/>
    <n v="10.58"/>
    <n v="13.44"/>
    <n v="3.56"/>
    <n v="4.9400000000000004"/>
    <n v="8.5"/>
    <x v="2"/>
  </r>
  <r>
    <x v="9"/>
    <x v="34"/>
    <x v="1"/>
    <s v="4.15-20.47"/>
    <n v="14.89"/>
    <n v="20.47"/>
    <n v="4.1500000000000004"/>
    <n v="8.16"/>
    <n v="12.31"/>
    <x v="3"/>
  </r>
  <r>
    <x v="9"/>
    <x v="107"/>
    <x v="1"/>
    <s v="0.98-16.60"/>
    <n v="11.05"/>
    <n v="16.600000000000001"/>
    <n v="0.98"/>
    <n v="7.81"/>
    <n v="8.7899999999999991"/>
    <x v="3"/>
  </r>
  <r>
    <x v="9"/>
    <x v="35"/>
    <x v="1"/>
    <s v="4.75-17.95"/>
    <n v="14.52"/>
    <n v="17.95"/>
    <n v="4.75"/>
    <n v="6.6"/>
    <n v="11.35"/>
    <x v="4"/>
  </r>
  <r>
    <x v="9"/>
    <x v="95"/>
    <x v="1"/>
    <s v="3.89-15.11"/>
    <n v="11.49"/>
    <n v="15.11"/>
    <n v="3.89"/>
    <n v="5.61"/>
    <n v="9.5"/>
    <x v="4"/>
  </r>
  <r>
    <x v="9"/>
    <x v="37"/>
    <x v="1"/>
    <s v="4.12-16.80"/>
    <n v="13.14"/>
    <n v="16.8"/>
    <n v="4.12"/>
    <n v="6.34"/>
    <n v="10.46"/>
    <x v="5"/>
  </r>
  <r>
    <x v="9"/>
    <x v="123"/>
    <x v="1"/>
    <s v="1.86-13.22"/>
    <n v="9.92"/>
    <n v="13.22"/>
    <n v="1.86"/>
    <n v="5.68"/>
    <n v="7.54"/>
    <x v="5"/>
  </r>
  <r>
    <x v="9"/>
    <x v="96"/>
    <x v="1"/>
    <s v="0.71-13.91"/>
    <n v="9.66"/>
    <n v="13.91"/>
    <n v="0.71"/>
    <n v="6.6"/>
    <n v="7.31"/>
    <x v="5"/>
  </r>
  <r>
    <x v="9"/>
    <x v="39"/>
    <x v="1"/>
    <s v="2.80-14.36"/>
    <n v="11.69"/>
    <n v="14.36"/>
    <n v="2.8"/>
    <n v="5.78"/>
    <n v="8.58"/>
    <x v="6"/>
  </r>
  <r>
    <x v="9"/>
    <x v="40"/>
    <x v="1"/>
    <s v="-0.85-15.77"/>
    <n v="9.15"/>
    <n v="15.77"/>
    <n v="-0.85"/>
    <n v="8.31"/>
    <n v="7.46"/>
    <x v="6"/>
  </r>
  <r>
    <x v="9"/>
    <x v="43"/>
    <x v="1"/>
    <s v="7.27-23.35"/>
    <n v="18.649999999999999"/>
    <n v="23.35"/>
    <n v="7.27"/>
    <n v="8.0399999999999991"/>
    <n v="15.31"/>
    <x v="7"/>
  </r>
  <r>
    <x v="9"/>
    <x v="42"/>
    <x v="1"/>
    <s v="4.65-22.75"/>
    <n v="16.97"/>
    <n v="22.75"/>
    <n v="4.6500000000000004"/>
    <n v="9.0500000000000007"/>
    <n v="13.7"/>
    <x v="7"/>
  </r>
  <r>
    <x v="9"/>
    <x v="108"/>
    <x v="1"/>
    <s v="0.46-13.72"/>
    <n v="8.83"/>
    <n v="13.72"/>
    <n v="0.46"/>
    <n v="6.63"/>
    <n v="7.09"/>
    <x v="7"/>
  </r>
  <r>
    <x v="9"/>
    <x v="46"/>
    <x v="1"/>
    <s v="1.59-14.79"/>
    <n v="10.119999999999999"/>
    <n v="14.79"/>
    <n v="1.59"/>
    <n v="6.6"/>
    <n v="8.19"/>
    <x v="8"/>
  </r>
  <r>
    <x v="9"/>
    <x v="44"/>
    <x v="1"/>
    <s v="2.52-13.84"/>
    <n v="10.38"/>
    <n v="13.84"/>
    <n v="2.52"/>
    <n v="5.66"/>
    <n v="8.18"/>
    <x v="8"/>
  </r>
  <r>
    <x v="9"/>
    <x v="45"/>
    <x v="1"/>
    <s v="1.23-11.97"/>
    <n v="8.44"/>
    <n v="11.97"/>
    <n v="1.23"/>
    <n v="5.37"/>
    <n v="6.6"/>
    <x v="8"/>
  </r>
  <r>
    <x v="9"/>
    <x v="98"/>
    <x v="1"/>
    <s v="3.49-16.75"/>
    <n v="13.15"/>
    <n v="16.75"/>
    <n v="3.49"/>
    <n v="6.63"/>
    <n v="10.119999999999999"/>
    <x v="9"/>
  </r>
  <r>
    <x v="9"/>
    <x v="47"/>
    <x v="1"/>
    <s v="3.02-15.58"/>
    <n v="11.29"/>
    <n v="15.58"/>
    <n v="3.02"/>
    <n v="6.28"/>
    <n v="9.3000000000000007"/>
    <x v="9"/>
  </r>
  <r>
    <x v="9"/>
    <x v="135"/>
    <x v="2"/>
    <s v="11.08-24.84"/>
    <n v="18.86"/>
    <n v="24.84"/>
    <n v="11.08"/>
    <n v="6.88"/>
    <n v="17.96"/>
    <x v="0"/>
  </r>
  <r>
    <x v="9"/>
    <x v="50"/>
    <x v="2"/>
    <s v="12.09-25.17"/>
    <n v="19.23"/>
    <n v="25.17"/>
    <n v="12.09"/>
    <n v="6.54"/>
    <n v="18.63"/>
    <x v="1"/>
  </r>
  <r>
    <x v="9"/>
    <x v="51"/>
    <x v="2"/>
    <s v="10.96-23.30"/>
    <n v="18.079999999999998"/>
    <n v="23.3"/>
    <n v="10.96"/>
    <n v="6.17"/>
    <n v="17.13"/>
    <x v="2"/>
  </r>
  <r>
    <x v="9"/>
    <x v="151"/>
    <x v="2"/>
    <s v="10.96-23.30"/>
    <n v="18.079999999999998"/>
    <n v="23.3"/>
    <n v="10.96"/>
    <n v="6.17"/>
    <n v="17.13"/>
    <x v="3"/>
  </r>
  <r>
    <x v="9"/>
    <x v="100"/>
    <x v="2"/>
    <s v="13.41-25.45"/>
    <n v="19.97"/>
    <n v="25.45"/>
    <n v="13.41"/>
    <n v="6.02"/>
    <n v="19.43"/>
    <x v="4"/>
  </r>
  <r>
    <x v="9"/>
    <x v="117"/>
    <x v="2"/>
    <s v="13.04-26.50"/>
    <n v="20.34"/>
    <n v="26.5"/>
    <n v="13.04"/>
    <n v="6.73"/>
    <n v="19.77"/>
    <x v="5"/>
  </r>
  <r>
    <x v="9"/>
    <x v="55"/>
    <x v="2"/>
    <s v="12.29-27.33"/>
    <n v="20.6"/>
    <n v="27.33"/>
    <n v="12.29"/>
    <n v="7.52"/>
    <n v="19.809999999999999"/>
    <x v="6"/>
  </r>
  <r>
    <x v="9"/>
    <x v="56"/>
    <x v="2"/>
    <s v="13.01-26.31"/>
    <n v="20.329999999999998"/>
    <n v="26.31"/>
    <n v="13.01"/>
    <n v="6.65"/>
    <n v="19.66"/>
    <x v="7"/>
  </r>
  <r>
    <x v="9"/>
    <x v="57"/>
    <x v="2"/>
    <s v="14.71-30.27"/>
    <n v="23"/>
    <n v="30.27"/>
    <n v="14.71"/>
    <n v="7.78"/>
    <n v="22.49"/>
    <x v="8"/>
  </r>
  <r>
    <x v="9"/>
    <x v="58"/>
    <x v="2"/>
    <s v="13.75-34.85"/>
    <n v="24.68"/>
    <n v="34.85"/>
    <n v="13.75"/>
    <n v="10.55"/>
    <n v="24.3"/>
    <x v="9"/>
  </r>
  <r>
    <x v="9"/>
    <x v="102"/>
    <x v="3"/>
    <s v="0.49-10.55"/>
    <n v="7.33"/>
    <n v="10.55"/>
    <n v="0.49"/>
    <n v="5.03"/>
    <n v="5.52"/>
    <x v="0"/>
  </r>
  <r>
    <x v="9"/>
    <x v="60"/>
    <x v="3"/>
    <s v="1.90-13.06"/>
    <n v="9.82"/>
    <n v="13.06"/>
    <n v="1.9"/>
    <n v="5.58"/>
    <n v="7.48"/>
    <x v="1"/>
  </r>
  <r>
    <x v="9"/>
    <x v="61"/>
    <x v="3"/>
    <s v="-0.12-7.10"/>
    <n v="4.8"/>
    <n v="7.1"/>
    <n v="-0.12"/>
    <n v="3.61"/>
    <n v="3.49"/>
    <x v="2"/>
  </r>
  <r>
    <x v="9"/>
    <x v="62"/>
    <x v="3"/>
    <s v="3.61-14.11"/>
    <n v="11.51"/>
    <n v="14.11"/>
    <n v="3.61"/>
    <n v="5.25"/>
    <n v="8.86"/>
    <x v="3"/>
  </r>
  <r>
    <x v="9"/>
    <x v="124"/>
    <x v="3"/>
    <s v="1.30-7.54"/>
    <n v="5.94"/>
    <n v="7.54"/>
    <n v="1.3"/>
    <n v="3.12"/>
    <n v="4.42"/>
    <x v="4"/>
  </r>
  <r>
    <x v="9"/>
    <x v="65"/>
    <x v="3"/>
    <s v="0.74-12.94"/>
    <n v="8.65"/>
    <n v="12.94"/>
    <n v="0.74"/>
    <n v="6.1"/>
    <n v="6.84"/>
    <x v="5"/>
  </r>
  <r>
    <x v="9"/>
    <x v="66"/>
    <x v="3"/>
    <s v="5.29-18.27"/>
    <n v="14.07"/>
    <n v="18.27"/>
    <n v="5.29"/>
    <n v="6.49"/>
    <n v="11.78"/>
    <x v="6"/>
  </r>
  <r>
    <x v="9"/>
    <x v="67"/>
    <x v="3"/>
    <s v="1.94-13.32"/>
    <n v="10.08"/>
    <n v="13.32"/>
    <n v="1.94"/>
    <n v="5.69"/>
    <n v="7.63"/>
    <x v="7"/>
  </r>
  <r>
    <x v="9"/>
    <x v="68"/>
    <x v="3"/>
    <s v="3.81-12.21"/>
    <n v="10.41"/>
    <n v="12.21"/>
    <n v="3.81"/>
    <n v="4.2"/>
    <n v="8.01"/>
    <x v="8"/>
  </r>
  <r>
    <x v="9"/>
    <x v="69"/>
    <x v="3"/>
    <s v="-0.58-11.96"/>
    <n v="7.55"/>
    <n v="11.96"/>
    <n v="-0.57999999999999996"/>
    <n v="6.27"/>
    <n v="5.69"/>
    <x v="9"/>
  </r>
  <r>
    <x v="9"/>
    <x v="152"/>
    <x v="4"/>
    <s v="1.73-13.47"/>
    <n v="7.1192000000000002"/>
    <n v="13.47"/>
    <n v="1.73"/>
    <n v="5.87"/>
    <n v="7.1192000000000002"/>
    <x v="0"/>
  </r>
  <r>
    <x v="9"/>
    <x v="71"/>
    <x v="4"/>
    <s v="2.21-14.71"/>
    <n v="8.3432999999999993"/>
    <n v="14.71"/>
    <n v="2.21"/>
    <n v="6.25"/>
    <n v="8.3432999999999993"/>
    <x v="1"/>
  </r>
  <r>
    <x v="9"/>
    <x v="112"/>
    <x v="4"/>
    <s v="1.98-13.64"/>
    <n v="7.3413000000000004"/>
    <n v="13.64"/>
    <n v="1.98"/>
    <n v="5.83"/>
    <n v="7.3413000000000004"/>
    <x v="2"/>
  </r>
  <r>
    <x v="9"/>
    <x v="73"/>
    <x v="4"/>
    <s v="-0.05-9.91"/>
    <n v="4.6844999999999999"/>
    <n v="9.91"/>
    <n v="-0.05"/>
    <n v="4.9800000000000004"/>
    <n v="4.6844999999999999"/>
    <x v="3"/>
  </r>
  <r>
    <x v="9"/>
    <x v="125"/>
    <x v="4"/>
    <s v="-0.64-7.14"/>
    <n v="3.2517999999999998"/>
    <n v="7.14"/>
    <n v="-0.64"/>
    <n v="3.89"/>
    <n v="3.2517999999999998"/>
    <x v="4"/>
  </r>
  <r>
    <x v="9"/>
    <x v="75"/>
    <x v="4"/>
    <s v="5.17-16.81"/>
    <n v="10.3992"/>
    <n v="16.809999999999999"/>
    <n v="5.17"/>
    <n v="5.82"/>
    <n v="10.3992"/>
    <x v="5"/>
  </r>
  <r>
    <x v="9"/>
    <x v="76"/>
    <x v="4"/>
    <s v="4.08-15.48"/>
    <n v="9.42"/>
    <n v="15.48"/>
    <n v="4.08"/>
    <n v="5.7"/>
    <n v="9.42"/>
    <x v="6"/>
  </r>
  <r>
    <x v="9"/>
    <x v="138"/>
    <x v="4"/>
    <s v="4.16-16.26"/>
    <n v="9.9794"/>
    <n v="16.260000000000002"/>
    <n v="4.16"/>
    <n v="6.05"/>
    <n v="9.9794"/>
    <x v="7"/>
  </r>
  <r>
    <x v="9"/>
    <x v="152"/>
    <x v="4"/>
    <s v="1.73-13.47"/>
    <n v="7.1192000000000002"/>
    <n v="13.47"/>
    <n v="1.73"/>
    <n v="5.87"/>
    <n v="7.1192000000000002"/>
    <x v="8"/>
  </r>
  <r>
    <x v="9"/>
    <x v="152"/>
    <x v="4"/>
    <s v="1.73-13.47"/>
    <n v="7.1192000000000002"/>
    <n v="13.47"/>
    <n v="1.73"/>
    <n v="5.87"/>
    <n v="7.1192000000000002"/>
    <x v="9"/>
  </r>
  <r>
    <x v="9"/>
    <x v="80"/>
    <x v="5"/>
    <s v="4.08-12.12"/>
    <n v="8.08"/>
    <n v="12.12"/>
    <n v="4.08"/>
    <n v="4.0199999999999996"/>
    <n v="8.1"/>
    <x v="0"/>
  </r>
  <r>
    <x v="9"/>
    <x v="81"/>
    <x v="5"/>
    <s v="5.03-12.89"/>
    <n v="8.98"/>
    <n v="12.89"/>
    <n v="5.03"/>
    <n v="3.93"/>
    <n v="8.9600000000000009"/>
    <x v="1"/>
  </r>
  <r>
    <x v="9"/>
    <x v="82"/>
    <x v="5"/>
    <s v="4.71-14.35"/>
    <n v="9.52"/>
    <n v="14.35"/>
    <n v="4.71"/>
    <n v="4.82"/>
    <n v="9.5299999999999994"/>
    <x v="2"/>
  </r>
  <r>
    <x v="9"/>
    <x v="83"/>
    <x v="5"/>
    <s v="4.69-13.49"/>
    <n v="9.08"/>
    <n v="13.49"/>
    <n v="4.6900000000000004"/>
    <n v="4.4000000000000004"/>
    <n v="9.09"/>
    <x v="3"/>
  </r>
  <r>
    <x v="9"/>
    <x v="84"/>
    <x v="5"/>
    <s v="4.70-12.12"/>
    <n v="8.42"/>
    <n v="12.12"/>
    <n v="4.7"/>
    <n v="3.71"/>
    <n v="8.41"/>
    <x v="4"/>
  </r>
  <r>
    <x v="9"/>
    <x v="114"/>
    <x v="5"/>
    <s v="4.26-11.86"/>
    <n v="8.0399999999999991"/>
    <n v="11.86"/>
    <n v="4.26"/>
    <n v="3.8"/>
    <n v="8.06"/>
    <x v="5"/>
  </r>
  <r>
    <x v="9"/>
    <x v="86"/>
    <x v="5"/>
    <s v="5.15-12.83"/>
    <n v="9.01"/>
    <n v="12.83"/>
    <n v="5.15"/>
    <n v="3.84"/>
    <n v="8.99"/>
    <x v="6"/>
  </r>
  <r>
    <x v="9"/>
    <x v="87"/>
    <x v="5"/>
    <s v="2.35-11.31"/>
    <n v="6.81"/>
    <n v="11.31"/>
    <n v="2.35"/>
    <n v="4.4800000000000004"/>
    <n v="6.83"/>
    <x v="7"/>
  </r>
  <r>
    <x v="9"/>
    <x v="88"/>
    <x v="5"/>
    <s v="3.19-13.57"/>
    <n v="8.36"/>
    <n v="13.57"/>
    <n v="3.19"/>
    <n v="5.19"/>
    <n v="8.3800000000000008"/>
    <x v="8"/>
  </r>
  <r>
    <x v="9"/>
    <x v="89"/>
    <x v="5"/>
    <s v="3.73-11.81"/>
    <n v="7.76"/>
    <n v="11.81"/>
    <n v="3.73"/>
    <n v="4.04"/>
    <n v="7.77"/>
    <x v="9"/>
  </r>
  <r>
    <x v="10"/>
    <x v="1"/>
    <x v="0"/>
    <s v="6.30-22.24"/>
    <n v="15.33"/>
    <n v="22.24"/>
    <n v="6.3"/>
    <n v="7.97"/>
    <n v="14.27"/>
    <x v="0"/>
  </r>
  <r>
    <x v="10"/>
    <x v="90"/>
    <x v="0"/>
    <s v="0.53-16.53"/>
    <n v="9.85"/>
    <n v="16.53"/>
    <n v="0.53"/>
    <n v="8"/>
    <n v="8.5299999999999994"/>
    <x v="0"/>
  </r>
  <r>
    <x v="10"/>
    <x v="3"/>
    <x v="0"/>
    <s v="13.77-28.91"/>
    <n v="24.01"/>
    <n v="28.91"/>
    <n v="13.77"/>
    <n v="7.57"/>
    <n v="21.34"/>
    <x v="1"/>
  </r>
  <r>
    <x v="10"/>
    <x v="5"/>
    <x v="0"/>
    <s v="4.06-22.12"/>
    <n v="14.41"/>
    <n v="22.12"/>
    <n v="4.0599999999999996"/>
    <n v="9.0299999999999994"/>
    <n v="13.09"/>
    <x v="1"/>
  </r>
  <r>
    <x v="10"/>
    <x v="4"/>
    <x v="0"/>
    <s v="3.71-14.69"/>
    <n v="10.35"/>
    <n v="14.69"/>
    <n v="3.71"/>
    <n v="5.49"/>
    <n v="9.1999999999999993"/>
    <x v="1"/>
  </r>
  <r>
    <x v="10"/>
    <x v="6"/>
    <x v="0"/>
    <s v="6.74-20.70"/>
    <n v="15.61"/>
    <n v="20.7"/>
    <n v="6.74"/>
    <n v="6.98"/>
    <n v="13.72"/>
    <x v="2"/>
  </r>
  <r>
    <x v="10"/>
    <x v="7"/>
    <x v="0"/>
    <s v="3.54-18.34"/>
    <n v="12.34"/>
    <n v="18.34"/>
    <n v="3.54"/>
    <n v="7.4"/>
    <n v="10.94"/>
    <x v="2"/>
  </r>
  <r>
    <x v="10"/>
    <x v="8"/>
    <x v="0"/>
    <s v="5.34-17.72"/>
    <n v="13.66"/>
    <n v="17.72"/>
    <n v="5.34"/>
    <n v="6.19"/>
    <n v="11.53"/>
    <x v="3"/>
  </r>
  <r>
    <x v="10"/>
    <x v="10"/>
    <x v="0"/>
    <s v="3.10-16.38"/>
    <n v="10.51"/>
    <n v="16.38"/>
    <n v="3.1"/>
    <n v="6.64"/>
    <n v="9.74"/>
    <x v="3"/>
  </r>
  <r>
    <x v="10"/>
    <x v="150"/>
    <x v="0"/>
    <s v="4.18-14.34"/>
    <n v="10.119999999999999"/>
    <n v="14.34"/>
    <n v="4.18"/>
    <n v="5.08"/>
    <n v="9.26"/>
    <x v="3"/>
  </r>
  <r>
    <x v="10"/>
    <x v="11"/>
    <x v="0"/>
    <s v="7.65-26.51"/>
    <n v="18.23"/>
    <n v="26.51"/>
    <n v="7.65"/>
    <n v="9.43"/>
    <n v="17.079999999999998"/>
    <x v="4"/>
  </r>
  <r>
    <x v="10"/>
    <x v="12"/>
    <x v="0"/>
    <s v="6.84-19.20"/>
    <n v="15.57"/>
    <n v="19.2"/>
    <n v="6.84"/>
    <n v="6.18"/>
    <n v="13.02"/>
    <x v="4"/>
  </r>
  <r>
    <x v="10"/>
    <x v="15"/>
    <x v="0"/>
    <s v="6.92-24.82"/>
    <n v="18.32"/>
    <n v="24.82"/>
    <n v="6.92"/>
    <n v="8.9499999999999993"/>
    <n v="15.87"/>
    <x v="5"/>
  </r>
  <r>
    <x v="10"/>
    <x v="14"/>
    <x v="0"/>
    <s v="1.30-11.24"/>
    <n v="7.45"/>
    <n v="11.24"/>
    <n v="1.3"/>
    <n v="4.97"/>
    <n v="6.27"/>
    <x v="5"/>
  </r>
  <r>
    <x v="10"/>
    <x v="16"/>
    <x v="0"/>
    <s v="11.36-27.44"/>
    <n v="21.73"/>
    <n v="27.44"/>
    <n v="11.36"/>
    <n v="8.0399999999999991"/>
    <n v="19.399999999999999"/>
    <x v="6"/>
  </r>
  <r>
    <x v="10"/>
    <x v="17"/>
    <x v="0"/>
    <s v="4.67-18.29"/>
    <n v="11.98"/>
    <n v="18.29"/>
    <n v="4.67"/>
    <n v="6.81"/>
    <n v="11.48"/>
    <x v="6"/>
  </r>
  <r>
    <x v="10"/>
    <x v="121"/>
    <x v="0"/>
    <s v="4.00-18.62"/>
    <n v="12.76"/>
    <n v="18.62"/>
    <n v="4"/>
    <n v="7.31"/>
    <n v="11.31"/>
    <x v="6"/>
  </r>
  <r>
    <x v="10"/>
    <x v="19"/>
    <x v="0"/>
    <s v="4.90-15.20"/>
    <n v="11.01"/>
    <n v="15.2"/>
    <n v="4.9000000000000004"/>
    <n v="5.15"/>
    <n v="10.050000000000001"/>
    <x v="7"/>
  </r>
  <r>
    <x v="10"/>
    <x v="20"/>
    <x v="0"/>
    <s v="4.18-15.84"/>
    <n v="11.16"/>
    <n v="15.84"/>
    <n v="4.18"/>
    <n v="5.83"/>
    <n v="10.01"/>
    <x v="7"/>
  </r>
  <r>
    <x v="10"/>
    <x v="21"/>
    <x v="0"/>
    <s v="4.70-17.54"/>
    <n v="13.37"/>
    <n v="17.54"/>
    <n v="4.7"/>
    <n v="6.42"/>
    <n v="11.12"/>
    <x v="8"/>
  </r>
  <r>
    <x v="10"/>
    <x v="22"/>
    <x v="0"/>
    <s v="0.16-15.20"/>
    <n v="9.07"/>
    <n v="15.2"/>
    <n v="0.16"/>
    <n v="7.52"/>
    <n v="7.68"/>
    <x v="8"/>
  </r>
  <r>
    <x v="10"/>
    <x v="23"/>
    <x v="0"/>
    <s v="3.94-23.14"/>
    <n v="14.72"/>
    <n v="23.14"/>
    <n v="3.94"/>
    <n v="9.6"/>
    <n v="13.54"/>
    <x v="9"/>
  </r>
  <r>
    <x v="10"/>
    <x v="105"/>
    <x v="0"/>
    <s v="1.80-15.68"/>
    <n v="9.7100000000000009"/>
    <n v="15.68"/>
    <n v="1.8"/>
    <n v="6.94"/>
    <n v="8.74"/>
    <x v="9"/>
  </r>
  <r>
    <x v="10"/>
    <x v="26"/>
    <x v="1"/>
    <s v="4.32-22.44"/>
    <n v="16.59"/>
    <n v="22.44"/>
    <n v="4.32"/>
    <n v="9.06"/>
    <n v="13.38"/>
    <x v="0"/>
  </r>
  <r>
    <x v="10"/>
    <x v="27"/>
    <x v="1"/>
    <s v="3.59-16.55"/>
    <n v="12.73"/>
    <n v="16.55"/>
    <n v="3.59"/>
    <n v="6.48"/>
    <n v="10.07"/>
    <x v="0"/>
  </r>
  <r>
    <x v="10"/>
    <x v="133"/>
    <x v="1"/>
    <s v="2.96-14.82"/>
    <n v="10.68"/>
    <n v="14.82"/>
    <n v="2.96"/>
    <n v="5.93"/>
    <n v="8.89"/>
    <x v="0"/>
  </r>
  <r>
    <x v="10"/>
    <x v="28"/>
    <x v="1"/>
    <s v="5.06-17.28"/>
    <n v="14.07"/>
    <n v="17.28"/>
    <n v="5.0599999999999996"/>
    <n v="6.11"/>
    <n v="11.17"/>
    <x v="1"/>
  </r>
  <r>
    <x v="10"/>
    <x v="106"/>
    <x v="1"/>
    <s v="3.97-13.85"/>
    <n v="12.05"/>
    <n v="13.85"/>
    <n v="3.97"/>
    <n v="4.9400000000000004"/>
    <n v="8.91"/>
    <x v="1"/>
  </r>
  <r>
    <x v="10"/>
    <x v="30"/>
    <x v="1"/>
    <s v="4.59-18.07"/>
    <n v="14.13"/>
    <n v="18.07"/>
    <n v="4.59"/>
    <n v="6.74"/>
    <n v="11.33"/>
    <x v="2"/>
  </r>
  <r>
    <x v="10"/>
    <x v="31"/>
    <x v="1"/>
    <s v="3.67-14.57"/>
    <n v="11.21"/>
    <n v="14.57"/>
    <n v="3.67"/>
    <n v="5.45"/>
    <n v="9.1199999999999992"/>
    <x v="2"/>
  </r>
  <r>
    <x v="10"/>
    <x v="32"/>
    <x v="1"/>
    <s v="1.50-13.20"/>
    <n v="9.15"/>
    <n v="13.2"/>
    <n v="1.5"/>
    <n v="5.85"/>
    <n v="7.35"/>
    <x v="2"/>
  </r>
  <r>
    <x v="10"/>
    <x v="33"/>
    <x v="1"/>
    <s v="5.21-20.11"/>
    <n v="15.58"/>
    <n v="20.11"/>
    <n v="5.21"/>
    <n v="7.45"/>
    <n v="12.66"/>
    <x v="3"/>
  </r>
  <r>
    <x v="10"/>
    <x v="34"/>
    <x v="1"/>
    <s v="2.93-15.35"/>
    <n v="11.5"/>
    <n v="15.35"/>
    <n v="2.93"/>
    <n v="6.21"/>
    <n v="9.14"/>
    <x v="3"/>
  </r>
  <r>
    <x v="10"/>
    <x v="35"/>
    <x v="1"/>
    <s v="4.42-17.64"/>
    <n v="14.46"/>
    <n v="17.64"/>
    <n v="4.42"/>
    <n v="6.61"/>
    <n v="11.03"/>
    <x v="4"/>
  </r>
  <r>
    <x v="10"/>
    <x v="36"/>
    <x v="1"/>
    <s v="3.32-13.84"/>
    <n v="11.28"/>
    <n v="13.84"/>
    <n v="3.32"/>
    <n v="5.26"/>
    <n v="8.58"/>
    <x v="4"/>
  </r>
  <r>
    <x v="10"/>
    <x v="127"/>
    <x v="1"/>
    <s v="1.62-13.42"/>
    <n v="9.85"/>
    <n v="13.42"/>
    <n v="1.62"/>
    <n v="5.9"/>
    <n v="7.52"/>
    <x v="4"/>
  </r>
  <r>
    <x v="10"/>
    <x v="37"/>
    <x v="1"/>
    <s v="2.87-16.81"/>
    <n v="12.62"/>
    <n v="16.809999999999999"/>
    <n v="2.87"/>
    <n v="6.97"/>
    <n v="9.84"/>
    <x v="5"/>
  </r>
  <r>
    <x v="10"/>
    <x v="38"/>
    <x v="1"/>
    <s v="3.57-12.17"/>
    <n v="10.52"/>
    <n v="12.17"/>
    <n v="3.57"/>
    <n v="4.3"/>
    <n v="7.87"/>
    <x v="5"/>
  </r>
  <r>
    <x v="10"/>
    <x v="123"/>
    <x v="1"/>
    <s v="1.85-12.81"/>
    <n v="9.5299999999999994"/>
    <n v="12.81"/>
    <n v="1.85"/>
    <n v="5.48"/>
    <n v="7.33"/>
    <x v="5"/>
  </r>
  <r>
    <x v="10"/>
    <x v="40"/>
    <x v="1"/>
    <s v="0.28-12.00"/>
    <n v="7.88"/>
    <n v="12"/>
    <n v="0.28000000000000003"/>
    <n v="5.86"/>
    <n v="6.14"/>
    <x v="6"/>
  </r>
  <r>
    <x v="10"/>
    <x v="97"/>
    <x v="1"/>
    <s v="1.36-9.52"/>
    <n v="8.0399999999999991"/>
    <n v="9.52"/>
    <n v="1.36"/>
    <n v="4.08"/>
    <n v="5.44"/>
    <x v="6"/>
  </r>
  <r>
    <x v="10"/>
    <x v="43"/>
    <x v="1"/>
    <s v="6.34-22.26"/>
    <n v="17.66"/>
    <n v="22.26"/>
    <n v="6.34"/>
    <n v="7.96"/>
    <n v="14.3"/>
    <x v="7"/>
  </r>
  <r>
    <x v="10"/>
    <x v="42"/>
    <x v="1"/>
    <s v="4.97-23.15"/>
    <n v="17.23"/>
    <n v="23.15"/>
    <n v="4.97"/>
    <n v="9.09"/>
    <n v="14.06"/>
    <x v="7"/>
  </r>
  <r>
    <x v="10"/>
    <x v="41"/>
    <x v="1"/>
    <s v="2.44-13.58"/>
    <n v="10.3"/>
    <n v="13.58"/>
    <n v="2.44"/>
    <n v="5.57"/>
    <n v="8.01"/>
    <x v="7"/>
  </r>
  <r>
    <x v="10"/>
    <x v="44"/>
    <x v="1"/>
    <s v="3.18-13.02"/>
    <n v="10.35"/>
    <n v="13.02"/>
    <n v="3.18"/>
    <n v="4.92"/>
    <n v="8.1"/>
    <x v="8"/>
  </r>
  <r>
    <x v="10"/>
    <x v="45"/>
    <x v="1"/>
    <s v="1.74-12.04"/>
    <n v="8.64"/>
    <n v="12.04"/>
    <n v="1.74"/>
    <n v="5.15"/>
    <n v="6.89"/>
    <x v="8"/>
  </r>
  <r>
    <x v="10"/>
    <x v="109"/>
    <x v="1"/>
    <s v="1.99-10.95"/>
    <n v="8.4"/>
    <n v="10.95"/>
    <n v="1.99"/>
    <n v="4.4800000000000004"/>
    <n v="6.47"/>
    <x v="8"/>
  </r>
  <r>
    <x v="10"/>
    <x v="47"/>
    <x v="1"/>
    <s v="3.92-18.32"/>
    <n v="13.45"/>
    <n v="18.32"/>
    <n v="3.92"/>
    <n v="7.2"/>
    <n v="11.12"/>
    <x v="9"/>
  </r>
  <r>
    <x v="10"/>
    <x v="98"/>
    <x v="1"/>
    <s v="2.54-13.34"/>
    <n v="10.34"/>
    <n v="13.34"/>
    <n v="2.54"/>
    <n v="5.4"/>
    <n v="7.94"/>
    <x v="9"/>
  </r>
  <r>
    <x v="10"/>
    <x v="48"/>
    <x v="1"/>
    <s v="1.84-13.46"/>
    <n v="9.4600000000000009"/>
    <n v="13.46"/>
    <n v="1.84"/>
    <n v="5.81"/>
    <n v="7.65"/>
    <x v="9"/>
  </r>
  <r>
    <x v="10"/>
    <x v="49"/>
    <x v="2"/>
    <s v="10.29-23.23"/>
    <n v="17.66"/>
    <n v="23.23"/>
    <n v="10.29"/>
    <n v="6.47"/>
    <n v="16.760000000000002"/>
    <x v="0"/>
  </r>
  <r>
    <x v="10"/>
    <x v="50"/>
    <x v="2"/>
    <s v="8.22-23.24"/>
    <n v="16.760000000000002"/>
    <n v="23.24"/>
    <n v="8.2200000000000006"/>
    <n v="7.51"/>
    <n v="15.73"/>
    <x v="1"/>
  </r>
  <r>
    <x v="10"/>
    <x v="99"/>
    <x v="2"/>
    <s v="11.11-24.69"/>
    <n v="18.47"/>
    <n v="24.69"/>
    <n v="11.11"/>
    <n v="6.79"/>
    <n v="17.899999999999999"/>
    <x v="2"/>
  </r>
  <r>
    <x v="10"/>
    <x v="52"/>
    <x v="2"/>
    <s v="9.26-23.64"/>
    <n v="17.54"/>
    <n v="23.64"/>
    <n v="9.26"/>
    <n v="7.19"/>
    <n v="16.45"/>
    <x v="3"/>
  </r>
  <r>
    <x v="10"/>
    <x v="100"/>
    <x v="2"/>
    <s v="13.06-25.04"/>
    <n v="19.62"/>
    <n v="25.04"/>
    <n v="13.06"/>
    <n v="5.99"/>
    <n v="19.05"/>
    <x v="4"/>
  </r>
  <r>
    <x v="10"/>
    <x v="54"/>
    <x v="2"/>
    <s v="11.67-26.45"/>
    <n v="19.79"/>
    <n v="26.45"/>
    <n v="11.67"/>
    <n v="7.39"/>
    <n v="19.059999999999999"/>
    <x v="5"/>
  </r>
  <r>
    <x v="10"/>
    <x v="55"/>
    <x v="2"/>
    <s v="12.94-27.88"/>
    <n v="21.42"/>
    <n v="27.88"/>
    <n v="12.94"/>
    <n v="7.47"/>
    <n v="20.41"/>
    <x v="6"/>
  </r>
  <r>
    <x v="10"/>
    <x v="56"/>
    <x v="2"/>
    <s v="14.58-33.92"/>
    <n v="24.82"/>
    <n v="33.92"/>
    <n v="14.58"/>
    <n v="9.67"/>
    <n v="24.25"/>
    <x v="7"/>
  </r>
  <r>
    <x v="10"/>
    <x v="153"/>
    <x v="2"/>
    <s v="8.94-23.64"/>
    <n v="16.940000000000001"/>
    <n v="23.64"/>
    <n v="8.94"/>
    <n v="7.35"/>
    <n v="16.29"/>
    <x v="8"/>
  </r>
  <r>
    <x v="10"/>
    <x v="58"/>
    <x v="2"/>
    <s v="11.19-30.09"/>
    <n v="21.16"/>
    <n v="30.09"/>
    <n v="11.19"/>
    <n v="9.4499999999999993"/>
    <n v="20.64"/>
    <x v="9"/>
  </r>
  <r>
    <x v="10"/>
    <x v="137"/>
    <x v="3"/>
    <s v="-0.11-9.25"/>
    <n v="6.04"/>
    <n v="9.25"/>
    <n v="-0.11"/>
    <n v="4.68"/>
    <n v="4.57"/>
    <x v="0"/>
  </r>
  <r>
    <x v="10"/>
    <x v="60"/>
    <x v="3"/>
    <s v="2.41-12.93"/>
    <n v="10.19"/>
    <n v="12.93"/>
    <n v="2.41"/>
    <n v="5.26"/>
    <n v="7.67"/>
    <x v="1"/>
  </r>
  <r>
    <x v="10"/>
    <x v="61"/>
    <x v="3"/>
    <s v="0.58-8.72"/>
    <n v="6.13"/>
    <n v="8.7200000000000006"/>
    <n v="0.57999999999999996"/>
    <n v="4.07"/>
    <n v="4.6500000000000004"/>
    <x v="2"/>
  </r>
  <r>
    <x v="10"/>
    <x v="62"/>
    <x v="3"/>
    <s v="2.80-15.14"/>
    <n v="11.73"/>
    <n v="15.14"/>
    <n v="2.8"/>
    <n v="6.17"/>
    <n v="8.9700000000000006"/>
    <x v="3"/>
  </r>
  <r>
    <x v="10"/>
    <x v="137"/>
    <x v="3"/>
    <s v="-0.11-9.25"/>
    <n v="6.04"/>
    <n v="9.25"/>
    <n v="-0.11"/>
    <n v="4.68"/>
    <n v="4.57"/>
    <x v="4"/>
  </r>
  <r>
    <x v="10"/>
    <x v="64"/>
    <x v="3"/>
    <s v="2.21-11.65"/>
    <n v="9.01"/>
    <n v="11.65"/>
    <n v="2.21"/>
    <n v="4.72"/>
    <n v="6.93"/>
    <x v="5"/>
  </r>
  <r>
    <x v="10"/>
    <x v="154"/>
    <x v="3"/>
    <s v="-0.11-9.25"/>
    <n v="6.04"/>
    <n v="9.25"/>
    <n v="-0.11"/>
    <n v="4.68"/>
    <n v="4.57"/>
    <x v="6"/>
  </r>
  <r>
    <x v="10"/>
    <x v="67"/>
    <x v="3"/>
    <s v="1.51-11.93"/>
    <n v="8.86"/>
    <n v="11.93"/>
    <n v="1.51"/>
    <n v="5.21"/>
    <n v="6.72"/>
    <x v="7"/>
  </r>
  <r>
    <x v="10"/>
    <x v="68"/>
    <x v="3"/>
    <s v="3.21-13.51"/>
    <n v="10.74"/>
    <n v="13.51"/>
    <n v="3.21"/>
    <n v="5.15"/>
    <n v="8.36"/>
    <x v="8"/>
  </r>
  <r>
    <x v="10"/>
    <x v="69"/>
    <x v="3"/>
    <s v="0.45-12.83"/>
    <n v="8.94"/>
    <n v="12.83"/>
    <n v="0.45"/>
    <n v="6.19"/>
    <n v="6.64"/>
    <x v="9"/>
  </r>
  <r>
    <x v="10"/>
    <x v="70"/>
    <x v="4"/>
    <s v="5.63-18.85"/>
    <n v="11.6539"/>
    <n v="18.850000000000001"/>
    <n v="5.63"/>
    <n v="6.61"/>
    <n v="11.6539"/>
    <x v="0"/>
  </r>
  <r>
    <x v="10"/>
    <x v="71"/>
    <x v="4"/>
    <s v="1.28-13.18"/>
    <n v="6.2615999999999996"/>
    <n v="13.18"/>
    <n v="1.28"/>
    <n v="5.95"/>
    <n v="6.2615999999999996"/>
    <x v="1"/>
  </r>
  <r>
    <x v="10"/>
    <x v="72"/>
    <x v="4"/>
    <s v="0.29-9.31"/>
    <n v="4.3273000000000001"/>
    <n v="9.31"/>
    <n v="0.28999999999999998"/>
    <n v="4.51"/>
    <n v="4.3273000000000001"/>
    <x v="2"/>
  </r>
  <r>
    <x v="10"/>
    <x v="73"/>
    <x v="4"/>
    <s v="3.44-14.06"/>
    <n v="7.9329999999999998"/>
    <n v="14.06"/>
    <n v="3.44"/>
    <n v="5.31"/>
    <n v="7.9329999999999998"/>
    <x v="3"/>
  </r>
  <r>
    <x v="10"/>
    <x v="74"/>
    <x v="4"/>
    <s v="1.97-13.27"/>
    <n v="7.2332999999999998"/>
    <n v="13.27"/>
    <n v="1.97"/>
    <n v="5.65"/>
    <n v="7.2332999999999998"/>
    <x v="4"/>
  </r>
  <r>
    <x v="10"/>
    <x v="104"/>
    <x v="4"/>
    <s v="4.91-16.59"/>
    <n v="10.495699999999999"/>
    <n v="16.59"/>
    <n v="4.91"/>
    <n v="5.84"/>
    <n v="10.495699999999999"/>
    <x v="5"/>
  </r>
  <r>
    <x v="10"/>
    <x v="113"/>
    <x v="4"/>
    <s v="1.56-12.24"/>
    <n v="6.6635999999999997"/>
    <n v="12.24"/>
    <n v="1.56"/>
    <n v="5.34"/>
    <n v="6.6635999999999997"/>
    <x v="6"/>
  </r>
  <r>
    <x v="10"/>
    <x v="77"/>
    <x v="4"/>
    <s v="0.76-10.28"/>
    <n v="4.7811000000000003"/>
    <n v="10.28"/>
    <n v="0.76"/>
    <n v="4.76"/>
    <n v="4.7811000000000003"/>
    <x v="7"/>
  </r>
  <r>
    <x v="10"/>
    <x v="78"/>
    <x v="4"/>
    <s v="1.24-11.60"/>
    <n v="6.1805000000000003"/>
    <n v="11.6"/>
    <n v="1.24"/>
    <n v="5.18"/>
    <n v="6.1805000000000003"/>
    <x v="8"/>
  </r>
  <r>
    <x v="10"/>
    <x v="79"/>
    <x v="4"/>
    <s v="2.66-14.68"/>
    <n v="8.5546000000000006"/>
    <n v="14.68"/>
    <n v="2.66"/>
    <n v="6.01"/>
    <n v="8.5546000000000006"/>
    <x v="9"/>
  </r>
  <r>
    <x v="10"/>
    <x v="80"/>
    <x v="5"/>
    <s v="2.61-14.39"/>
    <n v="8.51"/>
    <n v="14.39"/>
    <n v="2.61"/>
    <n v="5.89"/>
    <n v="8.5"/>
    <x v="0"/>
  </r>
  <r>
    <x v="10"/>
    <x v="81"/>
    <x v="5"/>
    <s v="4.01-12.23"/>
    <n v="8.1"/>
    <n v="12.23"/>
    <n v="4.01"/>
    <n v="4.1100000000000003"/>
    <n v="8.1199999999999992"/>
    <x v="1"/>
  </r>
  <r>
    <x v="10"/>
    <x v="82"/>
    <x v="5"/>
    <s v="5.64-12.68"/>
    <n v="9.19"/>
    <n v="12.68"/>
    <n v="5.64"/>
    <n v="3.52"/>
    <n v="9.16"/>
    <x v="2"/>
  </r>
  <r>
    <x v="10"/>
    <x v="83"/>
    <x v="5"/>
    <s v="4.31-12.19"/>
    <n v="8.31"/>
    <n v="12.19"/>
    <n v="4.3099999999999996"/>
    <n v="3.94"/>
    <n v="8.25"/>
    <x v="3"/>
  </r>
  <r>
    <x v="10"/>
    <x v="84"/>
    <x v="5"/>
    <s v="4.22-13.54"/>
    <n v="8.86"/>
    <n v="13.54"/>
    <n v="4.22"/>
    <n v="4.66"/>
    <n v="8.8800000000000008"/>
    <x v="4"/>
  </r>
  <r>
    <x v="10"/>
    <x v="85"/>
    <x v="5"/>
    <s v="4.27-15.55"/>
    <n v="9.9600000000000009"/>
    <n v="15.55"/>
    <n v="4.2699999999999996"/>
    <n v="5.64"/>
    <n v="9.91"/>
    <x v="5"/>
  </r>
  <r>
    <x v="10"/>
    <x v="155"/>
    <x v="5"/>
    <s v="3.73-12.35"/>
    <n v="8.07"/>
    <n v="12.35"/>
    <n v="3.73"/>
    <n v="4.3099999999999996"/>
    <n v="8.0399999999999991"/>
    <x v="6"/>
  </r>
  <r>
    <x v="10"/>
    <x v="87"/>
    <x v="5"/>
    <s v="4.68-12.10"/>
    <n v="8.35"/>
    <n v="12.1"/>
    <n v="4.68"/>
    <n v="3.71"/>
    <n v="8.39"/>
    <x v="7"/>
  </r>
  <r>
    <x v="10"/>
    <x v="145"/>
    <x v="5"/>
    <s v="4.01-12.23"/>
    <n v="8.1"/>
    <n v="12.23"/>
    <n v="4.01"/>
    <n v="4.1100000000000003"/>
    <n v="8.1199999999999992"/>
    <x v="8"/>
  </r>
  <r>
    <x v="10"/>
    <x v="89"/>
    <x v="5"/>
    <s v="3.15-10.97"/>
    <n v="7.1"/>
    <n v="10.97"/>
    <n v="3.15"/>
    <n v="3.91"/>
    <n v="7.06"/>
    <x v="9"/>
  </r>
  <r>
    <x v="11"/>
    <x v="1"/>
    <x v="0"/>
    <s v="7.50-21.26"/>
    <n v="15.53"/>
    <n v="21.26"/>
    <n v="7.5"/>
    <n v="6.88"/>
    <n v="14.38"/>
    <x v="0"/>
  </r>
  <r>
    <x v="11"/>
    <x v="2"/>
    <x v="0"/>
    <s v="3.78-14.74"/>
    <n v="10.28"/>
    <n v="14.74"/>
    <n v="3.78"/>
    <n v="5.48"/>
    <n v="9.26"/>
    <x v="0"/>
  </r>
  <r>
    <x v="11"/>
    <x v="4"/>
    <x v="0"/>
    <s v="8.76-21.16"/>
    <n v="16.41"/>
    <n v="21.16"/>
    <n v="8.76"/>
    <n v="6.2"/>
    <n v="14.96"/>
    <x v="1"/>
  </r>
  <r>
    <x v="11"/>
    <x v="3"/>
    <x v="0"/>
    <s v="5.09-21.77"/>
    <n v="16.07"/>
    <n v="21.77"/>
    <n v="5.09"/>
    <n v="8.34"/>
    <n v="13.43"/>
    <x v="1"/>
  </r>
  <r>
    <x v="11"/>
    <x v="5"/>
    <x v="0"/>
    <s v="3.60-21.62"/>
    <n v="14"/>
    <n v="21.62"/>
    <n v="3.6"/>
    <n v="9.01"/>
    <n v="12.61"/>
    <x v="1"/>
  </r>
  <r>
    <x v="11"/>
    <x v="7"/>
    <x v="0"/>
    <s v="5.92-21.88"/>
    <n v="15.2"/>
    <n v="21.88"/>
    <n v="5.92"/>
    <n v="7.98"/>
    <n v="13.9"/>
    <x v="2"/>
  </r>
  <r>
    <x v="11"/>
    <x v="6"/>
    <x v="0"/>
    <s v="7.00-20.72"/>
    <n v="15.71"/>
    <n v="20.72"/>
    <n v="7"/>
    <n v="6.86"/>
    <n v="13.86"/>
    <x v="2"/>
  </r>
  <r>
    <x v="11"/>
    <x v="139"/>
    <x v="0"/>
    <s v="3.05-10.95"/>
    <n v="7.86"/>
    <n v="10.95"/>
    <n v="3.05"/>
    <n v="3.95"/>
    <n v="7"/>
    <x v="2"/>
  </r>
  <r>
    <x v="11"/>
    <x v="8"/>
    <x v="0"/>
    <s v="4.04-18.60"/>
    <n v="13.29"/>
    <n v="18.600000000000001"/>
    <n v="4.04"/>
    <n v="7.28"/>
    <n v="11.32"/>
    <x v="3"/>
  </r>
  <r>
    <x v="11"/>
    <x v="9"/>
    <x v="0"/>
    <s v="3.00-15.06"/>
    <n v="10.54"/>
    <n v="15.06"/>
    <n v="3"/>
    <n v="6.03"/>
    <n v="9.0299999999999994"/>
    <x v="3"/>
  </r>
  <r>
    <x v="11"/>
    <x v="11"/>
    <x v="0"/>
    <s v="7.80-26.44"/>
    <n v="18.23"/>
    <n v="26.44"/>
    <n v="7.8"/>
    <n v="9.32"/>
    <n v="17.12"/>
    <x v="4"/>
  </r>
  <r>
    <x v="11"/>
    <x v="12"/>
    <x v="0"/>
    <s v="7.02-18.10"/>
    <n v="15.21"/>
    <n v="18.100000000000001"/>
    <n v="7.02"/>
    <n v="5.54"/>
    <n v="12.56"/>
    <x v="4"/>
  </r>
  <r>
    <x v="11"/>
    <x v="15"/>
    <x v="0"/>
    <s v="6.54-24.92"/>
    <n v="18.11"/>
    <n v="24.92"/>
    <n v="6.54"/>
    <n v="9.19"/>
    <n v="15.73"/>
    <x v="5"/>
  </r>
  <r>
    <x v="11"/>
    <x v="14"/>
    <x v="0"/>
    <s v="1.49-12.21"/>
    <n v="8.17"/>
    <n v="12.21"/>
    <n v="1.49"/>
    <n v="5.36"/>
    <n v="6.85"/>
    <x v="5"/>
  </r>
  <r>
    <x v="11"/>
    <x v="121"/>
    <x v="0"/>
    <s v="4.65-21.95"/>
    <n v="14.69"/>
    <n v="21.95"/>
    <n v="4.6500000000000004"/>
    <n v="8.65"/>
    <n v="13.3"/>
    <x v="6"/>
  </r>
  <r>
    <x v="11"/>
    <x v="17"/>
    <x v="0"/>
    <s v="3.57-14.37"/>
    <n v="9.3800000000000008"/>
    <n v="14.37"/>
    <n v="3.57"/>
    <n v="5.4"/>
    <n v="8.9700000000000006"/>
    <x v="6"/>
  </r>
  <r>
    <x v="11"/>
    <x v="91"/>
    <x v="0"/>
    <s v="1.58-13.88"/>
    <n v="8.49"/>
    <n v="13.88"/>
    <n v="1.58"/>
    <n v="6.15"/>
    <n v="7.73"/>
    <x v="6"/>
  </r>
  <r>
    <x v="11"/>
    <x v="19"/>
    <x v="0"/>
    <s v="4.22-18.06"/>
    <n v="12.35"/>
    <n v="18.059999999999999"/>
    <n v="4.22"/>
    <n v="6.92"/>
    <n v="11.14"/>
    <x v="7"/>
  </r>
  <r>
    <x v="11"/>
    <x v="20"/>
    <x v="0"/>
    <s v="4.60-15.04"/>
    <n v="11.2"/>
    <n v="15.04"/>
    <n v="4.5999999999999996"/>
    <n v="5.22"/>
    <n v="9.82"/>
    <x v="7"/>
  </r>
  <r>
    <x v="11"/>
    <x v="21"/>
    <x v="0"/>
    <s v="5.38-21.54"/>
    <n v="15.97"/>
    <n v="21.54"/>
    <n v="5.38"/>
    <n v="8.08"/>
    <n v="13.46"/>
    <x v="8"/>
  </r>
  <r>
    <x v="11"/>
    <x v="92"/>
    <x v="0"/>
    <s v="2.74-11.86"/>
    <n v="8.5299999999999994"/>
    <n v="11.86"/>
    <n v="2.74"/>
    <n v="4.5599999999999996"/>
    <n v="7.3"/>
    <x v="8"/>
  </r>
  <r>
    <x v="11"/>
    <x v="105"/>
    <x v="0"/>
    <s v="3.66-20.20"/>
    <n v="13.04"/>
    <n v="20.2"/>
    <n v="3.66"/>
    <n v="8.27"/>
    <n v="11.93"/>
    <x v="9"/>
  </r>
  <r>
    <x v="11"/>
    <x v="25"/>
    <x v="0"/>
    <s v="3.07-17.69"/>
    <n v="12.13"/>
    <n v="17.690000000000001"/>
    <n v="3.07"/>
    <n v="7.31"/>
    <n v="10.38"/>
    <x v="9"/>
  </r>
  <r>
    <x v="11"/>
    <x v="116"/>
    <x v="0"/>
    <s v="4.62-11.84"/>
    <n v="8.8000000000000007"/>
    <n v="11.84"/>
    <n v="4.62"/>
    <n v="3.61"/>
    <n v="8.23"/>
    <x v="9"/>
  </r>
  <r>
    <x v="11"/>
    <x v="26"/>
    <x v="1"/>
    <s v="5.38-19.84"/>
    <n v="15.74"/>
    <n v="19.84"/>
    <n v="5.38"/>
    <n v="7.23"/>
    <n v="12.61"/>
    <x v="0"/>
  </r>
  <r>
    <x v="11"/>
    <x v="27"/>
    <x v="1"/>
    <s v="4.55-17.25"/>
    <n v="13.68"/>
    <n v="17.25"/>
    <n v="4.55"/>
    <n v="6.35"/>
    <n v="10.9"/>
    <x v="0"/>
  </r>
  <r>
    <x v="11"/>
    <x v="133"/>
    <x v="1"/>
    <s v="2.73-14.31"/>
    <n v="10.48"/>
    <n v="14.31"/>
    <n v="2.73"/>
    <n v="5.79"/>
    <n v="8.52"/>
    <x v="0"/>
  </r>
  <r>
    <x v="11"/>
    <x v="28"/>
    <x v="1"/>
    <s v="5.51-17.35"/>
    <n v="14.35"/>
    <n v="17.350000000000001"/>
    <n v="5.51"/>
    <n v="5.92"/>
    <n v="11.43"/>
    <x v="1"/>
  </r>
  <r>
    <x v="11"/>
    <x v="29"/>
    <x v="1"/>
    <s v="1.77-15.81"/>
    <n v="11.81"/>
    <n v="15.81"/>
    <n v="1.77"/>
    <n v="7.02"/>
    <n v="8.7899999999999991"/>
    <x v="1"/>
  </r>
  <r>
    <x v="11"/>
    <x v="30"/>
    <x v="1"/>
    <s v="4.21-15.53"/>
    <n v="12.62"/>
    <n v="15.53"/>
    <n v="4.21"/>
    <n v="5.66"/>
    <n v="9.8699999999999992"/>
    <x v="2"/>
  </r>
  <r>
    <x v="11"/>
    <x v="94"/>
    <x v="1"/>
    <s v="0.87-16.45"/>
    <n v="10.89"/>
    <n v="16.45"/>
    <n v="0.87"/>
    <n v="7.79"/>
    <n v="8.66"/>
    <x v="2"/>
  </r>
  <r>
    <x v="11"/>
    <x v="33"/>
    <x v="1"/>
    <s v="5.75-19.89"/>
    <n v="15.76"/>
    <n v="19.89"/>
    <n v="5.75"/>
    <n v="7.07"/>
    <n v="12.82"/>
    <x v="3"/>
  </r>
  <r>
    <x v="11"/>
    <x v="34"/>
    <x v="1"/>
    <s v="5.15-20.47"/>
    <n v="15.59"/>
    <n v="20.47"/>
    <n v="5.15"/>
    <n v="7.66"/>
    <n v="12.81"/>
    <x v="3"/>
  </r>
  <r>
    <x v="11"/>
    <x v="156"/>
    <x v="1"/>
    <s v="1.06-17.54"/>
    <n v="11.25"/>
    <n v="17.54"/>
    <n v="1.06"/>
    <n v="8.24"/>
    <n v="9.3000000000000007"/>
    <x v="3"/>
  </r>
  <r>
    <x v="11"/>
    <x v="35"/>
    <x v="1"/>
    <s v="5.40-18.40"/>
    <n v="15.16"/>
    <n v="18.399999999999999"/>
    <n v="5.4"/>
    <n v="6.5"/>
    <n v="11.9"/>
    <x v="4"/>
  </r>
  <r>
    <x v="11"/>
    <x v="36"/>
    <x v="1"/>
    <s v="2.84-17.94"/>
    <n v="13.03"/>
    <n v="17.940000000000001"/>
    <n v="2.84"/>
    <n v="7.55"/>
    <n v="10.39"/>
    <x v="4"/>
  </r>
  <r>
    <x v="11"/>
    <x v="95"/>
    <x v="1"/>
    <s v="3.76-14.48"/>
    <n v="11.08"/>
    <n v="14.48"/>
    <n v="3.76"/>
    <n v="5.36"/>
    <n v="9.1199999999999992"/>
    <x v="4"/>
  </r>
  <r>
    <x v="11"/>
    <x v="37"/>
    <x v="1"/>
    <s v="4.58-18.92"/>
    <n v="14.67"/>
    <n v="18.920000000000002"/>
    <n v="4.58"/>
    <n v="7.17"/>
    <n v="11.75"/>
    <x v="5"/>
  </r>
  <r>
    <x v="11"/>
    <x v="38"/>
    <x v="1"/>
    <s v="4.35-13.23"/>
    <n v="11.49"/>
    <n v="13.23"/>
    <n v="4.3499999999999996"/>
    <n v="4.4400000000000004"/>
    <n v="8.7899999999999991"/>
    <x v="5"/>
  </r>
  <r>
    <x v="11"/>
    <x v="96"/>
    <x v="1"/>
    <s v="1.75-14.41"/>
    <n v="10.63"/>
    <n v="14.41"/>
    <n v="1.75"/>
    <n v="6.33"/>
    <n v="8.08"/>
    <x v="5"/>
  </r>
  <r>
    <x v="11"/>
    <x v="39"/>
    <x v="1"/>
    <s v="2.29-13.75"/>
    <n v="11.1"/>
    <n v="13.75"/>
    <n v="2.29"/>
    <n v="5.73"/>
    <n v="8.02"/>
    <x v="6"/>
  </r>
  <r>
    <x v="11"/>
    <x v="40"/>
    <x v="1"/>
    <s v="-0.58-16.04"/>
    <n v="9.39"/>
    <n v="16.04"/>
    <n v="-0.57999999999999996"/>
    <n v="8.31"/>
    <n v="7.73"/>
    <x v="6"/>
  </r>
  <r>
    <x v="11"/>
    <x v="42"/>
    <x v="1"/>
    <s v="4.28-22.14"/>
    <n v="16.38"/>
    <n v="22.14"/>
    <n v="4.28"/>
    <n v="8.93"/>
    <n v="13.21"/>
    <x v="7"/>
  </r>
  <r>
    <x v="11"/>
    <x v="41"/>
    <x v="1"/>
    <s v="4.19-18.21"/>
    <n v="13.72"/>
    <n v="18.21"/>
    <n v="4.1900000000000004"/>
    <n v="7.01"/>
    <n v="11.2"/>
    <x v="7"/>
  </r>
  <r>
    <x v="11"/>
    <x v="43"/>
    <x v="1"/>
    <s v="2.89-15.23"/>
    <n v="12.03"/>
    <n v="15.23"/>
    <n v="2.89"/>
    <n v="6.17"/>
    <n v="9.06"/>
    <x v="7"/>
  </r>
  <r>
    <x v="11"/>
    <x v="46"/>
    <x v="1"/>
    <s v="1.67-14.69"/>
    <n v="10.24"/>
    <n v="14.69"/>
    <n v="1.67"/>
    <n v="6.51"/>
    <n v="8.18"/>
    <x v="8"/>
  </r>
  <r>
    <x v="11"/>
    <x v="44"/>
    <x v="1"/>
    <s v="2.37-13.69"/>
    <n v="10.26"/>
    <n v="13.69"/>
    <n v="2.37"/>
    <n v="5.66"/>
    <n v="8.0299999999999994"/>
    <x v="8"/>
  </r>
  <r>
    <x v="11"/>
    <x v="157"/>
    <x v="1"/>
    <s v="1.44-11.74"/>
    <n v="8.35"/>
    <n v="11.74"/>
    <n v="1.44"/>
    <n v="5.15"/>
    <n v="6.59"/>
    <x v="8"/>
  </r>
  <r>
    <x v="11"/>
    <x v="47"/>
    <x v="1"/>
    <s v="3.63-16.55"/>
    <n v="12.3"/>
    <n v="16.55"/>
    <n v="3.63"/>
    <n v="6.46"/>
    <n v="10.09"/>
    <x v="9"/>
  </r>
  <r>
    <x v="11"/>
    <x v="158"/>
    <x v="1"/>
    <s v="2.90-14.12"/>
    <n v="10.37"/>
    <n v="14.12"/>
    <n v="2.9"/>
    <n v="5.61"/>
    <n v="8.51"/>
    <x v="9"/>
  </r>
  <r>
    <x v="11"/>
    <x v="49"/>
    <x v="2"/>
    <s v="13.51-26.83"/>
    <n v="21.01"/>
    <n v="26.83"/>
    <n v="13.51"/>
    <n v="6.66"/>
    <n v="20.170000000000002"/>
    <x v="0"/>
  </r>
  <r>
    <x v="11"/>
    <x v="50"/>
    <x v="2"/>
    <s v="8.32-22.96"/>
    <n v="16.489999999999998"/>
    <n v="22.96"/>
    <n v="8.32"/>
    <n v="7.32"/>
    <n v="15.64"/>
    <x v="1"/>
  </r>
  <r>
    <x v="11"/>
    <x v="51"/>
    <x v="2"/>
    <s v="11.96-24.30"/>
    <n v="19.079999999999998"/>
    <n v="24.3"/>
    <n v="11.96"/>
    <n v="6.17"/>
    <n v="18.13"/>
    <x v="2"/>
  </r>
  <r>
    <x v="11"/>
    <x v="52"/>
    <x v="2"/>
    <s v="13.17-25.77"/>
    <n v="20.13"/>
    <n v="25.77"/>
    <n v="13.17"/>
    <n v="6.3"/>
    <n v="19.47"/>
    <x v="3"/>
  </r>
  <r>
    <x v="11"/>
    <x v="100"/>
    <x v="2"/>
    <s v="10.79-22.59"/>
    <n v="17.38"/>
    <n v="22.59"/>
    <n v="10.79"/>
    <n v="5.9"/>
    <n v="16.690000000000001"/>
    <x v="4"/>
  </r>
  <r>
    <x v="11"/>
    <x v="117"/>
    <x v="2"/>
    <s v="10.95-27.53"/>
    <n v="19.8"/>
    <n v="27.53"/>
    <n v="10.95"/>
    <n v="8.2899999999999991"/>
    <n v="19.239999999999998"/>
    <x v="5"/>
  </r>
  <r>
    <x v="11"/>
    <x v="55"/>
    <x v="2"/>
    <s v="14.52-29.64"/>
    <n v="22.88"/>
    <n v="29.64"/>
    <n v="14.52"/>
    <n v="7.56"/>
    <n v="22.08"/>
    <x v="6"/>
  </r>
  <r>
    <x v="11"/>
    <x v="56"/>
    <x v="2"/>
    <s v="11.56-26.70"/>
    <n v="19.850000000000001"/>
    <n v="26.7"/>
    <n v="11.56"/>
    <n v="7.57"/>
    <n v="19.13"/>
    <x v="7"/>
  </r>
  <r>
    <x v="11"/>
    <x v="57"/>
    <x v="2"/>
    <s v="14.08-29.82"/>
    <n v="22.43"/>
    <n v="29.82"/>
    <n v="14.08"/>
    <n v="7.87"/>
    <n v="21.95"/>
    <x v="8"/>
  </r>
  <r>
    <x v="11"/>
    <x v="58"/>
    <x v="2"/>
    <s v="11.33-29.25"/>
    <n v="20.79"/>
    <n v="29.25"/>
    <n v="11.33"/>
    <n v="8.9600000000000009"/>
    <n v="20.29"/>
    <x v="9"/>
  </r>
  <r>
    <x v="11"/>
    <x v="102"/>
    <x v="3"/>
    <s v="0.50-10.08"/>
    <n v="7.02"/>
    <n v="10.08"/>
    <n v="0.5"/>
    <n v="4.79"/>
    <n v="5.29"/>
    <x v="0"/>
  </r>
  <r>
    <x v="11"/>
    <x v="60"/>
    <x v="3"/>
    <s v="1.59-13.75"/>
    <n v="10.050000000000001"/>
    <n v="13.75"/>
    <n v="1.59"/>
    <n v="6.08"/>
    <n v="7.67"/>
    <x v="1"/>
  </r>
  <r>
    <x v="11"/>
    <x v="61"/>
    <x v="3"/>
    <s v="0.12-7.96"/>
    <n v="5.44"/>
    <n v="7.96"/>
    <n v="0.12"/>
    <n v="3.92"/>
    <n v="4.04"/>
    <x v="2"/>
  </r>
  <r>
    <x v="11"/>
    <x v="159"/>
    <x v="3"/>
    <s v="-0.03-8.69"/>
    <n v="5.8"/>
    <n v="8.69"/>
    <n v="-0.03"/>
    <n v="4.3600000000000003"/>
    <n v="4.33"/>
    <x v="3"/>
  </r>
  <r>
    <x v="11"/>
    <x v="159"/>
    <x v="3"/>
    <s v="-0.03-8.69"/>
    <n v="5.8"/>
    <n v="8.69"/>
    <n v="-0.03"/>
    <n v="4.3600000000000003"/>
    <n v="4.33"/>
    <x v="4"/>
  </r>
  <r>
    <x v="11"/>
    <x v="65"/>
    <x v="3"/>
    <s v="0.50-12.70"/>
    <n v="8.41"/>
    <n v="12.7"/>
    <n v="0.5"/>
    <n v="6.1"/>
    <n v="6.6"/>
    <x v="5"/>
  </r>
  <r>
    <x v="11"/>
    <x v="66"/>
    <x v="3"/>
    <s v="4.50-18.18"/>
    <n v="13.6"/>
    <n v="18.18"/>
    <n v="4.5"/>
    <n v="6.84"/>
    <n v="11.34"/>
    <x v="6"/>
  </r>
  <r>
    <x v="11"/>
    <x v="118"/>
    <x v="3"/>
    <s v="2.44-10.74"/>
    <n v="8.91"/>
    <n v="10.74"/>
    <n v="2.44"/>
    <n v="4.1500000000000004"/>
    <n v="6.59"/>
    <x v="7"/>
  </r>
  <r>
    <x v="11"/>
    <x v="68"/>
    <x v="3"/>
    <s v="3.15-12.25"/>
    <n v="10"/>
    <n v="12.25"/>
    <n v="3.15"/>
    <n v="4.55"/>
    <n v="7.7"/>
    <x v="8"/>
  </r>
  <r>
    <x v="11"/>
    <x v="69"/>
    <x v="3"/>
    <s v="-0.30-12.24"/>
    <n v="8.01"/>
    <n v="12.24"/>
    <n v="-0.3"/>
    <n v="6.27"/>
    <n v="5.97"/>
    <x v="9"/>
  </r>
  <r>
    <x v="11"/>
    <x v="70"/>
    <x v="4"/>
    <s v="2.99-16.13"/>
    <n v="9.4217999999999993"/>
    <n v="16.13"/>
    <n v="2.99"/>
    <n v="6.57"/>
    <n v="9.4217999999999993"/>
    <x v="0"/>
  </r>
  <r>
    <x v="11"/>
    <x v="71"/>
    <x v="4"/>
    <s v="2.21-14.71"/>
    <n v="8.3432999999999993"/>
    <n v="14.71"/>
    <n v="2.21"/>
    <n v="6.25"/>
    <n v="8.3432999999999993"/>
    <x v="1"/>
  </r>
  <r>
    <x v="11"/>
    <x v="112"/>
    <x v="4"/>
    <s v="1.88-13.74"/>
    <n v="7.5682999999999998"/>
    <n v="13.74"/>
    <n v="1.88"/>
    <n v="5.93"/>
    <n v="7.5682999999999998"/>
    <x v="2"/>
  </r>
  <r>
    <x v="11"/>
    <x v="73"/>
    <x v="4"/>
    <s v="3.50-15.30"/>
    <n v="8.8019999999999996"/>
    <n v="15.3"/>
    <n v="3.5"/>
    <n v="5.9"/>
    <n v="8.8019999999999996"/>
    <x v="3"/>
  </r>
  <r>
    <x v="11"/>
    <x v="74"/>
    <x v="4"/>
    <s v="2.54-12.48"/>
    <n v="7.1096000000000004"/>
    <n v="12.48"/>
    <n v="2.54"/>
    <n v="4.97"/>
    <n v="7.1096000000000004"/>
    <x v="4"/>
  </r>
  <r>
    <x v="11"/>
    <x v="104"/>
    <x v="4"/>
    <s v="6.35-17.89"/>
    <n v="11.765499999999999"/>
    <n v="17.89"/>
    <n v="6.35"/>
    <n v="5.77"/>
    <n v="11.765499999999999"/>
    <x v="5"/>
  </r>
  <r>
    <x v="11"/>
    <x v="113"/>
    <x v="4"/>
    <s v="2.19-12.69"/>
    <n v="7.2043999999999997"/>
    <n v="12.69"/>
    <n v="2.19"/>
    <n v="5.25"/>
    <n v="7.2043999999999997"/>
    <x v="6"/>
  </r>
  <r>
    <x v="11"/>
    <x v="77"/>
    <x v="4"/>
    <s v="5.36-19.70"/>
    <n v="12.0442"/>
    <n v="19.7"/>
    <n v="5.36"/>
    <n v="7.17"/>
    <n v="12.0442"/>
    <x v="7"/>
  </r>
  <r>
    <x v="11"/>
    <x v="78"/>
    <x v="4"/>
    <s v="0.48-11.76"/>
    <n v="5.7621000000000002"/>
    <n v="11.76"/>
    <n v="0.48"/>
    <n v="5.64"/>
    <n v="5.7621000000000002"/>
    <x v="8"/>
  </r>
  <r>
    <x v="11"/>
    <x v="79"/>
    <x v="4"/>
    <s v="4.27-16.97"/>
    <n v="10.2554"/>
    <n v="16.97"/>
    <n v="4.2699999999999996"/>
    <n v="6.35"/>
    <n v="10.2554"/>
    <x v="9"/>
  </r>
  <r>
    <x v="11"/>
    <x v="80"/>
    <x v="5"/>
    <s v="4.24-12.74"/>
    <n v="8.49"/>
    <n v="12.74"/>
    <n v="4.24"/>
    <n v="4.25"/>
    <n v="8.49"/>
    <x v="0"/>
  </r>
  <r>
    <x v="11"/>
    <x v="81"/>
    <x v="5"/>
    <s v="5.38-13.60"/>
    <n v="9.4600000000000009"/>
    <n v="13.6"/>
    <n v="5.38"/>
    <n v="4.1100000000000003"/>
    <n v="9.49"/>
    <x v="1"/>
  </r>
  <r>
    <x v="11"/>
    <x v="160"/>
    <x v="5"/>
    <s v="3.65-11.85"/>
    <n v="7.73"/>
    <n v="11.85"/>
    <n v="3.65"/>
    <n v="4.0999999999999996"/>
    <n v="7.75"/>
    <x v="2"/>
  </r>
  <r>
    <x v="11"/>
    <x v="83"/>
    <x v="5"/>
    <s v="4.49-15.05"/>
    <n v="9.77"/>
    <n v="15.05"/>
    <n v="4.49"/>
    <n v="5.28"/>
    <n v="9.77"/>
    <x v="3"/>
  </r>
  <r>
    <x v="11"/>
    <x v="84"/>
    <x v="5"/>
    <s v="4.36-13.60"/>
    <n v="9.01"/>
    <n v="13.6"/>
    <n v="4.3600000000000003"/>
    <n v="4.62"/>
    <n v="8.98"/>
    <x v="4"/>
  </r>
  <r>
    <x v="11"/>
    <x v="85"/>
    <x v="5"/>
    <s v="4.63-14.05"/>
    <n v="9.32"/>
    <n v="14.05"/>
    <n v="4.63"/>
    <n v="4.71"/>
    <n v="9.34"/>
    <x v="5"/>
  </r>
  <r>
    <x v="11"/>
    <x v="86"/>
    <x v="5"/>
    <s v="5.35-12.71"/>
    <n v="9.0299999999999994"/>
    <n v="12.71"/>
    <n v="5.35"/>
    <n v="3.68"/>
    <n v="9.0299999999999994"/>
    <x v="6"/>
  </r>
  <r>
    <x v="11"/>
    <x v="87"/>
    <x v="5"/>
    <s v="4.23-12.61"/>
    <n v="8.42"/>
    <n v="12.61"/>
    <n v="4.2300000000000004"/>
    <n v="4.1900000000000004"/>
    <n v="8.42"/>
    <x v="7"/>
  </r>
  <r>
    <x v="11"/>
    <x v="88"/>
    <x v="5"/>
    <s v="3.95-12.55"/>
    <n v="8.25"/>
    <n v="12.55"/>
    <n v="3.95"/>
    <n v="4.3"/>
    <n v="8.25"/>
    <x v="8"/>
  </r>
  <r>
    <x v="11"/>
    <x v="89"/>
    <x v="5"/>
    <s v="3.28-10.76"/>
    <n v="7.04"/>
    <n v="10.76"/>
    <n v="3.28"/>
    <n v="3.74"/>
    <n v="7.02"/>
    <x v="9"/>
  </r>
  <r>
    <x v="12"/>
    <x v="1"/>
    <x v="0"/>
    <s v="8.29-24.19"/>
    <n v="17.440000000000001"/>
    <n v="24.19"/>
    <n v="8.2899999999999991"/>
    <n v="7.95"/>
    <n v="16.239999999999998"/>
    <x v="0"/>
  </r>
  <r>
    <x v="12"/>
    <x v="2"/>
    <x v="0"/>
    <s v="3.69-14.11"/>
    <n v="9.9"/>
    <n v="14.11"/>
    <n v="3.69"/>
    <n v="5.21"/>
    <n v="8.9"/>
    <x v="0"/>
  </r>
  <r>
    <x v="12"/>
    <x v="3"/>
    <x v="0"/>
    <s v="10.00-27.06"/>
    <n v="20.99"/>
    <n v="27.06"/>
    <n v="10"/>
    <n v="8.5299999999999994"/>
    <n v="18.53"/>
    <x v="1"/>
  </r>
  <r>
    <x v="12"/>
    <x v="5"/>
    <x v="0"/>
    <s v="5.12-17.26"/>
    <n v="12.66"/>
    <n v="17.260000000000002"/>
    <n v="5.12"/>
    <n v="6.07"/>
    <n v="11.19"/>
    <x v="1"/>
  </r>
  <r>
    <x v="12"/>
    <x v="4"/>
    <x v="0"/>
    <s v="3.74-14.60"/>
    <n v="10.32"/>
    <n v="14.6"/>
    <n v="3.74"/>
    <n v="5.43"/>
    <n v="9.17"/>
    <x v="1"/>
  </r>
  <r>
    <x v="12"/>
    <x v="6"/>
    <x v="0"/>
    <s v="4.54-20.92"/>
    <n v="14.24"/>
    <n v="20.92"/>
    <n v="4.54"/>
    <n v="8.19"/>
    <n v="12.73"/>
    <x v="2"/>
  </r>
  <r>
    <x v="12"/>
    <x v="7"/>
    <x v="0"/>
    <s v="3.55-20.81"/>
    <n v="13.17"/>
    <n v="20.81"/>
    <n v="3.55"/>
    <n v="8.6300000000000008"/>
    <n v="12.18"/>
    <x v="2"/>
  </r>
  <r>
    <x v="12"/>
    <x v="8"/>
    <x v="0"/>
    <s v="5.55-21.55"/>
    <n v="15.38"/>
    <n v="21.55"/>
    <n v="5.55"/>
    <n v="8"/>
    <n v="13.55"/>
    <x v="3"/>
  </r>
  <r>
    <x v="12"/>
    <x v="9"/>
    <x v="0"/>
    <s v="6.15-17.95"/>
    <n v="13.6"/>
    <n v="17.95"/>
    <n v="6.15"/>
    <n v="5.9"/>
    <n v="12.05"/>
    <x v="3"/>
  </r>
  <r>
    <x v="12"/>
    <x v="11"/>
    <x v="0"/>
    <s v="8.52-27.26"/>
    <n v="19.059999999999999"/>
    <n v="27.26"/>
    <n v="8.52"/>
    <n v="9.3699999999999992"/>
    <n v="17.89"/>
    <x v="4"/>
  </r>
  <r>
    <x v="12"/>
    <x v="12"/>
    <x v="0"/>
    <s v="6.88-19.30"/>
    <n v="15.43"/>
    <n v="19.3"/>
    <n v="6.88"/>
    <n v="6.21"/>
    <n v="13.09"/>
    <x v="4"/>
  </r>
  <r>
    <x v="12"/>
    <x v="15"/>
    <x v="0"/>
    <s v="9.46-26.78"/>
    <n v="20.5"/>
    <n v="26.78"/>
    <n v="9.4600000000000009"/>
    <n v="8.66"/>
    <n v="18.12"/>
    <x v="5"/>
  </r>
  <r>
    <x v="12"/>
    <x v="14"/>
    <x v="0"/>
    <s v="1.66-14.88"/>
    <n v="9.84"/>
    <n v="14.88"/>
    <n v="1.66"/>
    <n v="6.61"/>
    <n v="8.27"/>
    <x v="5"/>
  </r>
  <r>
    <x v="12"/>
    <x v="16"/>
    <x v="0"/>
    <s v="8.90-22.70"/>
    <n v="18.14"/>
    <n v="22.7"/>
    <n v="8.9"/>
    <n v="6.9"/>
    <n v="15.8"/>
    <x v="6"/>
  </r>
  <r>
    <x v="12"/>
    <x v="121"/>
    <x v="0"/>
    <s v="3.37-20.69"/>
    <n v="13.55"/>
    <n v="20.69"/>
    <n v="3.37"/>
    <n v="8.66"/>
    <n v="12.03"/>
    <x v="6"/>
  </r>
  <r>
    <x v="12"/>
    <x v="17"/>
    <x v="0"/>
    <s v="3.53-13.73"/>
    <n v="9.15"/>
    <n v="13.73"/>
    <n v="3.53"/>
    <n v="5.0999999999999996"/>
    <n v="8.6300000000000008"/>
    <x v="6"/>
  </r>
  <r>
    <x v="12"/>
    <x v="20"/>
    <x v="0"/>
    <s v="6.16-15.40"/>
    <n v="12.01"/>
    <n v="15.4"/>
    <n v="6.16"/>
    <n v="4.62"/>
    <n v="10.78"/>
    <x v="7"/>
  </r>
  <r>
    <x v="12"/>
    <x v="19"/>
    <x v="0"/>
    <s v="3.48-16.96"/>
    <n v="11.25"/>
    <n v="16.96"/>
    <n v="3.48"/>
    <n v="6.74"/>
    <n v="10.220000000000001"/>
    <x v="7"/>
  </r>
  <r>
    <x v="12"/>
    <x v="21"/>
    <x v="0"/>
    <s v="5.39-21.71"/>
    <n v="15.98"/>
    <n v="21.71"/>
    <n v="5.39"/>
    <n v="8.16"/>
    <n v="13.55"/>
    <x v="8"/>
  </r>
  <r>
    <x v="12"/>
    <x v="22"/>
    <x v="0"/>
    <s v="0.40-16.30"/>
    <n v="9.66"/>
    <n v="16.3"/>
    <n v="0.4"/>
    <n v="7.95"/>
    <n v="8.35"/>
    <x v="8"/>
  </r>
  <r>
    <x v="12"/>
    <x v="23"/>
    <x v="0"/>
    <s v="4.99-21.85"/>
    <n v="14.75"/>
    <n v="21.85"/>
    <n v="4.99"/>
    <n v="8.43"/>
    <n v="13.42"/>
    <x v="9"/>
  </r>
  <r>
    <x v="12"/>
    <x v="25"/>
    <x v="0"/>
    <s v="4.16-18.08"/>
    <n v="12.53"/>
    <n v="18.079999999999998"/>
    <n v="4.16"/>
    <n v="6.96"/>
    <n v="11.12"/>
    <x v="9"/>
  </r>
  <r>
    <x v="12"/>
    <x v="105"/>
    <x v="0"/>
    <s v="1.27-15.51"/>
    <n v="9.3699999999999992"/>
    <n v="15.51"/>
    <n v="1.27"/>
    <n v="7.12"/>
    <n v="8.39"/>
    <x v="9"/>
  </r>
  <r>
    <x v="12"/>
    <x v="26"/>
    <x v="1"/>
    <s v="5.46-20.42"/>
    <n v="15.98"/>
    <n v="20.420000000000002"/>
    <n v="5.46"/>
    <n v="7.48"/>
    <n v="12.94"/>
    <x v="0"/>
  </r>
  <r>
    <x v="12"/>
    <x v="27"/>
    <x v="1"/>
    <s v="5.60-18.56"/>
    <n v="15.01"/>
    <n v="18.559999999999999"/>
    <n v="5.6"/>
    <n v="6.48"/>
    <n v="12.08"/>
    <x v="0"/>
  </r>
  <r>
    <x v="12"/>
    <x v="133"/>
    <x v="1"/>
    <s v="2.42-13.04"/>
    <n v="9.3800000000000008"/>
    <n v="13.04"/>
    <n v="2.42"/>
    <n v="5.31"/>
    <n v="7.73"/>
    <x v="0"/>
  </r>
  <r>
    <x v="12"/>
    <x v="28"/>
    <x v="1"/>
    <s v="4.44-17.52"/>
    <n v="13.92"/>
    <n v="17.52"/>
    <n v="4.4400000000000004"/>
    <n v="6.54"/>
    <n v="10.98"/>
    <x v="1"/>
  </r>
  <r>
    <x v="12"/>
    <x v="106"/>
    <x v="1"/>
    <s v="3.63-14.01"/>
    <n v="11.94"/>
    <n v="14.01"/>
    <n v="3.63"/>
    <n v="5.19"/>
    <n v="8.82"/>
    <x v="1"/>
  </r>
  <r>
    <x v="12"/>
    <x v="30"/>
    <x v="1"/>
    <s v="5.39-18.61"/>
    <n v="14.67"/>
    <n v="18.61"/>
    <n v="5.39"/>
    <n v="6.61"/>
    <n v="12"/>
    <x v="2"/>
  </r>
  <r>
    <x v="12"/>
    <x v="94"/>
    <x v="1"/>
    <s v="1.13-17.23"/>
    <n v="11.48"/>
    <n v="17.23"/>
    <n v="1.1299999999999999"/>
    <n v="8.0500000000000007"/>
    <n v="9.18"/>
    <x v="2"/>
  </r>
  <r>
    <x v="12"/>
    <x v="31"/>
    <x v="1"/>
    <s v="2.47-13.55"/>
    <n v="9.8000000000000007"/>
    <n v="13.55"/>
    <n v="2.4700000000000002"/>
    <n v="5.54"/>
    <n v="8.01"/>
    <x v="2"/>
  </r>
  <r>
    <x v="12"/>
    <x v="33"/>
    <x v="1"/>
    <s v="5.19-20.15"/>
    <n v="15.85"/>
    <n v="20.149999999999999"/>
    <n v="5.19"/>
    <n v="7.48"/>
    <n v="12.67"/>
    <x v="3"/>
  </r>
  <r>
    <x v="12"/>
    <x v="34"/>
    <x v="1"/>
    <s v="3.28-17.42"/>
    <n v="13.02"/>
    <n v="17.420000000000002"/>
    <n v="3.28"/>
    <n v="7.07"/>
    <n v="10.35"/>
    <x v="3"/>
  </r>
  <r>
    <x v="12"/>
    <x v="107"/>
    <x v="1"/>
    <s v="2.26-18.18"/>
    <n v="13.09"/>
    <n v="18.18"/>
    <n v="2.2599999999999998"/>
    <n v="7.96"/>
    <n v="10.220000000000001"/>
    <x v="3"/>
  </r>
  <r>
    <x v="12"/>
    <x v="35"/>
    <x v="1"/>
    <s v="5.15-16.65"/>
    <n v="14.24"/>
    <n v="16.649999999999999"/>
    <n v="5.15"/>
    <n v="5.75"/>
    <n v="10.9"/>
    <x v="4"/>
  </r>
  <r>
    <x v="12"/>
    <x v="36"/>
    <x v="1"/>
    <s v="2.81-15.07"/>
    <n v="11.54"/>
    <n v="15.07"/>
    <n v="2.81"/>
    <n v="6.13"/>
    <n v="8.94"/>
    <x v="4"/>
  </r>
  <r>
    <x v="12"/>
    <x v="127"/>
    <x v="1"/>
    <s v="1.68-16.12"/>
    <n v="11.38"/>
    <n v="16.12"/>
    <n v="1.68"/>
    <n v="7.22"/>
    <n v="8.9"/>
    <x v="4"/>
  </r>
  <r>
    <x v="12"/>
    <x v="37"/>
    <x v="1"/>
    <s v="3.22-15.34"/>
    <n v="11.98"/>
    <n v="15.34"/>
    <n v="3.22"/>
    <n v="6.06"/>
    <n v="9.2799999999999994"/>
    <x v="5"/>
  </r>
  <r>
    <x v="12"/>
    <x v="38"/>
    <x v="1"/>
    <s v="4.02-12.88"/>
    <n v="11.17"/>
    <n v="12.88"/>
    <n v="4.0199999999999996"/>
    <n v="4.43"/>
    <n v="8.4499999999999993"/>
    <x v="5"/>
  </r>
  <r>
    <x v="12"/>
    <x v="96"/>
    <x v="1"/>
    <s v="0.72-13.54"/>
    <n v="9.7100000000000009"/>
    <n v="13.54"/>
    <n v="0.72"/>
    <n v="6.41"/>
    <n v="7.13"/>
    <x v="5"/>
  </r>
  <r>
    <x v="12"/>
    <x v="97"/>
    <x v="1"/>
    <s v="3.84-14.40"/>
    <n v="12.06"/>
    <n v="14.4"/>
    <n v="3.84"/>
    <n v="5.28"/>
    <n v="9.1199999999999992"/>
    <x v="6"/>
  </r>
  <r>
    <x v="12"/>
    <x v="39"/>
    <x v="1"/>
    <s v="2.11-14.23"/>
    <n v="11.29"/>
    <n v="14.23"/>
    <n v="2.11"/>
    <n v="6.06"/>
    <n v="8.17"/>
    <x v="6"/>
  </r>
  <r>
    <x v="12"/>
    <x v="43"/>
    <x v="1"/>
    <s v="3.38-19.08"/>
    <n v="13.95"/>
    <n v="19.079999999999998"/>
    <n v="3.38"/>
    <n v="7.85"/>
    <n v="11.23"/>
    <x v="7"/>
  </r>
  <r>
    <x v="12"/>
    <x v="42"/>
    <x v="1"/>
    <s v="2.34-19.28"/>
    <n v="13.64"/>
    <n v="19.28"/>
    <n v="2.34"/>
    <n v="8.4700000000000006"/>
    <n v="10.81"/>
    <x v="7"/>
  </r>
  <r>
    <x v="12"/>
    <x v="41"/>
    <x v="1"/>
    <s v="3.19-15.45"/>
    <n v="11.64"/>
    <n v="15.45"/>
    <n v="3.19"/>
    <n v="6.13"/>
    <n v="9.32"/>
    <x v="7"/>
  </r>
  <r>
    <x v="12"/>
    <x v="44"/>
    <x v="1"/>
    <s v="2.62-13.78"/>
    <n v="10.39"/>
    <n v="13.78"/>
    <n v="2.62"/>
    <n v="5.58"/>
    <n v="8.1999999999999993"/>
    <x v="8"/>
  </r>
  <r>
    <x v="12"/>
    <x v="45"/>
    <x v="1"/>
    <s v="0.94-12.58"/>
    <n v="8.7100000000000009"/>
    <n v="12.58"/>
    <n v="0.94"/>
    <n v="5.82"/>
    <n v="6.76"/>
    <x v="8"/>
  </r>
  <r>
    <x v="12"/>
    <x v="46"/>
    <x v="1"/>
    <s v="1.44-11.76"/>
    <n v="8.4700000000000006"/>
    <n v="11.76"/>
    <n v="1.44"/>
    <n v="5.16"/>
    <n v="6.6"/>
    <x v="8"/>
  </r>
  <r>
    <x v="12"/>
    <x v="98"/>
    <x v="1"/>
    <s v="3.77-18.37"/>
    <n v="13.53"/>
    <n v="18.37"/>
    <n v="3.77"/>
    <n v="7.3"/>
    <n v="11.07"/>
    <x v="9"/>
  </r>
  <r>
    <x v="12"/>
    <x v="47"/>
    <x v="1"/>
    <s v="2.72-15.28"/>
    <n v="10.99"/>
    <n v="15.28"/>
    <n v="2.72"/>
    <n v="6.28"/>
    <n v="9"/>
    <x v="9"/>
  </r>
  <r>
    <x v="12"/>
    <x v="49"/>
    <x v="2"/>
    <s v="13.88-28.46"/>
    <n v="21.76"/>
    <n v="28.46"/>
    <n v="13.88"/>
    <n v="7.29"/>
    <n v="21.17"/>
    <x v="0"/>
  </r>
  <r>
    <x v="12"/>
    <x v="50"/>
    <x v="2"/>
    <s v="7.72-22.82"/>
    <n v="16.18"/>
    <n v="22.82"/>
    <n v="7.72"/>
    <n v="7.55"/>
    <n v="15.27"/>
    <x v="1"/>
  </r>
  <r>
    <x v="12"/>
    <x v="51"/>
    <x v="2"/>
    <s v="11.57-24.13"/>
    <n v="18.829999999999998"/>
    <n v="24.13"/>
    <n v="11.57"/>
    <n v="6.28"/>
    <n v="17.850000000000001"/>
    <x v="2"/>
  </r>
  <r>
    <x v="12"/>
    <x v="52"/>
    <x v="2"/>
    <s v="11.74-23.24"/>
    <n v="18.41"/>
    <n v="23.24"/>
    <n v="11.74"/>
    <n v="5.75"/>
    <n v="17.489999999999998"/>
    <x v="3"/>
  </r>
  <r>
    <x v="12"/>
    <x v="53"/>
    <x v="2"/>
    <s v="9.54-25.08"/>
    <n v="17.98"/>
    <n v="25.08"/>
    <n v="9.5399999999999991"/>
    <n v="7.77"/>
    <n v="17.309999999999999"/>
    <x v="4"/>
  </r>
  <r>
    <x v="12"/>
    <x v="54"/>
    <x v="2"/>
    <s v="11.56-25.58"/>
    <n v="19.27"/>
    <n v="25.58"/>
    <n v="11.56"/>
    <n v="7.01"/>
    <n v="18.57"/>
    <x v="5"/>
  </r>
  <r>
    <x v="12"/>
    <x v="55"/>
    <x v="2"/>
    <s v="14.39-29.51"/>
    <n v="22.62"/>
    <n v="29.51"/>
    <n v="14.39"/>
    <n v="7.56"/>
    <n v="21.95"/>
    <x v="6"/>
  </r>
  <r>
    <x v="12"/>
    <x v="56"/>
    <x v="2"/>
    <s v="14.71-32.15"/>
    <n v="23.95"/>
    <n v="32.15"/>
    <n v="14.71"/>
    <n v="8.7200000000000006"/>
    <n v="23.43"/>
    <x v="7"/>
  </r>
  <r>
    <x v="12"/>
    <x v="57"/>
    <x v="2"/>
    <s v="11.81-28.07"/>
    <n v="20.78"/>
    <n v="28.07"/>
    <n v="11.81"/>
    <n v="8.1300000000000008"/>
    <n v="19.940000000000001"/>
    <x v="8"/>
  </r>
  <r>
    <x v="12"/>
    <x v="58"/>
    <x v="2"/>
    <s v="13.73-31.19"/>
    <n v="22.92"/>
    <n v="31.19"/>
    <n v="13.73"/>
    <n v="8.73"/>
    <n v="22.46"/>
    <x v="9"/>
  </r>
  <r>
    <x v="12"/>
    <x v="102"/>
    <x v="3"/>
    <s v="0.01-9.27"/>
    <n v="6.31"/>
    <n v="9.27"/>
    <n v="0.01"/>
    <n v="4.63"/>
    <n v="4.6399999999999997"/>
    <x v="0"/>
  </r>
  <r>
    <x v="12"/>
    <x v="60"/>
    <x v="3"/>
    <s v="2.38-13.62"/>
    <n v="10.36"/>
    <n v="13.62"/>
    <n v="2.38"/>
    <n v="5.62"/>
    <n v="8"/>
    <x v="1"/>
  </r>
  <r>
    <x v="12"/>
    <x v="61"/>
    <x v="3"/>
    <s v="0.02-7.24"/>
    <n v="4.92"/>
    <n v="7.24"/>
    <n v="0.02"/>
    <n v="3.61"/>
    <n v="3.63"/>
    <x v="2"/>
  </r>
  <r>
    <x v="12"/>
    <x v="62"/>
    <x v="3"/>
    <s v="3.04-14.80"/>
    <n v="11.41"/>
    <n v="14.8"/>
    <n v="3.04"/>
    <n v="5.88"/>
    <n v="8.92"/>
    <x v="3"/>
  </r>
  <r>
    <x v="12"/>
    <x v="63"/>
    <x v="3"/>
    <s v="1.12-8.22"/>
    <n v="5.9"/>
    <n v="8.2200000000000006"/>
    <n v="1.1200000000000001"/>
    <n v="3.55"/>
    <n v="4.67"/>
    <x v="4"/>
  </r>
  <r>
    <x v="12"/>
    <x v="64"/>
    <x v="3"/>
    <s v="2.61-10.55"/>
    <n v="8.74"/>
    <n v="10.55"/>
    <n v="2.61"/>
    <n v="3.97"/>
    <n v="6.58"/>
    <x v="5"/>
  </r>
  <r>
    <x v="12"/>
    <x v="66"/>
    <x v="3"/>
    <s v="2.74-15.16"/>
    <n v="11.09"/>
    <n v="15.16"/>
    <n v="2.74"/>
    <n v="6.21"/>
    <n v="8.9499999999999993"/>
    <x v="6"/>
  </r>
  <r>
    <x v="12"/>
    <x v="67"/>
    <x v="3"/>
    <s v="1.06-12.28"/>
    <n v="8.93"/>
    <n v="12.28"/>
    <n v="1.06"/>
    <n v="5.61"/>
    <n v="6.67"/>
    <x v="7"/>
  </r>
  <r>
    <x v="12"/>
    <x v="68"/>
    <x v="3"/>
    <s v="3.46-13.50"/>
    <n v="10.85"/>
    <n v="13.5"/>
    <n v="3.46"/>
    <n v="5.0199999999999996"/>
    <n v="8.48"/>
    <x v="8"/>
  </r>
  <r>
    <x v="12"/>
    <x v="69"/>
    <x v="3"/>
    <s v="0.66-9.38"/>
    <n v="7.06"/>
    <n v="9.3800000000000008"/>
    <n v="0.66"/>
    <n v="4.3600000000000003"/>
    <n v="5.0199999999999996"/>
    <x v="9"/>
  </r>
  <r>
    <x v="12"/>
    <x v="70"/>
    <x v="4"/>
    <s v="1.01-10.59"/>
    <n v="5.2007000000000003"/>
    <n v="10.59"/>
    <n v="1.01"/>
    <n v="4.79"/>
    <n v="5.2007000000000003"/>
    <x v="0"/>
  </r>
  <r>
    <x v="12"/>
    <x v="71"/>
    <x v="4"/>
    <s v="1.49-12.67"/>
    <n v="5.8788999999999998"/>
    <n v="12.67"/>
    <n v="1.49"/>
    <n v="5.59"/>
    <n v="5.8788999999999998"/>
    <x v="1"/>
  </r>
  <r>
    <x v="12"/>
    <x v="72"/>
    <x v="4"/>
    <s v="-1.25-11.71"/>
    <n v="4.7601000000000004"/>
    <n v="11.71"/>
    <n v="-1.25"/>
    <n v="6.48"/>
    <n v="4.7601000000000004"/>
    <x v="2"/>
  </r>
  <r>
    <x v="12"/>
    <x v="73"/>
    <x v="4"/>
    <s v="3.82-13.64"/>
    <n v="7.8859000000000004"/>
    <n v="13.64"/>
    <n v="3.82"/>
    <n v="4.91"/>
    <n v="7.8859000000000004"/>
    <x v="3"/>
  </r>
  <r>
    <x v="12"/>
    <x v="74"/>
    <x v="4"/>
    <s v="4.44-16.58"/>
    <n v="9.9495000000000005"/>
    <n v="16.579999999999998"/>
    <n v="4.4400000000000004"/>
    <n v="6.07"/>
    <n v="9.9495000000000005"/>
    <x v="4"/>
  </r>
  <r>
    <x v="12"/>
    <x v="75"/>
    <x v="4"/>
    <s v="5.17-16.81"/>
    <n v="10.3992"/>
    <n v="16.809999999999999"/>
    <n v="5.17"/>
    <n v="5.82"/>
    <n v="10.3992"/>
    <x v="5"/>
  </r>
  <r>
    <x v="12"/>
    <x v="76"/>
    <x v="4"/>
    <s v="3.01-16.55"/>
    <n v="9.5243000000000002"/>
    <n v="16.55"/>
    <n v="3.01"/>
    <n v="6.77"/>
    <n v="9.5243000000000002"/>
    <x v="6"/>
  </r>
  <r>
    <x v="12"/>
    <x v="138"/>
    <x v="4"/>
    <s v="2.62-14.84"/>
    <n v="8.6144999999999996"/>
    <n v="14.84"/>
    <n v="2.62"/>
    <n v="6.11"/>
    <n v="8.6144999999999996"/>
    <x v="7"/>
  </r>
  <r>
    <x v="12"/>
    <x v="78"/>
    <x v="4"/>
    <s v="3.17-15.85"/>
    <n v="8.9049999999999994"/>
    <n v="15.85"/>
    <n v="3.17"/>
    <n v="6.34"/>
    <n v="8.9049999999999994"/>
    <x v="8"/>
  </r>
  <r>
    <x v="12"/>
    <x v="79"/>
    <x v="4"/>
    <s v="0.77-10.37"/>
    <n v="5.3209"/>
    <n v="10.37"/>
    <n v="0.77"/>
    <n v="4.8"/>
    <n v="5.3209"/>
    <x v="9"/>
  </r>
  <r>
    <x v="12"/>
    <x v="80"/>
    <x v="5"/>
    <s v="4.35-13.15"/>
    <n v="8.7200000000000006"/>
    <n v="13.15"/>
    <n v="4.3499999999999996"/>
    <n v="4.4000000000000004"/>
    <n v="8.75"/>
    <x v="0"/>
  </r>
  <r>
    <x v="12"/>
    <x v="81"/>
    <x v="5"/>
    <s v="4.95-12.95"/>
    <n v="8.93"/>
    <n v="12.95"/>
    <n v="4.95"/>
    <n v="4"/>
    <n v="8.9499999999999993"/>
    <x v="1"/>
  </r>
  <r>
    <x v="12"/>
    <x v="82"/>
    <x v="5"/>
    <s v="5.36-11.98"/>
    <n v="8.69"/>
    <n v="11.98"/>
    <n v="5.36"/>
    <n v="3.31"/>
    <n v="8.67"/>
    <x v="2"/>
  </r>
  <r>
    <x v="12"/>
    <x v="83"/>
    <x v="5"/>
    <s v="4.93-12.09"/>
    <n v="8.48"/>
    <n v="12.09"/>
    <n v="4.93"/>
    <n v="3.58"/>
    <n v="8.51"/>
    <x v="3"/>
  </r>
  <r>
    <x v="12"/>
    <x v="84"/>
    <x v="5"/>
    <s v="5.84-13.70"/>
    <n v="9.7899999999999991"/>
    <n v="13.7"/>
    <n v="5.84"/>
    <n v="3.93"/>
    <n v="9.77"/>
    <x v="4"/>
  </r>
  <r>
    <x v="12"/>
    <x v="114"/>
    <x v="5"/>
    <s v="5.88-13.18"/>
    <n v="9.5500000000000007"/>
    <n v="13.18"/>
    <n v="5.88"/>
    <n v="3.65"/>
    <n v="9.5299999999999994"/>
    <x v="5"/>
  </r>
  <r>
    <x v="12"/>
    <x v="86"/>
    <x v="5"/>
    <s v="4.81-13.95"/>
    <n v="9.39"/>
    <n v="13.95"/>
    <n v="4.8099999999999996"/>
    <n v="4.57"/>
    <n v="9.3800000000000008"/>
    <x v="6"/>
  </r>
  <r>
    <x v="12"/>
    <x v="87"/>
    <x v="5"/>
    <s v="2.22-10.70"/>
    <n v="6.42"/>
    <n v="10.7"/>
    <n v="2.2200000000000002"/>
    <n v="4.24"/>
    <n v="6.46"/>
    <x v="7"/>
  </r>
  <r>
    <x v="12"/>
    <x v="88"/>
    <x v="5"/>
    <s v="2.88-12.38"/>
    <n v="7.63"/>
    <n v="12.38"/>
    <n v="2.88"/>
    <n v="4.75"/>
    <n v="7.63"/>
    <x v="8"/>
  </r>
  <r>
    <x v="12"/>
    <x v="89"/>
    <x v="5"/>
    <s v="4.11-12.97"/>
    <n v="8.52"/>
    <n v="12.97"/>
    <n v="4.1100000000000003"/>
    <n v="4.43"/>
    <n v="8.5399999999999991"/>
    <x v="9"/>
  </r>
  <r>
    <x v="13"/>
    <x v="1"/>
    <x v="0"/>
    <s v="4.49-18.13"/>
    <n v="12.54"/>
    <n v="18.13"/>
    <n v="4.49"/>
    <n v="6.82"/>
    <n v="11.31"/>
    <x v="0"/>
  </r>
  <r>
    <x v="13"/>
    <x v="90"/>
    <x v="0"/>
    <s v="-0.46-17.84"/>
    <n v="10.029999999999999"/>
    <n v="17.84"/>
    <n v="-0.46"/>
    <n v="9.15"/>
    <n v="8.69"/>
    <x v="0"/>
  </r>
  <r>
    <x v="13"/>
    <x v="3"/>
    <x v="0"/>
    <s v="8.09-26.13"/>
    <n v="19.29"/>
    <n v="26.13"/>
    <n v="8.09"/>
    <n v="9.02"/>
    <n v="17.11"/>
    <x v="1"/>
  </r>
  <r>
    <x v="13"/>
    <x v="5"/>
    <x v="0"/>
    <s v="3.71-20.95"/>
    <n v="13.8"/>
    <n v="20.95"/>
    <n v="3.71"/>
    <n v="8.6199999999999992"/>
    <n v="12.33"/>
    <x v="1"/>
  </r>
  <r>
    <x v="13"/>
    <x v="4"/>
    <x v="0"/>
    <s v="3.83-18.51"/>
    <n v="12.18"/>
    <n v="18.510000000000002"/>
    <n v="3.83"/>
    <n v="7.34"/>
    <n v="11.17"/>
    <x v="1"/>
  </r>
  <r>
    <x v="13"/>
    <x v="6"/>
    <x v="0"/>
    <s v="6.51-24.89"/>
    <n v="17.38"/>
    <n v="24.89"/>
    <n v="6.51"/>
    <n v="9.19"/>
    <n v="15.7"/>
    <x v="2"/>
  </r>
  <r>
    <x v="13"/>
    <x v="7"/>
    <x v="0"/>
    <s v="4.01-17.41"/>
    <n v="12.24"/>
    <n v="17.41"/>
    <n v="4.01"/>
    <n v="6.7"/>
    <n v="10.71"/>
    <x v="2"/>
  </r>
  <r>
    <x v="13"/>
    <x v="8"/>
    <x v="0"/>
    <s v="4.72-22.20"/>
    <n v="15.43"/>
    <n v="22.2"/>
    <n v="4.72"/>
    <n v="8.74"/>
    <n v="13.46"/>
    <x v="3"/>
  </r>
  <r>
    <x v="13"/>
    <x v="9"/>
    <x v="0"/>
    <s v="4.73-16.91"/>
    <n v="12.38"/>
    <n v="16.91"/>
    <n v="4.7300000000000004"/>
    <n v="6.09"/>
    <n v="10.82"/>
    <x v="3"/>
  </r>
  <r>
    <x v="13"/>
    <x v="11"/>
    <x v="0"/>
    <s v="7.85-20.65"/>
    <n v="15.42"/>
    <n v="20.65"/>
    <n v="7.85"/>
    <n v="6.4"/>
    <n v="14.25"/>
    <x v="4"/>
  </r>
  <r>
    <x v="13"/>
    <x v="12"/>
    <x v="0"/>
    <s v="6.02-17.06"/>
    <n v="13.86"/>
    <n v="17.059999999999999"/>
    <n v="6.02"/>
    <n v="5.52"/>
    <n v="11.54"/>
    <x v="4"/>
  </r>
  <r>
    <x v="13"/>
    <x v="13"/>
    <x v="0"/>
    <s v="1.79-18.67"/>
    <n v="11.67"/>
    <n v="18.670000000000002"/>
    <n v="1.79"/>
    <n v="8.44"/>
    <n v="10.23"/>
    <x v="4"/>
  </r>
  <r>
    <x v="13"/>
    <x v="15"/>
    <x v="0"/>
    <s v="7.98-27.18"/>
    <n v="20.37"/>
    <n v="27.18"/>
    <n v="7.98"/>
    <n v="9.6"/>
    <n v="17.579999999999998"/>
    <x v="5"/>
  </r>
  <r>
    <x v="13"/>
    <x v="14"/>
    <x v="0"/>
    <s v="0.72-13.02"/>
    <n v="8.2200000000000006"/>
    <n v="13.02"/>
    <n v="0.72"/>
    <n v="6.15"/>
    <n v="6.87"/>
    <x v="5"/>
  </r>
  <r>
    <x v="13"/>
    <x v="16"/>
    <x v="0"/>
    <s v="7.09-23.67"/>
    <n v="17.78"/>
    <n v="23.67"/>
    <n v="7.09"/>
    <n v="8.2899999999999991"/>
    <n v="15.38"/>
    <x v="6"/>
  </r>
  <r>
    <x v="13"/>
    <x v="121"/>
    <x v="0"/>
    <s v="3.70-20.78"/>
    <n v="13.75"/>
    <n v="20.78"/>
    <n v="3.7"/>
    <n v="8.5399999999999991"/>
    <n v="12.24"/>
    <x v="6"/>
  </r>
  <r>
    <x v="13"/>
    <x v="17"/>
    <x v="0"/>
    <s v="4.22-15.08"/>
    <n v="10.17"/>
    <n v="15.08"/>
    <n v="4.22"/>
    <n v="5.43"/>
    <n v="9.65"/>
    <x v="6"/>
  </r>
  <r>
    <x v="13"/>
    <x v="19"/>
    <x v="0"/>
    <s v="6.51-20.25"/>
    <n v="14.65"/>
    <n v="20.25"/>
    <n v="6.51"/>
    <n v="6.87"/>
    <n v="13.38"/>
    <x v="7"/>
  </r>
  <r>
    <x v="13"/>
    <x v="20"/>
    <x v="0"/>
    <s v="6.00-16.18"/>
    <n v="12.01"/>
    <n v="16.18"/>
    <n v="6"/>
    <n v="5.09"/>
    <n v="11.09"/>
    <x v="7"/>
  </r>
  <r>
    <x v="13"/>
    <x v="21"/>
    <x v="0"/>
    <s v="5.45-21.73"/>
    <n v="15.92"/>
    <n v="21.73"/>
    <n v="5.45"/>
    <n v="8.14"/>
    <n v="13.59"/>
    <x v="8"/>
  </r>
  <r>
    <x v="13"/>
    <x v="92"/>
    <x v="0"/>
    <s v="3.13-12.31"/>
    <n v="8.68"/>
    <n v="12.31"/>
    <n v="3.13"/>
    <n v="4.59"/>
    <n v="7.72"/>
    <x v="8"/>
  </r>
  <r>
    <x v="13"/>
    <x v="23"/>
    <x v="0"/>
    <s v="6.47-22.61"/>
    <n v="16.059999999999999"/>
    <n v="22.61"/>
    <n v="6.47"/>
    <n v="8.07"/>
    <n v="14.54"/>
    <x v="9"/>
  </r>
  <r>
    <x v="13"/>
    <x v="25"/>
    <x v="0"/>
    <s v="4.67-17.73"/>
    <n v="12.52"/>
    <n v="17.73"/>
    <n v="4.67"/>
    <n v="6.53"/>
    <n v="11.2"/>
    <x v="9"/>
  </r>
  <r>
    <x v="13"/>
    <x v="105"/>
    <x v="0"/>
    <s v="0.48-17.98"/>
    <n v="10.27"/>
    <n v="17.98"/>
    <n v="0.48"/>
    <n v="8.75"/>
    <n v="9.23"/>
    <x v="9"/>
  </r>
  <r>
    <x v="13"/>
    <x v="26"/>
    <x v="1"/>
    <s v="5.01-21.95"/>
    <n v="16.920000000000002"/>
    <n v="21.95"/>
    <n v="5.01"/>
    <n v="8.4700000000000006"/>
    <n v="13.48"/>
    <x v="0"/>
  </r>
  <r>
    <x v="13"/>
    <x v="27"/>
    <x v="1"/>
    <s v="3.62-17.34"/>
    <n v="13.2"/>
    <n v="17.34"/>
    <n v="3.62"/>
    <n v="6.86"/>
    <n v="10.48"/>
    <x v="0"/>
  </r>
  <r>
    <x v="13"/>
    <x v="133"/>
    <x v="1"/>
    <s v="1.91-17.07"/>
    <n v="11.37"/>
    <n v="17.07"/>
    <n v="1.91"/>
    <n v="7.58"/>
    <n v="9.49"/>
    <x v="0"/>
  </r>
  <r>
    <x v="13"/>
    <x v="28"/>
    <x v="1"/>
    <s v="3.79-18.41"/>
    <n v="14.01"/>
    <n v="18.41"/>
    <n v="3.79"/>
    <n v="7.31"/>
    <n v="11.1"/>
    <x v="1"/>
  </r>
  <r>
    <x v="13"/>
    <x v="106"/>
    <x v="1"/>
    <s v="4.08-14.40"/>
    <n v="12.41"/>
    <n v="14.4"/>
    <n v="4.08"/>
    <n v="5.16"/>
    <n v="9.24"/>
    <x v="1"/>
  </r>
  <r>
    <x v="13"/>
    <x v="30"/>
    <x v="1"/>
    <s v="3.91-15.69"/>
    <n v="12.05"/>
    <n v="15.69"/>
    <n v="3.91"/>
    <n v="5.89"/>
    <n v="9.8000000000000007"/>
    <x v="2"/>
  </r>
  <r>
    <x v="13"/>
    <x v="31"/>
    <x v="1"/>
    <s v="2.84-13.02"/>
    <n v="9.83"/>
    <n v="13.02"/>
    <n v="2.84"/>
    <n v="5.09"/>
    <n v="7.93"/>
    <x v="2"/>
  </r>
  <r>
    <x v="13"/>
    <x v="94"/>
    <x v="1"/>
    <s v="1.63-13.25"/>
    <n v="9.6"/>
    <n v="13.25"/>
    <n v="1.63"/>
    <n v="5.81"/>
    <n v="7.44"/>
    <x v="2"/>
  </r>
  <r>
    <x v="13"/>
    <x v="33"/>
    <x v="1"/>
    <s v="6.41-21.07"/>
    <n v="16.98"/>
    <n v="21.07"/>
    <n v="6.41"/>
    <n v="7.33"/>
    <n v="13.74"/>
    <x v="3"/>
  </r>
  <r>
    <x v="13"/>
    <x v="34"/>
    <x v="1"/>
    <s v="4.56-20.98"/>
    <n v="15.5"/>
    <n v="20.98"/>
    <n v="4.5599999999999996"/>
    <n v="8.2100000000000009"/>
    <n v="12.77"/>
    <x v="3"/>
  </r>
  <r>
    <x v="13"/>
    <x v="107"/>
    <x v="1"/>
    <s v="1.35-17.91"/>
    <n v="12.34"/>
    <n v="17.91"/>
    <n v="1.35"/>
    <n v="8.2799999999999994"/>
    <n v="9.6300000000000008"/>
    <x v="3"/>
  </r>
  <r>
    <x v="13"/>
    <x v="35"/>
    <x v="1"/>
    <s v="4.95-18.05"/>
    <n v="14.89"/>
    <n v="18.05"/>
    <n v="4.95"/>
    <n v="6.55"/>
    <n v="11.5"/>
    <x v="4"/>
  </r>
  <r>
    <x v="13"/>
    <x v="95"/>
    <x v="1"/>
    <s v="2.96-14.64"/>
    <n v="10.89"/>
    <n v="14.64"/>
    <n v="2.96"/>
    <n v="5.84"/>
    <n v="8.8000000000000007"/>
    <x v="4"/>
  </r>
  <r>
    <x v="13"/>
    <x v="37"/>
    <x v="1"/>
    <s v="3.00-17.76"/>
    <n v="13.11"/>
    <n v="17.760000000000002"/>
    <n v="3"/>
    <n v="7.38"/>
    <n v="10.38"/>
    <x v="5"/>
  </r>
  <r>
    <x v="13"/>
    <x v="38"/>
    <x v="1"/>
    <s v="4.84-13.98"/>
    <n v="12.08"/>
    <n v="13.98"/>
    <n v="4.84"/>
    <n v="4.57"/>
    <n v="9.41"/>
    <x v="5"/>
  </r>
  <r>
    <x v="13"/>
    <x v="96"/>
    <x v="1"/>
    <s v="0.74-13.54"/>
    <n v="9.64"/>
    <n v="13.54"/>
    <n v="0.74"/>
    <n v="6.4"/>
    <n v="7.14"/>
    <x v="5"/>
  </r>
  <r>
    <x v="13"/>
    <x v="39"/>
    <x v="1"/>
    <s v="2.46-12.12"/>
    <n v="10.26"/>
    <n v="12.12"/>
    <n v="2.46"/>
    <n v="4.83"/>
    <n v="7.29"/>
    <x v="6"/>
  </r>
  <r>
    <x v="13"/>
    <x v="97"/>
    <x v="1"/>
    <s v="1.66-12.66"/>
    <n v="9.81"/>
    <n v="12.66"/>
    <n v="1.66"/>
    <n v="5.5"/>
    <n v="7.16"/>
    <x v="6"/>
  </r>
  <r>
    <x v="13"/>
    <x v="42"/>
    <x v="1"/>
    <s v="3.75-22.33"/>
    <n v="16.28"/>
    <n v="22.33"/>
    <n v="3.75"/>
    <n v="9.2899999999999991"/>
    <n v="13.04"/>
    <x v="7"/>
  </r>
  <r>
    <x v="13"/>
    <x v="43"/>
    <x v="1"/>
    <s v="3.94-16.10"/>
    <n v="12.86"/>
    <n v="16.100000000000001"/>
    <n v="3.94"/>
    <n v="6.08"/>
    <n v="10.02"/>
    <x v="7"/>
  </r>
  <r>
    <x v="13"/>
    <x v="41"/>
    <x v="1"/>
    <s v="3.80-15.44"/>
    <n v="12.15"/>
    <n v="15.44"/>
    <n v="3.8"/>
    <n v="5.82"/>
    <n v="9.6199999999999992"/>
    <x v="7"/>
  </r>
  <r>
    <x v="13"/>
    <x v="44"/>
    <x v="1"/>
    <s v="3.22-14.02"/>
    <n v="10.88"/>
    <n v="14.02"/>
    <n v="3.22"/>
    <n v="5.4"/>
    <n v="8.6199999999999992"/>
    <x v="8"/>
  </r>
  <r>
    <x v="13"/>
    <x v="45"/>
    <x v="1"/>
    <s v="1.13-13.29"/>
    <n v="9.1199999999999992"/>
    <n v="13.29"/>
    <n v="1.1299999999999999"/>
    <n v="6.08"/>
    <n v="7.21"/>
    <x v="8"/>
  </r>
  <r>
    <x v="13"/>
    <x v="46"/>
    <x v="1"/>
    <s v="0.96-12.46"/>
    <n v="8.48"/>
    <n v="12.46"/>
    <n v="0.96"/>
    <n v="5.75"/>
    <n v="6.71"/>
    <x v="8"/>
  </r>
  <r>
    <x v="13"/>
    <x v="47"/>
    <x v="1"/>
    <s v="3.24-16.40"/>
    <n v="12.02"/>
    <n v="16.399999999999999"/>
    <n v="3.24"/>
    <n v="6.58"/>
    <n v="9.82"/>
    <x v="9"/>
  </r>
  <r>
    <x v="13"/>
    <x v="98"/>
    <x v="1"/>
    <s v="3.49-15.91"/>
    <n v="12.34"/>
    <n v="15.91"/>
    <n v="3.49"/>
    <n v="6.21"/>
    <n v="9.6999999999999993"/>
    <x v="9"/>
  </r>
  <r>
    <x v="13"/>
    <x v="49"/>
    <x v="2"/>
    <s v="13.32-30.10"/>
    <n v="22.34"/>
    <n v="30.1"/>
    <n v="13.32"/>
    <n v="8.39"/>
    <n v="21.71"/>
    <x v="0"/>
  </r>
  <r>
    <x v="13"/>
    <x v="50"/>
    <x v="2"/>
    <s v="10.20-24.42"/>
    <n v="18.12"/>
    <n v="24.42"/>
    <n v="10.199999999999999"/>
    <n v="7.11"/>
    <n v="17.309999999999999"/>
    <x v="1"/>
  </r>
  <r>
    <x v="13"/>
    <x v="110"/>
    <x v="2"/>
    <s v="10.58-27.16"/>
    <n v="19.59"/>
    <n v="27.16"/>
    <n v="10.58"/>
    <n v="8.2899999999999991"/>
    <n v="18.87"/>
    <x v="2"/>
  </r>
  <r>
    <x v="13"/>
    <x v="52"/>
    <x v="2"/>
    <s v="8.60-24.08"/>
    <n v="17.39"/>
    <n v="24.08"/>
    <n v="8.6"/>
    <n v="7.74"/>
    <n v="16.34"/>
    <x v="3"/>
  </r>
  <r>
    <x v="13"/>
    <x v="100"/>
    <x v="2"/>
    <s v="12.49-24.77"/>
    <n v="19.13"/>
    <n v="24.77"/>
    <n v="12.49"/>
    <n v="6.14"/>
    <n v="18.63"/>
    <x v="4"/>
  </r>
  <r>
    <x v="13"/>
    <x v="54"/>
    <x v="2"/>
    <s v="11.91-28.51"/>
    <n v="20.72"/>
    <n v="28.51"/>
    <n v="11.91"/>
    <n v="8.3000000000000007"/>
    <n v="20.21"/>
    <x v="5"/>
  </r>
  <r>
    <x v="13"/>
    <x v="55"/>
    <x v="2"/>
    <s v="15.01-30.07"/>
    <n v="23.2"/>
    <n v="30.07"/>
    <n v="15.01"/>
    <n v="7.53"/>
    <n v="22.54"/>
    <x v="6"/>
  </r>
  <r>
    <x v="13"/>
    <x v="56"/>
    <x v="2"/>
    <s v="11.75-28.23"/>
    <n v="20.77"/>
    <n v="28.23"/>
    <n v="11.75"/>
    <n v="8.24"/>
    <n v="19.989999999999998"/>
    <x v="7"/>
  </r>
  <r>
    <x v="13"/>
    <x v="57"/>
    <x v="2"/>
    <s v="13.32-29.56"/>
    <n v="21.9"/>
    <n v="29.56"/>
    <n v="13.32"/>
    <n v="8.1199999999999992"/>
    <n v="21.44"/>
    <x v="8"/>
  </r>
  <r>
    <x v="13"/>
    <x v="58"/>
    <x v="2"/>
    <s v="14.60-32.82"/>
    <n v="24.2"/>
    <n v="32.82"/>
    <n v="14.6"/>
    <n v="9.11"/>
    <n v="23.71"/>
    <x v="9"/>
  </r>
  <r>
    <x v="13"/>
    <x v="102"/>
    <x v="3"/>
    <s v="-0.54-8.68"/>
    <n v="5.61"/>
    <n v="8.68"/>
    <n v="-0.54"/>
    <n v="4.6100000000000003"/>
    <n v="4.07"/>
    <x v="0"/>
  </r>
  <r>
    <x v="13"/>
    <x v="60"/>
    <x v="3"/>
    <s v="1.36-12.38"/>
    <n v="9.2799999999999994"/>
    <n v="12.38"/>
    <n v="1.36"/>
    <n v="5.51"/>
    <n v="6.87"/>
    <x v="1"/>
  </r>
  <r>
    <x v="13"/>
    <x v="61"/>
    <x v="3"/>
    <s v="0.50-7.92"/>
    <n v="5.66"/>
    <n v="7.92"/>
    <n v="0.5"/>
    <n v="3.71"/>
    <n v="4.21"/>
    <x v="2"/>
  </r>
  <r>
    <x v="13"/>
    <x v="62"/>
    <x v="3"/>
    <s v="3.12-15.14"/>
    <n v="11.68"/>
    <n v="15.14"/>
    <n v="3.12"/>
    <n v="6.01"/>
    <n v="9.1300000000000008"/>
    <x v="3"/>
  </r>
  <r>
    <x v="13"/>
    <x v="63"/>
    <x v="3"/>
    <s v="0.88-7.92"/>
    <n v="5.66"/>
    <n v="7.92"/>
    <n v="0.88"/>
    <n v="3.52"/>
    <n v="4.4000000000000004"/>
    <x v="4"/>
  </r>
  <r>
    <x v="13"/>
    <x v="64"/>
    <x v="3"/>
    <s v="2.09-10.75"/>
    <n v="8.2799999999999994"/>
    <n v="10.75"/>
    <n v="2.09"/>
    <n v="4.33"/>
    <n v="6.42"/>
    <x v="5"/>
  </r>
  <r>
    <x v="13"/>
    <x v="66"/>
    <x v="3"/>
    <s v="5.27-17.97"/>
    <n v="13.84"/>
    <n v="17.97"/>
    <n v="5.27"/>
    <n v="6.35"/>
    <n v="11.62"/>
    <x v="6"/>
  </r>
  <r>
    <x v="13"/>
    <x v="118"/>
    <x v="3"/>
    <s v="2.30-10.76"/>
    <n v="8.9499999999999993"/>
    <n v="10.76"/>
    <n v="2.2999999999999998"/>
    <n v="4.2300000000000004"/>
    <n v="6.53"/>
    <x v="7"/>
  </r>
  <r>
    <x v="13"/>
    <x v="68"/>
    <x v="3"/>
    <s v="3.53-11.93"/>
    <n v="10.11"/>
    <n v="11.93"/>
    <n v="3.53"/>
    <n v="4.2"/>
    <n v="7.73"/>
    <x v="8"/>
  </r>
  <r>
    <x v="13"/>
    <x v="69"/>
    <x v="3"/>
    <s v="-0.11-11.31"/>
    <n v="7.67"/>
    <n v="11.31"/>
    <n v="-0.11"/>
    <n v="5.71"/>
    <n v="5.6"/>
    <x v="9"/>
  </r>
  <r>
    <x v="13"/>
    <x v="70"/>
    <x v="4"/>
    <s v="2.16-13.90"/>
    <n v="7.7916999999999996"/>
    <n v="13.9"/>
    <n v="2.16"/>
    <n v="5.87"/>
    <n v="7.7916999999999996"/>
    <x v="0"/>
  </r>
  <r>
    <x v="13"/>
    <x v="71"/>
    <x v="4"/>
    <s v="0.96-13.74"/>
    <n v="7.3567"/>
    <n v="13.74"/>
    <n v="0.96"/>
    <n v="6.39"/>
    <n v="7.3567"/>
    <x v="1"/>
  </r>
  <r>
    <x v="13"/>
    <x v="112"/>
    <x v="4"/>
    <s v="1.78-15.98"/>
    <n v="8.6577000000000002"/>
    <n v="15.98"/>
    <n v="1.78"/>
    <n v="7.1"/>
    <n v="8.6577000000000002"/>
    <x v="2"/>
  </r>
  <r>
    <x v="13"/>
    <x v="73"/>
    <x v="4"/>
    <s v="5.89-18.57"/>
    <n v="11.382"/>
    <n v="18.57"/>
    <n v="5.89"/>
    <n v="6.34"/>
    <n v="11.382"/>
    <x v="3"/>
  </r>
  <r>
    <x v="13"/>
    <x v="74"/>
    <x v="4"/>
    <s v="2.60-15.36"/>
    <n v="8.5595999999999997"/>
    <n v="15.36"/>
    <n v="2.6"/>
    <n v="6.38"/>
    <n v="8.5595999999999997"/>
    <x v="4"/>
  </r>
  <r>
    <x v="13"/>
    <x v="75"/>
    <x v="4"/>
    <s v="5.53-17.29"/>
    <n v="11.0418"/>
    <n v="17.29"/>
    <n v="5.53"/>
    <n v="5.88"/>
    <n v="11.0418"/>
    <x v="5"/>
  </r>
  <r>
    <x v="13"/>
    <x v="76"/>
    <x v="4"/>
    <s v="3.89-15.61"/>
    <n v="8.9030000000000005"/>
    <n v="15.61"/>
    <n v="3.89"/>
    <n v="5.86"/>
    <n v="8.9030000000000005"/>
    <x v="6"/>
  </r>
  <r>
    <x v="13"/>
    <x v="138"/>
    <x v="4"/>
    <s v="2.80-14.02"/>
    <n v="7.4587000000000003"/>
    <n v="14.02"/>
    <n v="2.8"/>
    <n v="5.61"/>
    <n v="7.4587000000000003"/>
    <x v="7"/>
  </r>
  <r>
    <x v="13"/>
    <x v="78"/>
    <x v="4"/>
    <s v="4.51-17.33"/>
    <n v="10.0793"/>
    <n v="17.329999999999998"/>
    <n v="4.51"/>
    <n v="6.41"/>
    <n v="10.0793"/>
    <x v="8"/>
  </r>
  <r>
    <x v="13"/>
    <x v="79"/>
    <x v="4"/>
    <s v="1.88-12.32"/>
    <n v="7.1037999999999997"/>
    <n v="12.32"/>
    <n v="1.88"/>
    <n v="5.22"/>
    <n v="7.1037999999999997"/>
    <x v="9"/>
  </r>
  <r>
    <x v="13"/>
    <x v="80"/>
    <x v="5"/>
    <s v="3.00-13.62"/>
    <n v="8.2799999999999994"/>
    <n v="13.62"/>
    <n v="3"/>
    <n v="5.31"/>
    <n v="8.31"/>
    <x v="0"/>
  </r>
  <r>
    <x v="13"/>
    <x v="81"/>
    <x v="5"/>
    <s v="5.42-12.46"/>
    <n v="8.91"/>
    <n v="12.46"/>
    <n v="5.42"/>
    <n v="3.52"/>
    <n v="8.94"/>
    <x v="1"/>
  </r>
  <r>
    <x v="13"/>
    <x v="82"/>
    <x v="5"/>
    <s v="4.80-13.36"/>
    <n v="9.11"/>
    <n v="13.36"/>
    <n v="4.8"/>
    <n v="4.28"/>
    <n v="9.08"/>
    <x v="2"/>
  </r>
  <r>
    <x v="13"/>
    <x v="83"/>
    <x v="5"/>
    <s v="4.43-12.75"/>
    <n v="8.64"/>
    <n v="12.75"/>
    <n v="4.43"/>
    <n v="4.16"/>
    <n v="8.59"/>
    <x v="3"/>
  </r>
  <r>
    <x v="13"/>
    <x v="84"/>
    <x v="5"/>
    <s v="4.61-12.29"/>
    <n v="8.51"/>
    <n v="12.29"/>
    <n v="4.6100000000000003"/>
    <n v="3.84"/>
    <n v="8.4499999999999993"/>
    <x v="4"/>
  </r>
  <r>
    <x v="13"/>
    <x v="85"/>
    <x v="5"/>
    <s v="3.94-14.58"/>
    <n v="9.3000000000000007"/>
    <n v="14.58"/>
    <n v="3.94"/>
    <n v="5.32"/>
    <n v="9.26"/>
    <x v="5"/>
  </r>
  <r>
    <x v="13"/>
    <x v="86"/>
    <x v="5"/>
    <s v="5.67-13.21"/>
    <n v="9.4"/>
    <n v="13.21"/>
    <n v="5.67"/>
    <n v="3.77"/>
    <n v="9.44"/>
    <x v="6"/>
  </r>
  <r>
    <x v="13"/>
    <x v="87"/>
    <x v="5"/>
    <s v="3.98-12.22"/>
    <n v="8.11"/>
    <n v="12.22"/>
    <n v="3.98"/>
    <n v="4.12"/>
    <n v="8.1"/>
    <x v="7"/>
  </r>
  <r>
    <x v="13"/>
    <x v="88"/>
    <x v="5"/>
    <s v="2.74-11.74"/>
    <n v="7.19"/>
    <n v="11.74"/>
    <n v="2.74"/>
    <n v="4.5"/>
    <n v="7.24"/>
    <x v="8"/>
  </r>
  <r>
    <x v="13"/>
    <x v="89"/>
    <x v="5"/>
    <s v="5.61-13.09"/>
    <n v="9.34"/>
    <n v="13.09"/>
    <n v="5.61"/>
    <n v="3.74"/>
    <n v="9.35"/>
    <x v="9"/>
  </r>
  <r>
    <x v="14"/>
    <x v="1"/>
    <x v="0"/>
    <s v="7.79-21.93"/>
    <n v="15.89"/>
    <n v="21.93"/>
    <n v="7.79"/>
    <n v="7.07"/>
    <n v="14.86"/>
    <x v="0"/>
  </r>
  <r>
    <x v="14"/>
    <x v="2"/>
    <x v="0"/>
    <s v="2.10-10.24"/>
    <n v="7.13"/>
    <n v="10.24"/>
    <n v="2.1"/>
    <n v="4.07"/>
    <n v="6.17"/>
    <x v="0"/>
  </r>
  <r>
    <x v="14"/>
    <x v="3"/>
    <x v="0"/>
    <s v="6.30-24.70"/>
    <n v="18.079999999999998"/>
    <n v="24.7"/>
    <n v="6.3"/>
    <n v="9.1999999999999993"/>
    <n v="15.5"/>
    <x v="1"/>
  </r>
  <r>
    <x v="14"/>
    <x v="4"/>
    <x v="0"/>
    <s v="8.83-21.27"/>
    <n v="16.420000000000002"/>
    <n v="21.27"/>
    <n v="8.83"/>
    <n v="6.22"/>
    <n v="15.05"/>
    <x v="1"/>
  </r>
  <r>
    <x v="14"/>
    <x v="5"/>
    <x v="0"/>
    <s v="5.43-16.71"/>
    <n v="12.7"/>
    <n v="16.71"/>
    <n v="5.43"/>
    <n v="5.64"/>
    <n v="11.07"/>
    <x v="1"/>
  </r>
  <r>
    <x v="14"/>
    <x v="6"/>
    <x v="0"/>
    <s v="6.11-24.55"/>
    <n v="17.03"/>
    <n v="24.55"/>
    <n v="6.11"/>
    <n v="9.2200000000000006"/>
    <n v="15.33"/>
    <x v="2"/>
  </r>
  <r>
    <x v="14"/>
    <x v="7"/>
    <x v="0"/>
    <s v="5.11-20.31"/>
    <n v="13.92"/>
    <n v="20.309999999999999"/>
    <n v="5.1100000000000003"/>
    <n v="7.6"/>
    <n v="12.71"/>
    <x v="2"/>
  </r>
  <r>
    <x v="14"/>
    <x v="8"/>
    <x v="0"/>
    <s v="6.83-22.05"/>
    <n v="16.5"/>
    <n v="22.05"/>
    <n v="6.83"/>
    <n v="7.61"/>
    <n v="14.44"/>
    <x v="3"/>
  </r>
  <r>
    <x v="14"/>
    <x v="10"/>
    <x v="0"/>
    <s v="3.13-13.63"/>
    <n v="9.15"/>
    <n v="13.63"/>
    <n v="3.13"/>
    <n v="5.25"/>
    <n v="8.3800000000000008"/>
    <x v="3"/>
  </r>
  <r>
    <x v="14"/>
    <x v="11"/>
    <x v="0"/>
    <s v="7.34-23.32"/>
    <n v="16.72"/>
    <n v="23.32"/>
    <n v="7.34"/>
    <n v="7.99"/>
    <n v="15.33"/>
    <x v="4"/>
  </r>
  <r>
    <x v="14"/>
    <x v="12"/>
    <x v="0"/>
    <s v="6.64-20.06"/>
    <n v="15.65"/>
    <n v="20.059999999999999"/>
    <n v="6.64"/>
    <n v="6.71"/>
    <n v="13.35"/>
    <x v="4"/>
  </r>
  <r>
    <x v="14"/>
    <x v="13"/>
    <x v="0"/>
    <s v="1.12-17.58"/>
    <n v="10.65"/>
    <n v="17.579999999999998"/>
    <n v="1.1200000000000001"/>
    <n v="8.23"/>
    <n v="9.35"/>
    <x v="4"/>
  </r>
  <r>
    <x v="14"/>
    <x v="15"/>
    <x v="0"/>
    <s v="9.23-26.79"/>
    <n v="20.69"/>
    <n v="26.79"/>
    <n v="9.23"/>
    <n v="8.7799999999999994"/>
    <n v="18.010000000000002"/>
    <x v="5"/>
  </r>
  <r>
    <x v="14"/>
    <x v="14"/>
    <x v="0"/>
    <s v="1.10-16.30"/>
    <n v="10.19"/>
    <n v="16.3"/>
    <n v="1.1000000000000001"/>
    <n v="7.6"/>
    <n v="8.6999999999999993"/>
    <x v="5"/>
  </r>
  <r>
    <x v="14"/>
    <x v="16"/>
    <x v="0"/>
    <s v="7.96-22.42"/>
    <n v="17.47"/>
    <n v="22.42"/>
    <n v="7.96"/>
    <n v="7.23"/>
    <n v="15.19"/>
    <x v="6"/>
  </r>
  <r>
    <x v="14"/>
    <x v="121"/>
    <x v="0"/>
    <s v="3.74-19.90"/>
    <n v="13.31"/>
    <n v="19.899999999999999"/>
    <n v="3.74"/>
    <n v="8.08"/>
    <n v="11.82"/>
    <x v="6"/>
  </r>
  <r>
    <x v="14"/>
    <x v="17"/>
    <x v="0"/>
    <s v="2.78-13.24"/>
    <n v="8.5"/>
    <n v="13.24"/>
    <n v="2.78"/>
    <n v="5.23"/>
    <n v="8.01"/>
    <x v="6"/>
  </r>
  <r>
    <x v="14"/>
    <x v="19"/>
    <x v="0"/>
    <s v="5.48-21.92"/>
    <n v="14.78"/>
    <n v="21.92"/>
    <n v="5.48"/>
    <n v="8.2200000000000006"/>
    <n v="13.7"/>
    <x v="7"/>
  </r>
  <r>
    <x v="14"/>
    <x v="20"/>
    <x v="0"/>
    <s v="3.83-14.47"/>
    <n v="10.39"/>
    <n v="14.47"/>
    <n v="3.83"/>
    <n v="5.32"/>
    <n v="9.15"/>
    <x v="7"/>
  </r>
  <r>
    <x v="14"/>
    <x v="21"/>
    <x v="0"/>
    <s v="3.82-17.72"/>
    <n v="13.09"/>
    <n v="17.72"/>
    <n v="3.82"/>
    <n v="6.95"/>
    <n v="10.77"/>
    <x v="8"/>
  </r>
  <r>
    <x v="14"/>
    <x v="92"/>
    <x v="0"/>
    <s v="3.56-12.60"/>
    <n v="9.02"/>
    <n v="12.6"/>
    <n v="3.56"/>
    <n v="4.5199999999999996"/>
    <n v="8.08"/>
    <x v="8"/>
  </r>
  <r>
    <x v="14"/>
    <x v="22"/>
    <x v="0"/>
    <s v="-0.38-15.52"/>
    <n v="8.91"/>
    <n v="15.52"/>
    <n v="-0.38"/>
    <n v="7.95"/>
    <n v="7.57"/>
    <x v="8"/>
  </r>
  <r>
    <x v="14"/>
    <x v="23"/>
    <x v="0"/>
    <s v="4.53-24.17"/>
    <n v="15.51"/>
    <n v="24.17"/>
    <n v="4.53"/>
    <n v="9.82"/>
    <n v="14.35"/>
    <x v="9"/>
  </r>
  <r>
    <x v="14"/>
    <x v="25"/>
    <x v="0"/>
    <s v="4.82-19.28"/>
    <n v="13.32"/>
    <n v="19.28"/>
    <n v="4.82"/>
    <n v="7.23"/>
    <n v="12.05"/>
    <x v="9"/>
  </r>
  <r>
    <x v="14"/>
    <x v="105"/>
    <x v="0"/>
    <s v="2.90-18.68"/>
    <n v="11.85"/>
    <n v="18.68"/>
    <n v="2.9"/>
    <n v="7.89"/>
    <n v="10.79"/>
    <x v="9"/>
  </r>
  <r>
    <x v="14"/>
    <x v="26"/>
    <x v="1"/>
    <s v="6.13-22.01"/>
    <n v="17.329999999999998"/>
    <n v="22.01"/>
    <n v="6.13"/>
    <n v="7.94"/>
    <n v="14.07"/>
    <x v="0"/>
  </r>
  <r>
    <x v="14"/>
    <x v="27"/>
    <x v="1"/>
    <s v="3.33-15.93"/>
    <n v="12.18"/>
    <n v="15.93"/>
    <n v="3.33"/>
    <n v="6.3"/>
    <n v="9.6300000000000008"/>
    <x v="0"/>
  </r>
  <r>
    <x v="14"/>
    <x v="93"/>
    <x v="1"/>
    <s v="3.05-13.99"/>
    <n v="10.62"/>
    <n v="13.99"/>
    <n v="3.05"/>
    <n v="5.47"/>
    <n v="8.52"/>
    <x v="0"/>
  </r>
  <r>
    <x v="14"/>
    <x v="28"/>
    <x v="1"/>
    <s v="4.88-17.10"/>
    <n v="13.89"/>
    <n v="17.100000000000001"/>
    <n v="4.88"/>
    <n v="6.11"/>
    <n v="10.99"/>
    <x v="1"/>
  </r>
  <r>
    <x v="14"/>
    <x v="106"/>
    <x v="1"/>
    <s v="4.44-14.42"/>
    <n v="12.73"/>
    <n v="14.42"/>
    <n v="4.4400000000000004"/>
    <n v="4.99"/>
    <n v="9.43"/>
    <x v="1"/>
  </r>
  <r>
    <x v="14"/>
    <x v="30"/>
    <x v="1"/>
    <s v="4.85-18.07"/>
    <n v="14.13"/>
    <n v="18.07"/>
    <n v="4.8499999999999996"/>
    <n v="6.61"/>
    <n v="11.46"/>
    <x v="2"/>
  </r>
  <r>
    <x v="14"/>
    <x v="31"/>
    <x v="1"/>
    <s v="3.44-15.06"/>
    <n v="11.38"/>
    <n v="15.06"/>
    <n v="3.44"/>
    <n v="5.81"/>
    <n v="9.25"/>
    <x v="2"/>
  </r>
  <r>
    <x v="14"/>
    <x v="32"/>
    <x v="1"/>
    <s v="2.80-12.34"/>
    <n v="9.5"/>
    <n v="12.34"/>
    <n v="2.8"/>
    <n v="4.7699999999999996"/>
    <n v="7.57"/>
    <x v="2"/>
  </r>
  <r>
    <x v="14"/>
    <x v="33"/>
    <x v="1"/>
    <s v="5.31-18.05"/>
    <n v="14.66"/>
    <n v="18.05"/>
    <n v="5.31"/>
    <n v="6.37"/>
    <n v="11.68"/>
    <x v="3"/>
  </r>
  <r>
    <x v="14"/>
    <x v="34"/>
    <x v="1"/>
    <s v="3.17-15.53"/>
    <n v="11.94"/>
    <n v="15.53"/>
    <n v="3.17"/>
    <n v="6.18"/>
    <n v="9.35"/>
    <x v="3"/>
  </r>
  <r>
    <x v="14"/>
    <x v="107"/>
    <x v="1"/>
    <s v="1.10-17.26"/>
    <n v="11.96"/>
    <n v="17.260000000000002"/>
    <n v="1.1000000000000001"/>
    <n v="8.08"/>
    <n v="9.18"/>
    <x v="3"/>
  </r>
  <r>
    <x v="14"/>
    <x v="35"/>
    <x v="1"/>
    <s v="3.92-16.06"/>
    <n v="13.23"/>
    <n v="16.059999999999999"/>
    <n v="3.92"/>
    <n v="6.07"/>
    <n v="9.99"/>
    <x v="4"/>
  </r>
  <r>
    <x v="14"/>
    <x v="36"/>
    <x v="1"/>
    <s v="3.44-16.42"/>
    <n v="12.67"/>
    <n v="16.420000000000002"/>
    <n v="3.44"/>
    <n v="6.49"/>
    <n v="9.93"/>
    <x v="4"/>
  </r>
  <r>
    <x v="14"/>
    <x v="37"/>
    <x v="1"/>
    <s v="4.74-18.86"/>
    <n v="14.72"/>
    <n v="18.86"/>
    <n v="4.74"/>
    <n v="7.06"/>
    <n v="11.8"/>
    <x v="5"/>
  </r>
  <r>
    <x v="14"/>
    <x v="38"/>
    <x v="1"/>
    <s v="5.25-14.85"/>
    <n v="12.72"/>
    <n v="14.85"/>
    <n v="5.25"/>
    <n v="4.8"/>
    <n v="10.050000000000001"/>
    <x v="5"/>
  </r>
  <r>
    <x v="14"/>
    <x v="96"/>
    <x v="1"/>
    <s v="0.84-13.66"/>
    <n v="9.83"/>
    <n v="13.66"/>
    <n v="0.84"/>
    <n v="6.41"/>
    <n v="7.25"/>
    <x v="5"/>
  </r>
  <r>
    <x v="14"/>
    <x v="97"/>
    <x v="1"/>
    <s v="1.88-12.66"/>
    <n v="10.09"/>
    <n v="12.66"/>
    <n v="1.88"/>
    <n v="5.39"/>
    <n v="7.27"/>
    <x v="6"/>
  </r>
  <r>
    <x v="14"/>
    <x v="39"/>
    <x v="1"/>
    <s v="2.20-12.20"/>
    <n v="10.31"/>
    <n v="12.2"/>
    <n v="2.2000000000000002"/>
    <n v="5"/>
    <n v="7.2"/>
    <x v="6"/>
  </r>
  <r>
    <x v="14"/>
    <x v="43"/>
    <x v="1"/>
    <s v="6.69-23.65"/>
    <n v="18.41"/>
    <n v="23.65"/>
    <n v="6.69"/>
    <n v="8.48"/>
    <n v="15.17"/>
    <x v="7"/>
  </r>
  <r>
    <x v="14"/>
    <x v="42"/>
    <x v="1"/>
    <s v="3.32-21.02"/>
    <n v="15.12"/>
    <n v="21.02"/>
    <n v="3.32"/>
    <n v="8.85"/>
    <n v="12.17"/>
    <x v="7"/>
  </r>
  <r>
    <x v="14"/>
    <x v="41"/>
    <x v="1"/>
    <s v="3.74-16.24"/>
    <n v="12.44"/>
    <n v="16.239999999999998"/>
    <n v="3.74"/>
    <n v="6.25"/>
    <n v="9.99"/>
    <x v="7"/>
  </r>
  <r>
    <x v="14"/>
    <x v="44"/>
    <x v="1"/>
    <s v="3.02-14.68"/>
    <n v="11.34"/>
    <n v="14.68"/>
    <n v="3.02"/>
    <n v="5.83"/>
    <n v="8.85"/>
    <x v="8"/>
  </r>
  <r>
    <x v="14"/>
    <x v="157"/>
    <x v="1"/>
    <s v="2.01-12.03"/>
    <n v="8.85"/>
    <n v="12.03"/>
    <n v="2.0099999999999998"/>
    <n v="5.01"/>
    <n v="7.02"/>
    <x v="8"/>
  </r>
  <r>
    <x v="14"/>
    <x v="47"/>
    <x v="1"/>
    <s v="4.38-16.40"/>
    <n v="12.69"/>
    <n v="16.399999999999999"/>
    <n v="4.38"/>
    <n v="6.01"/>
    <n v="10.39"/>
    <x v="9"/>
  </r>
  <r>
    <x v="14"/>
    <x v="98"/>
    <x v="1"/>
    <s v="3.05-15.03"/>
    <n v="11.58"/>
    <n v="15.03"/>
    <n v="3.05"/>
    <n v="5.99"/>
    <n v="9.0399999999999991"/>
    <x v="9"/>
  </r>
  <r>
    <x v="14"/>
    <x v="49"/>
    <x v="2"/>
    <s v="12.14-26.36"/>
    <n v="20.14"/>
    <n v="26.36"/>
    <n v="12.14"/>
    <n v="7.11"/>
    <n v="19.25"/>
    <x v="0"/>
  </r>
  <r>
    <x v="14"/>
    <x v="50"/>
    <x v="2"/>
    <s v="9.48-23.88"/>
    <n v="17.43"/>
    <n v="23.88"/>
    <n v="9.48"/>
    <n v="7.2"/>
    <n v="16.68"/>
    <x v="1"/>
  </r>
  <r>
    <x v="14"/>
    <x v="110"/>
    <x v="2"/>
    <s v="10.81-27.05"/>
    <n v="19.829999999999998"/>
    <n v="27.05"/>
    <n v="10.81"/>
    <n v="8.1199999999999992"/>
    <n v="18.93"/>
    <x v="2"/>
  </r>
  <r>
    <x v="14"/>
    <x v="52"/>
    <x v="2"/>
    <s v="12.44-24.60"/>
    <n v="19.36"/>
    <n v="24.6"/>
    <n v="12.44"/>
    <n v="6.08"/>
    <n v="18.52"/>
    <x v="3"/>
  </r>
  <r>
    <x v="14"/>
    <x v="100"/>
    <x v="2"/>
    <s v="10.33-22.21"/>
    <n v="17.03"/>
    <n v="22.21"/>
    <n v="10.33"/>
    <n v="5.94"/>
    <n v="16.27"/>
    <x v="4"/>
  </r>
  <r>
    <x v="14"/>
    <x v="54"/>
    <x v="2"/>
    <s v="12.65-25.85"/>
    <n v="20.010000000000002"/>
    <n v="25.85"/>
    <n v="12.65"/>
    <n v="6.6"/>
    <n v="19.25"/>
    <x v="5"/>
  </r>
  <r>
    <x v="14"/>
    <x v="55"/>
    <x v="2"/>
    <s v="12.44-24.96"/>
    <n v="19.55"/>
    <n v="24.96"/>
    <n v="12.44"/>
    <n v="6.26"/>
    <n v="18.7"/>
    <x v="6"/>
  </r>
  <r>
    <x v="14"/>
    <x v="56"/>
    <x v="2"/>
    <s v="13.18-30.62"/>
    <n v="22.42"/>
    <n v="30.62"/>
    <n v="13.18"/>
    <n v="8.7200000000000006"/>
    <n v="21.9"/>
    <x v="7"/>
  </r>
  <r>
    <x v="14"/>
    <x v="57"/>
    <x v="2"/>
    <s v="10.62-27.16"/>
    <n v="19.62"/>
    <n v="27.16"/>
    <n v="10.62"/>
    <n v="8.27"/>
    <n v="18.89"/>
    <x v="8"/>
  </r>
  <r>
    <x v="14"/>
    <x v="58"/>
    <x v="2"/>
    <s v="11.96-30.16"/>
    <n v="21.62"/>
    <n v="30.16"/>
    <n v="11.96"/>
    <n v="9.1"/>
    <n v="21.06"/>
    <x v="9"/>
  </r>
  <r>
    <x v="14"/>
    <x v="102"/>
    <x v="3"/>
    <s v="-0.21-9.19"/>
    <n v="6.18"/>
    <n v="9.19"/>
    <n v="-0.21"/>
    <n v="4.7"/>
    <n v="4.49"/>
    <x v="0"/>
  </r>
  <r>
    <x v="14"/>
    <x v="60"/>
    <x v="3"/>
    <s v="2.13-13.11"/>
    <n v="10.18"/>
    <n v="13.11"/>
    <n v="2.13"/>
    <n v="5.49"/>
    <n v="7.62"/>
    <x v="1"/>
  </r>
  <r>
    <x v="14"/>
    <x v="61"/>
    <x v="3"/>
    <s v="0.32-8.06"/>
    <n v="5.61"/>
    <n v="8.06"/>
    <n v="0.32"/>
    <n v="3.87"/>
    <n v="4.1900000000000004"/>
    <x v="2"/>
  </r>
  <r>
    <x v="14"/>
    <x v="62"/>
    <x v="3"/>
    <s v="3.55-15.59"/>
    <n v="12.37"/>
    <n v="15.59"/>
    <n v="3.55"/>
    <n v="6.02"/>
    <n v="9.57"/>
    <x v="3"/>
  </r>
  <r>
    <x v="14"/>
    <x v="124"/>
    <x v="3"/>
    <s v="1.33-7.83"/>
    <n v="6.05"/>
    <n v="7.83"/>
    <n v="1.33"/>
    <n v="3.25"/>
    <n v="4.58"/>
    <x v="4"/>
  </r>
  <r>
    <x v="14"/>
    <x v="65"/>
    <x v="3"/>
    <s v="1.38-12.64"/>
    <n v="8.8000000000000007"/>
    <n v="12.64"/>
    <n v="1.38"/>
    <n v="5.63"/>
    <n v="7.01"/>
    <x v="5"/>
  </r>
  <r>
    <x v="14"/>
    <x v="66"/>
    <x v="3"/>
    <s v="3.20-15.48"/>
    <n v="11.5"/>
    <n v="15.48"/>
    <n v="3.2"/>
    <n v="6.14"/>
    <n v="9.34"/>
    <x v="6"/>
  </r>
  <r>
    <x v="14"/>
    <x v="67"/>
    <x v="3"/>
    <s v="1.63-13.43"/>
    <n v="9.85"/>
    <n v="13.43"/>
    <n v="1.63"/>
    <n v="5.9"/>
    <n v="7.53"/>
    <x v="7"/>
  </r>
  <r>
    <x v="14"/>
    <x v="68"/>
    <x v="3"/>
    <s v="3.36-13.42"/>
    <n v="10.93"/>
    <n v="13.42"/>
    <n v="3.36"/>
    <n v="5.03"/>
    <n v="8.39"/>
    <x v="8"/>
  </r>
  <r>
    <x v="14"/>
    <x v="69"/>
    <x v="3"/>
    <s v="1.02-10.38"/>
    <n v="7.89"/>
    <n v="10.38"/>
    <n v="1.02"/>
    <n v="4.68"/>
    <n v="5.7"/>
    <x v="9"/>
  </r>
  <r>
    <x v="14"/>
    <x v="70"/>
    <x v="4"/>
    <s v="5.40-18.56"/>
    <n v="11.6046"/>
    <n v="18.559999999999999"/>
    <n v="5.4"/>
    <n v="6.58"/>
    <n v="11.6046"/>
    <x v="0"/>
  </r>
  <r>
    <x v="14"/>
    <x v="71"/>
    <x v="4"/>
    <s v="2.44-13.84"/>
    <n v="7.2840999999999996"/>
    <n v="13.84"/>
    <n v="2.44"/>
    <n v="5.7"/>
    <n v="7.2840999999999996"/>
    <x v="1"/>
  </r>
  <r>
    <x v="14"/>
    <x v="72"/>
    <x v="4"/>
    <s v="0.52-12.98"/>
    <n v="6.4009999999999998"/>
    <n v="12.98"/>
    <n v="0.52"/>
    <n v="6.23"/>
    <n v="6.4009999999999998"/>
    <x v="2"/>
  </r>
  <r>
    <x v="14"/>
    <x v="73"/>
    <x v="4"/>
    <s v="0.35-8.41"/>
    <n v="4.2603"/>
    <n v="8.41"/>
    <n v="0.35"/>
    <n v="4.03"/>
    <n v="4.2603"/>
    <x v="3"/>
  </r>
  <r>
    <x v="14"/>
    <x v="74"/>
    <x v="4"/>
    <s v="3.00-15.18"/>
    <n v="8.8172999999999995"/>
    <n v="15.18"/>
    <n v="3"/>
    <n v="6.09"/>
    <n v="8.8172999999999995"/>
    <x v="4"/>
  </r>
  <r>
    <x v="14"/>
    <x v="75"/>
    <x v="4"/>
    <s v="1.81-17.09"/>
    <n v="9.3340999999999994"/>
    <n v="17.09"/>
    <n v="1.81"/>
    <n v="7.64"/>
    <n v="9.3340999999999994"/>
    <x v="5"/>
  </r>
  <r>
    <x v="14"/>
    <x v="113"/>
    <x v="4"/>
    <s v="3.54-13.90"/>
    <n v="8.3607999999999993"/>
    <n v="13.9"/>
    <n v="3.54"/>
    <n v="5.18"/>
    <n v="8.3607999999999993"/>
    <x v="6"/>
  </r>
  <r>
    <x v="14"/>
    <x v="138"/>
    <x v="4"/>
    <s v="4.20-14.48"/>
    <n v="8.9821000000000009"/>
    <n v="14.48"/>
    <n v="4.2"/>
    <n v="5.14"/>
    <n v="8.9821000000000009"/>
    <x v="7"/>
  </r>
  <r>
    <x v="14"/>
    <x v="78"/>
    <x v="4"/>
    <s v="6.88-20.86"/>
    <n v="13.495699999999999"/>
    <n v="20.86"/>
    <n v="6.88"/>
    <n v="6.99"/>
    <n v="13.495699999999999"/>
    <x v="8"/>
  </r>
  <r>
    <x v="14"/>
    <x v="79"/>
    <x v="4"/>
    <s v="2.37-15.67"/>
    <n v="9.0165000000000006"/>
    <n v="15.67"/>
    <n v="2.37"/>
    <n v="6.65"/>
    <n v="9.0165000000000006"/>
    <x v="9"/>
  </r>
  <r>
    <x v="14"/>
    <x v="80"/>
    <x v="5"/>
    <s v="4.91-14.53"/>
    <n v="9.69"/>
    <n v="14.53"/>
    <n v="4.91"/>
    <n v="4.8099999999999996"/>
    <n v="9.7200000000000006"/>
    <x v="0"/>
  </r>
  <r>
    <x v="14"/>
    <x v="81"/>
    <x v="5"/>
    <s v="4.03-11.65"/>
    <n v="7.87"/>
    <n v="11.65"/>
    <n v="4.03"/>
    <n v="3.81"/>
    <n v="7.84"/>
    <x v="1"/>
  </r>
  <r>
    <x v="14"/>
    <x v="82"/>
    <x v="5"/>
    <s v="3.58-13.30"/>
    <n v="8.41"/>
    <n v="13.3"/>
    <n v="3.58"/>
    <n v="4.8600000000000003"/>
    <n v="8.44"/>
    <x v="2"/>
  </r>
  <r>
    <x v="14"/>
    <x v="83"/>
    <x v="5"/>
    <s v="5.32-11.50"/>
    <n v="8.4"/>
    <n v="11.5"/>
    <n v="5.32"/>
    <n v="3.09"/>
    <n v="8.41"/>
    <x v="3"/>
  </r>
  <r>
    <x v="14"/>
    <x v="84"/>
    <x v="5"/>
    <s v="5.55-13.45"/>
    <n v="9.5299999999999994"/>
    <n v="13.45"/>
    <n v="5.55"/>
    <n v="3.95"/>
    <n v="9.5"/>
    <x v="4"/>
  </r>
  <r>
    <x v="14"/>
    <x v="85"/>
    <x v="5"/>
    <s v="4.28-15.40"/>
    <n v="9.89"/>
    <n v="15.4"/>
    <n v="4.28"/>
    <n v="5.56"/>
    <n v="9.84"/>
    <x v="5"/>
  </r>
  <r>
    <x v="14"/>
    <x v="86"/>
    <x v="5"/>
    <s v="5.05-13.95"/>
    <n v="9.4700000000000006"/>
    <n v="13.95"/>
    <n v="5.05"/>
    <n v="4.45"/>
    <n v="9.5"/>
    <x v="6"/>
  </r>
  <r>
    <x v="14"/>
    <x v="87"/>
    <x v="5"/>
    <s v="4.16-12.64"/>
    <n v="8.3699999999999992"/>
    <n v="12.64"/>
    <n v="4.16"/>
    <n v="4.24"/>
    <n v="8.4"/>
    <x v="7"/>
  </r>
  <r>
    <x v="14"/>
    <x v="88"/>
    <x v="5"/>
    <s v="3.05-13.11"/>
    <n v="8.09"/>
    <n v="13.11"/>
    <n v="3.05"/>
    <n v="5.03"/>
    <n v="8.08"/>
    <x v="8"/>
  </r>
  <r>
    <x v="14"/>
    <x v="89"/>
    <x v="5"/>
    <s v="5.70-13.78"/>
    <n v="9.6999999999999993"/>
    <n v="13.78"/>
    <n v="5.7"/>
    <n v="4.04"/>
    <n v="9.74"/>
    <x v="9"/>
  </r>
  <r>
    <x v="15"/>
    <x v="1"/>
    <x v="0"/>
    <s v="4.98-22.38"/>
    <n v="14.86"/>
    <n v="22.38"/>
    <n v="4.9800000000000004"/>
    <n v="8.6999999999999993"/>
    <n v="13.68"/>
    <x v="0"/>
  </r>
  <r>
    <x v="15"/>
    <x v="2"/>
    <x v="0"/>
    <s v="4.48-15.44"/>
    <n v="11.01"/>
    <n v="15.44"/>
    <n v="4.4800000000000004"/>
    <n v="5.48"/>
    <n v="9.9600000000000009"/>
    <x v="0"/>
  </r>
  <r>
    <x v="15"/>
    <x v="3"/>
    <x v="0"/>
    <s v="6.35-25.81"/>
    <n v="18.46"/>
    <n v="25.81"/>
    <n v="6.35"/>
    <n v="9.73"/>
    <n v="16.079999999999998"/>
    <x v="1"/>
  </r>
  <r>
    <x v="15"/>
    <x v="4"/>
    <x v="0"/>
    <s v="7.53-19.93"/>
    <n v="15.2"/>
    <n v="19.93"/>
    <n v="7.53"/>
    <n v="6.2"/>
    <n v="13.73"/>
    <x v="1"/>
  </r>
  <r>
    <x v="15"/>
    <x v="5"/>
    <x v="0"/>
    <s v="4.33-16.09"/>
    <n v="11.57"/>
    <n v="16.09"/>
    <n v="4.33"/>
    <n v="5.88"/>
    <n v="10.210000000000001"/>
    <x v="1"/>
  </r>
  <r>
    <x v="15"/>
    <x v="6"/>
    <x v="0"/>
    <s v="6.13-20.43"/>
    <n v="15.1"/>
    <n v="20.43"/>
    <n v="6.13"/>
    <n v="7.15"/>
    <n v="13.28"/>
    <x v="2"/>
  </r>
  <r>
    <x v="15"/>
    <x v="7"/>
    <x v="0"/>
    <s v="2.92-20.20"/>
    <n v="12.7"/>
    <n v="20.2"/>
    <n v="2.92"/>
    <n v="8.64"/>
    <n v="11.56"/>
    <x v="2"/>
  </r>
  <r>
    <x v="15"/>
    <x v="8"/>
    <x v="0"/>
    <s v="5.93-21.95"/>
    <n v="16.37"/>
    <n v="21.95"/>
    <n v="5.93"/>
    <n v="8.01"/>
    <n v="13.94"/>
    <x v="3"/>
  </r>
  <r>
    <x v="15"/>
    <x v="10"/>
    <x v="0"/>
    <s v="4.51-15.51"/>
    <n v="10.69"/>
    <n v="15.51"/>
    <n v="4.51"/>
    <n v="5.5"/>
    <n v="10.01"/>
    <x v="3"/>
  </r>
  <r>
    <x v="15"/>
    <x v="9"/>
    <x v="0"/>
    <s v="3.55-13.49"/>
    <n v="10.029999999999999"/>
    <n v="13.49"/>
    <n v="3.55"/>
    <n v="4.97"/>
    <n v="8.52"/>
    <x v="3"/>
  </r>
  <r>
    <x v="15"/>
    <x v="11"/>
    <x v="0"/>
    <s v="8.45-28.65"/>
    <n v="19.850000000000001"/>
    <n v="28.65"/>
    <n v="8.4499999999999993"/>
    <n v="10.1"/>
    <n v="18.55"/>
    <x v="4"/>
  </r>
  <r>
    <x v="15"/>
    <x v="12"/>
    <x v="0"/>
    <s v="6.98-19.66"/>
    <n v="15.66"/>
    <n v="19.66"/>
    <n v="6.98"/>
    <n v="6.34"/>
    <n v="13.32"/>
    <x v="4"/>
  </r>
  <r>
    <x v="15"/>
    <x v="13"/>
    <x v="0"/>
    <s v="2.10-18.14"/>
    <n v="11.46"/>
    <n v="18.14"/>
    <n v="2.1"/>
    <n v="8.02"/>
    <n v="10.119999999999999"/>
    <x v="4"/>
  </r>
  <r>
    <x v="15"/>
    <x v="15"/>
    <x v="0"/>
    <s v="9.10-26.24"/>
    <n v="20.16"/>
    <n v="26.24"/>
    <n v="9.1"/>
    <n v="8.57"/>
    <n v="17.670000000000002"/>
    <x v="5"/>
  </r>
  <r>
    <x v="15"/>
    <x v="14"/>
    <x v="0"/>
    <s v="1.88-15.12"/>
    <n v="9.7799999999999994"/>
    <n v="15.12"/>
    <n v="1.88"/>
    <n v="6.62"/>
    <n v="8.5"/>
    <x v="5"/>
  </r>
  <r>
    <x v="15"/>
    <x v="16"/>
    <x v="0"/>
    <s v="5.84-21.66"/>
    <n v="15.89"/>
    <n v="21.66"/>
    <n v="5.84"/>
    <n v="7.91"/>
    <n v="13.75"/>
    <x v="6"/>
  </r>
  <r>
    <x v="15"/>
    <x v="121"/>
    <x v="0"/>
    <s v="4.53-22.07"/>
    <n v="14.73"/>
    <n v="22.07"/>
    <n v="4.53"/>
    <n v="8.77"/>
    <n v="13.3"/>
    <x v="6"/>
  </r>
  <r>
    <x v="15"/>
    <x v="17"/>
    <x v="0"/>
    <s v="3.76-15.80"/>
    <n v="10.34"/>
    <n v="15.8"/>
    <n v="3.76"/>
    <n v="6.02"/>
    <n v="9.7799999999999994"/>
    <x v="6"/>
  </r>
  <r>
    <x v="15"/>
    <x v="19"/>
    <x v="0"/>
    <s v="5.24-22.24"/>
    <n v="14.79"/>
    <n v="22.24"/>
    <n v="5.24"/>
    <n v="8.5"/>
    <n v="13.74"/>
    <x v="7"/>
  </r>
  <r>
    <x v="15"/>
    <x v="20"/>
    <x v="0"/>
    <s v="3.03-13.39"/>
    <n v="9.32"/>
    <n v="13.39"/>
    <n v="3.03"/>
    <n v="5.18"/>
    <n v="8.2100000000000009"/>
    <x v="7"/>
  </r>
  <r>
    <x v="15"/>
    <x v="21"/>
    <x v="0"/>
    <s v="6.25-20.55"/>
    <n v="15.78"/>
    <n v="20.55"/>
    <n v="6.25"/>
    <n v="7.15"/>
    <n v="13.4"/>
    <x v="8"/>
  </r>
  <r>
    <x v="15"/>
    <x v="22"/>
    <x v="0"/>
    <s v="0.15-15.67"/>
    <n v="9.31"/>
    <n v="15.67"/>
    <n v="0.15"/>
    <n v="7.76"/>
    <n v="7.91"/>
    <x v="8"/>
  </r>
  <r>
    <x v="15"/>
    <x v="92"/>
    <x v="0"/>
    <s v="2.97-12.21"/>
    <n v="8.52"/>
    <n v="12.21"/>
    <n v="2.97"/>
    <n v="4.62"/>
    <n v="7.59"/>
    <x v="8"/>
  </r>
  <r>
    <x v="15"/>
    <x v="25"/>
    <x v="0"/>
    <s v="5.45-19.25"/>
    <n v="13.87"/>
    <n v="19.25"/>
    <n v="5.45"/>
    <n v="6.9"/>
    <n v="12.35"/>
    <x v="9"/>
  </r>
  <r>
    <x v="15"/>
    <x v="23"/>
    <x v="0"/>
    <s v="4.11-17.85"/>
    <n v="12.44"/>
    <n v="17.850000000000001"/>
    <n v="4.1100000000000003"/>
    <n v="6.87"/>
    <n v="10.98"/>
    <x v="9"/>
  </r>
  <r>
    <x v="15"/>
    <x v="26"/>
    <x v="1"/>
    <s v="5.32-21.80"/>
    <n v="16.7"/>
    <n v="21.8"/>
    <n v="5.32"/>
    <n v="8.24"/>
    <n v="13.56"/>
    <x v="0"/>
  </r>
  <r>
    <x v="15"/>
    <x v="27"/>
    <x v="1"/>
    <s v="4.17-16.47"/>
    <n v="13.04"/>
    <n v="16.47"/>
    <n v="4.17"/>
    <n v="6.15"/>
    <n v="10.32"/>
    <x v="0"/>
  </r>
  <r>
    <x v="15"/>
    <x v="133"/>
    <x v="1"/>
    <s v="2.37-16.71"/>
    <n v="11.31"/>
    <n v="16.71"/>
    <n v="2.37"/>
    <n v="7.17"/>
    <n v="9.5399999999999991"/>
    <x v="0"/>
  </r>
  <r>
    <x v="15"/>
    <x v="28"/>
    <x v="1"/>
    <s v="5.26-17.42"/>
    <n v="14.28"/>
    <n v="17.420000000000002"/>
    <n v="5.26"/>
    <n v="6.08"/>
    <n v="11.34"/>
    <x v="1"/>
  </r>
  <r>
    <x v="15"/>
    <x v="106"/>
    <x v="1"/>
    <s v="4.18-13.78"/>
    <n v="12.12"/>
    <n v="13.78"/>
    <n v="4.18"/>
    <n v="4.8"/>
    <n v="8.98"/>
    <x v="1"/>
  </r>
  <r>
    <x v="15"/>
    <x v="30"/>
    <x v="1"/>
    <s v="3.88-18.04"/>
    <n v="13.74"/>
    <n v="18.04"/>
    <n v="3.88"/>
    <n v="7.08"/>
    <n v="10.96"/>
    <x v="2"/>
  </r>
  <r>
    <x v="15"/>
    <x v="31"/>
    <x v="1"/>
    <s v="2.58-16.22"/>
    <n v="11.49"/>
    <n v="16.22"/>
    <n v="2.58"/>
    <n v="6.82"/>
    <n v="9.4"/>
    <x v="2"/>
  </r>
  <r>
    <x v="15"/>
    <x v="94"/>
    <x v="1"/>
    <s v="1.28-16.86"/>
    <n v="11.31"/>
    <n v="16.86"/>
    <n v="1.28"/>
    <n v="7.79"/>
    <n v="9.07"/>
    <x v="2"/>
  </r>
  <r>
    <x v="15"/>
    <x v="33"/>
    <x v="1"/>
    <s v="6.68-18.12"/>
    <n v="15.46"/>
    <n v="18.12"/>
    <n v="6.68"/>
    <n v="5.72"/>
    <n v="12.4"/>
    <x v="3"/>
  </r>
  <r>
    <x v="15"/>
    <x v="34"/>
    <x v="1"/>
    <s v="3.84-19.28"/>
    <n v="14.3"/>
    <n v="19.28"/>
    <n v="3.84"/>
    <n v="7.72"/>
    <n v="11.56"/>
    <x v="3"/>
  </r>
  <r>
    <x v="15"/>
    <x v="35"/>
    <x v="1"/>
    <s v="5.45-18.53"/>
    <n v="15.25"/>
    <n v="18.53"/>
    <n v="5.45"/>
    <n v="6.54"/>
    <n v="11.99"/>
    <x v="4"/>
  </r>
  <r>
    <x v="15"/>
    <x v="36"/>
    <x v="1"/>
    <s v="2.93-15.91"/>
    <n v="12.2"/>
    <n v="15.91"/>
    <n v="2.93"/>
    <n v="6.49"/>
    <n v="9.42"/>
    <x v="4"/>
  </r>
  <r>
    <x v="15"/>
    <x v="37"/>
    <x v="1"/>
    <s v="4.16-18.50"/>
    <n v="14.25"/>
    <n v="18.5"/>
    <n v="4.16"/>
    <n v="7.17"/>
    <n v="11.33"/>
    <x v="5"/>
  </r>
  <r>
    <x v="15"/>
    <x v="38"/>
    <x v="1"/>
    <s v="4.76-14.04"/>
    <n v="12.06"/>
    <n v="14.04"/>
    <n v="4.76"/>
    <n v="4.6399999999999997"/>
    <n v="9.4"/>
    <x v="5"/>
  </r>
  <r>
    <x v="15"/>
    <x v="96"/>
    <x v="1"/>
    <s v="0.41-13.79"/>
    <n v="9.36"/>
    <n v="13.79"/>
    <n v="0.41"/>
    <n v="6.69"/>
    <n v="7.1"/>
    <x v="5"/>
  </r>
  <r>
    <x v="15"/>
    <x v="39"/>
    <x v="1"/>
    <s v="2.66-14.12"/>
    <n v="11.46"/>
    <n v="14.12"/>
    <n v="2.66"/>
    <n v="5.73"/>
    <n v="8.39"/>
    <x v="6"/>
  </r>
  <r>
    <x v="15"/>
    <x v="40"/>
    <x v="1"/>
    <s v="0.74-10.60"/>
    <n v="7.35"/>
    <n v="10.6"/>
    <n v="0.74"/>
    <n v="4.93"/>
    <n v="5.67"/>
    <x v="6"/>
  </r>
  <r>
    <x v="15"/>
    <x v="43"/>
    <x v="1"/>
    <s v="6.81-23.89"/>
    <n v="18.690000000000001"/>
    <n v="23.89"/>
    <n v="6.81"/>
    <n v="8.5399999999999991"/>
    <n v="15.35"/>
    <x v="7"/>
  </r>
  <r>
    <x v="15"/>
    <x v="42"/>
    <x v="1"/>
    <s v="2.60-20.28"/>
    <n v="14.46"/>
    <n v="20.28"/>
    <n v="2.6"/>
    <n v="8.84"/>
    <n v="11.44"/>
    <x v="7"/>
  </r>
  <r>
    <x v="15"/>
    <x v="41"/>
    <x v="1"/>
    <s v="3.31-15.21"/>
    <n v="11.68"/>
    <n v="15.21"/>
    <n v="3.31"/>
    <n v="5.95"/>
    <n v="9.26"/>
    <x v="7"/>
  </r>
  <r>
    <x v="15"/>
    <x v="44"/>
    <x v="1"/>
    <s v="3.16-15.38"/>
    <n v="11.83"/>
    <n v="15.38"/>
    <n v="3.16"/>
    <n v="6.11"/>
    <n v="9.27"/>
    <x v="8"/>
  </r>
  <r>
    <x v="15"/>
    <x v="46"/>
    <x v="1"/>
    <s v="2.75-10.67"/>
    <n v="8.33"/>
    <n v="10.67"/>
    <n v="2.75"/>
    <n v="3.96"/>
    <n v="6.71"/>
    <x v="8"/>
  </r>
  <r>
    <x v="15"/>
    <x v="98"/>
    <x v="1"/>
    <s v="3.24-15.24"/>
    <n v="12.01"/>
    <n v="15.24"/>
    <n v="3.24"/>
    <n v="6"/>
    <n v="9.24"/>
    <x v="9"/>
  </r>
  <r>
    <x v="15"/>
    <x v="47"/>
    <x v="1"/>
    <s v="2.86-15.22"/>
    <n v="11.24"/>
    <n v="15.22"/>
    <n v="2.86"/>
    <n v="6.18"/>
    <n v="9.0399999999999991"/>
    <x v="9"/>
  </r>
  <r>
    <x v="15"/>
    <x v="48"/>
    <x v="1"/>
    <s v="2.01-15.21"/>
    <n v="10.61"/>
    <n v="15.21"/>
    <n v="2.0099999999999998"/>
    <n v="6.6"/>
    <n v="8.61"/>
    <x v="9"/>
  </r>
  <r>
    <x v="15"/>
    <x v="135"/>
    <x v="2"/>
    <s v="11.06-25.00"/>
    <n v="19"/>
    <n v="25"/>
    <n v="11.06"/>
    <n v="6.97"/>
    <n v="18.03"/>
    <x v="0"/>
  </r>
  <r>
    <x v="15"/>
    <x v="50"/>
    <x v="2"/>
    <s v="8.78-20.68"/>
    <n v="15.76"/>
    <n v="20.68"/>
    <n v="8.7799999999999994"/>
    <n v="5.95"/>
    <n v="14.73"/>
    <x v="1"/>
  </r>
  <r>
    <x v="15"/>
    <x v="110"/>
    <x v="2"/>
    <s v="9.13-23.13"/>
    <n v="17.079999999999998"/>
    <n v="23.13"/>
    <n v="9.1300000000000008"/>
    <n v="7"/>
    <n v="16.13"/>
    <x v="2"/>
  </r>
  <r>
    <x v="15"/>
    <x v="52"/>
    <x v="2"/>
    <s v="12.02-23.70"/>
    <n v="18.690000000000001"/>
    <n v="23.7"/>
    <n v="12.02"/>
    <n v="5.84"/>
    <n v="17.86"/>
    <x v="3"/>
  </r>
  <r>
    <x v="15"/>
    <x v="53"/>
    <x v="2"/>
    <s v="12.34-27.04"/>
    <n v="20.34"/>
    <n v="27.04"/>
    <n v="12.34"/>
    <n v="7.35"/>
    <n v="19.690000000000001"/>
    <x v="4"/>
  </r>
  <r>
    <x v="15"/>
    <x v="117"/>
    <x v="2"/>
    <s v="12.20-27.30"/>
    <n v="20.260000000000002"/>
    <n v="27.3"/>
    <n v="12.2"/>
    <n v="7.55"/>
    <n v="19.75"/>
    <x v="5"/>
  </r>
  <r>
    <x v="15"/>
    <x v="55"/>
    <x v="2"/>
    <s v="14.24-28.08"/>
    <n v="21.89"/>
    <n v="28.08"/>
    <n v="14.24"/>
    <n v="6.92"/>
    <n v="21.16"/>
    <x v="6"/>
  </r>
  <r>
    <x v="15"/>
    <x v="56"/>
    <x v="2"/>
    <s v="12.25-26.09"/>
    <n v="19.940000000000001"/>
    <n v="26.09"/>
    <n v="12.25"/>
    <n v="6.92"/>
    <n v="19.170000000000002"/>
    <x v="7"/>
  </r>
  <r>
    <x v="15"/>
    <x v="57"/>
    <x v="2"/>
    <s v="13.04-27.66"/>
    <n v="21.08"/>
    <n v="27.66"/>
    <n v="13.04"/>
    <n v="7.31"/>
    <n v="20.350000000000001"/>
    <x v="8"/>
  </r>
  <r>
    <x v="15"/>
    <x v="58"/>
    <x v="2"/>
    <s v="13.04-35.06"/>
    <n v="24.45"/>
    <n v="35.06"/>
    <n v="13.04"/>
    <n v="11.01"/>
    <n v="24.05"/>
    <x v="9"/>
  </r>
  <r>
    <x v="15"/>
    <x v="102"/>
    <x v="3"/>
    <s v="0.57-10.15"/>
    <n v="7.08"/>
    <n v="10.15"/>
    <n v="0.56999999999999995"/>
    <n v="4.79"/>
    <n v="5.36"/>
    <x v="0"/>
  </r>
  <r>
    <x v="15"/>
    <x v="60"/>
    <x v="3"/>
    <s v="2.38-12.40"/>
    <n v="9.9499999999999993"/>
    <n v="12.4"/>
    <n v="2.38"/>
    <n v="5.01"/>
    <n v="7.39"/>
    <x v="1"/>
  </r>
  <r>
    <x v="15"/>
    <x v="61"/>
    <x v="3"/>
    <s v="0.24-8.12"/>
    <n v="5.61"/>
    <n v="8.1199999999999992"/>
    <n v="0.24"/>
    <n v="3.94"/>
    <n v="4.18"/>
    <x v="2"/>
  </r>
  <r>
    <x v="15"/>
    <x v="62"/>
    <x v="3"/>
    <s v="3.14-13.36"/>
    <n v="10.91"/>
    <n v="13.36"/>
    <n v="3.14"/>
    <n v="5.1100000000000003"/>
    <n v="8.25"/>
    <x v="3"/>
  </r>
  <r>
    <x v="15"/>
    <x v="103"/>
    <x v="3"/>
    <s v="-1.38-10.70"/>
    <n v="6.1"/>
    <n v="10.7"/>
    <n v="-1.38"/>
    <n v="6.04"/>
    <n v="4.66"/>
    <x v="4"/>
  </r>
  <r>
    <x v="15"/>
    <x v="65"/>
    <x v="3"/>
    <s v="0.63-12.15"/>
    <n v="8.27"/>
    <n v="12.15"/>
    <n v="0.63"/>
    <n v="5.76"/>
    <n v="6.39"/>
    <x v="5"/>
  </r>
  <r>
    <x v="15"/>
    <x v="66"/>
    <x v="3"/>
    <s v="3.43-18.37"/>
    <n v="13.15"/>
    <n v="18.37"/>
    <n v="3.43"/>
    <n v="7.47"/>
    <n v="10.9"/>
    <x v="6"/>
  </r>
  <r>
    <x v="15"/>
    <x v="67"/>
    <x v="3"/>
    <s v="2.49-14.19"/>
    <n v="10.85"/>
    <n v="14.19"/>
    <n v="2.4900000000000002"/>
    <n v="5.85"/>
    <n v="8.34"/>
    <x v="7"/>
  </r>
  <r>
    <x v="15"/>
    <x v="68"/>
    <x v="3"/>
    <s v="2.77-12.11"/>
    <n v="9.73"/>
    <n v="12.11"/>
    <n v="2.77"/>
    <n v="4.67"/>
    <n v="7.44"/>
    <x v="8"/>
  </r>
  <r>
    <x v="15"/>
    <x v="69"/>
    <x v="3"/>
    <s v="0.91-12.73"/>
    <n v="9.32"/>
    <n v="12.73"/>
    <n v="0.91"/>
    <n v="5.91"/>
    <n v="6.82"/>
    <x v="9"/>
  </r>
  <r>
    <x v="15"/>
    <x v="70"/>
    <x v="4"/>
    <s v="1.56-15.62"/>
    <n v="8.4612999999999996"/>
    <n v="15.62"/>
    <n v="1.56"/>
    <n v="7.03"/>
    <n v="8.4612999999999996"/>
    <x v="0"/>
  </r>
  <r>
    <x v="15"/>
    <x v="71"/>
    <x v="4"/>
    <s v="-0.71-9.17"/>
    <n v="3.7378999999999998"/>
    <n v="9.17"/>
    <n v="-0.71"/>
    <n v="4.9400000000000004"/>
    <n v="3.7378999999999998"/>
    <x v="1"/>
  </r>
  <r>
    <x v="15"/>
    <x v="112"/>
    <x v="4"/>
    <s v="2.00-13.36"/>
    <n v="7.0833000000000004"/>
    <n v="13.36"/>
    <n v="2"/>
    <n v="5.68"/>
    <n v="7.0833000000000004"/>
    <x v="2"/>
  </r>
  <r>
    <x v="15"/>
    <x v="73"/>
    <x v="4"/>
    <s v="0.57-10.59"/>
    <n v="5.2218"/>
    <n v="10.59"/>
    <n v="0.56999999999999995"/>
    <n v="5.01"/>
    <n v="5.2218"/>
    <x v="3"/>
  </r>
  <r>
    <x v="15"/>
    <x v="125"/>
    <x v="4"/>
    <s v="1.29-12.57"/>
    <n v="6.5738000000000003"/>
    <n v="12.57"/>
    <n v="1.29"/>
    <n v="5.64"/>
    <n v="6.5738000000000003"/>
    <x v="4"/>
  </r>
  <r>
    <x v="15"/>
    <x v="75"/>
    <x v="4"/>
    <s v="5.68-19.46"/>
    <n v="11.9757"/>
    <n v="19.46"/>
    <n v="5.68"/>
    <n v="6.89"/>
    <n v="11.9757"/>
    <x v="5"/>
  </r>
  <r>
    <x v="15"/>
    <x v="76"/>
    <x v="4"/>
    <s v="6.96-19.84"/>
    <n v="12.7819"/>
    <n v="19.84"/>
    <n v="6.96"/>
    <n v="6.44"/>
    <n v="12.7819"/>
    <x v="6"/>
  </r>
  <r>
    <x v="15"/>
    <x v="77"/>
    <x v="4"/>
    <s v="4.51-16.71"/>
    <n v="10.0189"/>
    <n v="16.71"/>
    <n v="4.51"/>
    <n v="6.1"/>
    <n v="10.0189"/>
    <x v="7"/>
  </r>
  <r>
    <x v="15"/>
    <x v="78"/>
    <x v="4"/>
    <s v="1.28-14.58"/>
    <n v="7.1977000000000002"/>
    <n v="14.58"/>
    <n v="1.28"/>
    <n v="6.65"/>
    <n v="7.1977000000000002"/>
    <x v="8"/>
  </r>
  <r>
    <x v="15"/>
    <x v="79"/>
    <x v="4"/>
    <s v="2.27-12.57"/>
    <n v="7.1786000000000003"/>
    <n v="12.57"/>
    <n v="2.27"/>
    <n v="5.15"/>
    <n v="7.1786000000000003"/>
    <x v="9"/>
  </r>
  <r>
    <x v="15"/>
    <x v="80"/>
    <x v="5"/>
    <s v="3.00-14.12"/>
    <n v="8.5299999999999994"/>
    <n v="14.12"/>
    <n v="3"/>
    <n v="5.56"/>
    <n v="8.56"/>
    <x v="0"/>
  </r>
  <r>
    <x v="15"/>
    <x v="81"/>
    <x v="5"/>
    <s v="5.21-13.29"/>
    <n v="9.23"/>
    <n v="13.29"/>
    <n v="5.21"/>
    <n v="4.04"/>
    <n v="9.25"/>
    <x v="1"/>
  </r>
  <r>
    <x v="15"/>
    <x v="82"/>
    <x v="5"/>
    <s v="3.89-12.91"/>
    <n v="8.44"/>
    <n v="12.91"/>
    <n v="3.89"/>
    <n v="4.51"/>
    <n v="8.4"/>
    <x v="2"/>
  </r>
  <r>
    <x v="15"/>
    <x v="83"/>
    <x v="5"/>
    <s v="4.27-13.03"/>
    <n v="8.68"/>
    <n v="13.03"/>
    <n v="4.2699999999999996"/>
    <n v="4.38"/>
    <n v="8.65"/>
    <x v="3"/>
  </r>
  <r>
    <x v="15"/>
    <x v="84"/>
    <x v="5"/>
    <s v="5.27-13.65"/>
    <n v="9.43"/>
    <n v="13.65"/>
    <n v="5.27"/>
    <n v="4.1900000000000004"/>
    <n v="9.4600000000000009"/>
    <x v="4"/>
  </r>
  <r>
    <x v="15"/>
    <x v="85"/>
    <x v="5"/>
    <s v="4.08-12.86"/>
    <n v="8.5"/>
    <n v="12.86"/>
    <n v="4.08"/>
    <n v="4.3899999999999997"/>
    <n v="8.4700000000000006"/>
    <x v="5"/>
  </r>
  <r>
    <x v="15"/>
    <x v="86"/>
    <x v="5"/>
    <s v="5.31-14.19"/>
    <n v="9.74"/>
    <n v="14.19"/>
    <n v="5.31"/>
    <n v="4.4400000000000004"/>
    <n v="9.75"/>
    <x v="6"/>
  </r>
  <r>
    <x v="15"/>
    <x v="87"/>
    <x v="5"/>
    <s v="4.54-11.32"/>
    <n v="7.91"/>
    <n v="11.32"/>
    <n v="4.54"/>
    <n v="3.39"/>
    <n v="7.93"/>
    <x v="7"/>
  </r>
  <r>
    <x v="15"/>
    <x v="88"/>
    <x v="5"/>
    <s v="2.55-13.49"/>
    <n v="8"/>
    <n v="13.49"/>
    <n v="2.5499999999999998"/>
    <n v="5.47"/>
    <n v="8.02"/>
    <x v="8"/>
  </r>
  <r>
    <x v="15"/>
    <x v="89"/>
    <x v="5"/>
    <s v="4.98-12.74"/>
    <n v="8.86"/>
    <n v="12.74"/>
    <n v="4.9800000000000004"/>
    <n v="3.88"/>
    <n v="8.86"/>
    <x v="9"/>
  </r>
  <r>
    <x v="16"/>
    <x v="1"/>
    <x v="0"/>
    <s v="4.95-22.31"/>
    <n v="14.81"/>
    <n v="22.31"/>
    <n v="4.95"/>
    <n v="8.68"/>
    <n v="13.63"/>
    <x v="0"/>
  </r>
  <r>
    <x v="16"/>
    <x v="90"/>
    <x v="0"/>
    <s v="1.33-12.15"/>
    <n v="7.87"/>
    <n v="12.15"/>
    <n v="1.33"/>
    <n v="5.41"/>
    <n v="6.74"/>
    <x v="0"/>
  </r>
  <r>
    <x v="16"/>
    <x v="5"/>
    <x v="0"/>
    <s v="3.07-22.77"/>
    <n v="14.26"/>
    <n v="22.77"/>
    <n v="3.07"/>
    <n v="9.85"/>
    <n v="12.92"/>
    <x v="1"/>
  </r>
  <r>
    <x v="16"/>
    <x v="3"/>
    <x v="0"/>
    <s v="4.33-19.61"/>
    <n v="14.21"/>
    <n v="19.61"/>
    <n v="4.33"/>
    <n v="7.64"/>
    <n v="11.97"/>
    <x v="1"/>
  </r>
  <r>
    <x v="16"/>
    <x v="4"/>
    <x v="0"/>
    <s v="2.97-17.61"/>
    <n v="11.31"/>
    <n v="17.61"/>
    <n v="2.97"/>
    <n v="7.32"/>
    <n v="10.29"/>
    <x v="1"/>
  </r>
  <r>
    <x v="16"/>
    <x v="6"/>
    <x v="0"/>
    <s v="5.75-19.71"/>
    <n v="14.63"/>
    <n v="19.71"/>
    <n v="5.75"/>
    <n v="6.98"/>
    <n v="12.73"/>
    <x v="2"/>
  </r>
  <r>
    <x v="16"/>
    <x v="7"/>
    <x v="0"/>
    <s v="4.49-19.29"/>
    <n v="13.29"/>
    <n v="19.29"/>
    <n v="4.49"/>
    <n v="7.4"/>
    <n v="11.89"/>
    <x v="2"/>
  </r>
  <r>
    <x v="16"/>
    <x v="8"/>
    <x v="0"/>
    <s v="5.73-18.39"/>
    <n v="14.16"/>
    <n v="18.39"/>
    <n v="5.73"/>
    <n v="6.33"/>
    <n v="12.06"/>
    <x v="3"/>
  </r>
  <r>
    <x v="16"/>
    <x v="9"/>
    <x v="0"/>
    <s v="5.19-16.99"/>
    <n v="12.7"/>
    <n v="16.989999999999998"/>
    <n v="5.19"/>
    <n v="5.9"/>
    <n v="11.09"/>
    <x v="3"/>
  </r>
  <r>
    <x v="16"/>
    <x v="11"/>
    <x v="0"/>
    <s v="7.64-23.44"/>
    <n v="16.77"/>
    <n v="23.44"/>
    <n v="7.64"/>
    <n v="7.9"/>
    <n v="15.54"/>
    <x v="4"/>
  </r>
  <r>
    <x v="16"/>
    <x v="12"/>
    <x v="0"/>
    <s v="5.83-19.25"/>
    <n v="14.84"/>
    <n v="19.25"/>
    <n v="5.83"/>
    <n v="6.71"/>
    <n v="12.54"/>
    <x v="4"/>
  </r>
  <r>
    <x v="16"/>
    <x v="13"/>
    <x v="0"/>
    <s v="2.30-16.18"/>
    <n v="10.61"/>
    <n v="16.18"/>
    <n v="2.2999999999999998"/>
    <n v="6.94"/>
    <n v="9.24"/>
    <x v="4"/>
  </r>
  <r>
    <x v="16"/>
    <x v="15"/>
    <x v="0"/>
    <s v="10.41-25.77"/>
    <n v="20.61"/>
    <n v="25.77"/>
    <n v="10.41"/>
    <n v="7.68"/>
    <n v="18.09"/>
    <x v="5"/>
  </r>
  <r>
    <x v="16"/>
    <x v="14"/>
    <x v="0"/>
    <s v="1.86-11.80"/>
    <n v="7.99"/>
    <n v="11.8"/>
    <n v="1.86"/>
    <n v="4.97"/>
    <n v="6.83"/>
    <x v="5"/>
  </r>
  <r>
    <x v="16"/>
    <x v="16"/>
    <x v="0"/>
    <s v="14.13-33.63"/>
    <n v="25.96"/>
    <n v="33.630000000000003"/>
    <n v="14.13"/>
    <n v="9.75"/>
    <n v="23.88"/>
    <x v="6"/>
  </r>
  <r>
    <x v="16"/>
    <x v="121"/>
    <x v="0"/>
    <s v="4.87-21.03"/>
    <n v="14.42"/>
    <n v="21.03"/>
    <n v="4.87"/>
    <n v="8.08"/>
    <n v="12.95"/>
    <x v="6"/>
  </r>
  <r>
    <x v="16"/>
    <x v="17"/>
    <x v="0"/>
    <s v="6.01-19.63"/>
    <n v="13.31"/>
    <n v="19.63"/>
    <n v="6.01"/>
    <n v="6.81"/>
    <n v="12.82"/>
    <x v="6"/>
  </r>
  <r>
    <x v="16"/>
    <x v="19"/>
    <x v="0"/>
    <s v="4.10-14.40"/>
    <n v="10.19"/>
    <n v="14.4"/>
    <n v="4.0999999999999996"/>
    <n v="5.15"/>
    <n v="9.25"/>
    <x v="7"/>
  </r>
  <r>
    <x v="16"/>
    <x v="20"/>
    <x v="0"/>
    <s v="4.15-13.65"/>
    <n v="10.02"/>
    <n v="13.65"/>
    <n v="4.1500000000000004"/>
    <n v="4.75"/>
    <n v="8.9"/>
    <x v="7"/>
  </r>
  <r>
    <x v="16"/>
    <x v="21"/>
    <x v="0"/>
    <s v="4.61-18.51"/>
    <n v="13.89"/>
    <n v="18.510000000000002"/>
    <n v="4.6100000000000003"/>
    <n v="6.95"/>
    <n v="11.56"/>
    <x v="8"/>
  </r>
  <r>
    <x v="16"/>
    <x v="92"/>
    <x v="0"/>
    <s v="2.31-10.95"/>
    <n v="7.6"/>
    <n v="10.95"/>
    <n v="2.31"/>
    <n v="4.32"/>
    <n v="6.63"/>
    <x v="8"/>
  </r>
  <r>
    <x v="16"/>
    <x v="23"/>
    <x v="0"/>
    <s v="6.21-23.07"/>
    <n v="15.98"/>
    <n v="23.07"/>
    <n v="6.21"/>
    <n v="8.43"/>
    <n v="14.64"/>
    <x v="9"/>
  </r>
  <r>
    <x v="16"/>
    <x v="25"/>
    <x v="0"/>
    <s v="5.01-18.93"/>
    <n v="13.34"/>
    <n v="18.93"/>
    <n v="5.01"/>
    <n v="6.96"/>
    <n v="11.97"/>
    <x v="9"/>
  </r>
  <r>
    <x v="16"/>
    <x v="105"/>
    <x v="0"/>
    <s v="3.64-20.00"/>
    <n v="12.95"/>
    <n v="20"/>
    <n v="3.64"/>
    <n v="8.18"/>
    <n v="11.82"/>
    <x v="9"/>
  </r>
  <r>
    <x v="16"/>
    <x v="26"/>
    <x v="1"/>
    <s v="6.61-21.99"/>
    <n v="17.239999999999998"/>
    <n v="21.99"/>
    <n v="6.61"/>
    <n v="7.69"/>
    <n v="14.3"/>
    <x v="0"/>
  </r>
  <r>
    <x v="16"/>
    <x v="27"/>
    <x v="1"/>
    <s v="3.42-17.54"/>
    <n v="13.1"/>
    <n v="17.54"/>
    <n v="3.42"/>
    <n v="7.06"/>
    <n v="10.48"/>
    <x v="0"/>
  </r>
  <r>
    <x v="16"/>
    <x v="93"/>
    <x v="1"/>
    <s v="2.91-15.21"/>
    <n v="11.33"/>
    <n v="15.21"/>
    <n v="2.91"/>
    <n v="6.15"/>
    <n v="9.06"/>
    <x v="0"/>
  </r>
  <r>
    <x v="16"/>
    <x v="28"/>
    <x v="1"/>
    <s v="4.71-16.93"/>
    <n v="13.71"/>
    <n v="16.93"/>
    <n v="4.71"/>
    <n v="6.11"/>
    <n v="10.82"/>
    <x v="1"/>
  </r>
  <r>
    <x v="16"/>
    <x v="29"/>
    <x v="1"/>
    <s v="3.05-15.91"/>
    <n v="12.55"/>
    <n v="15.91"/>
    <n v="3.05"/>
    <n v="6.43"/>
    <n v="9.48"/>
    <x v="1"/>
  </r>
  <r>
    <x v="16"/>
    <x v="30"/>
    <x v="1"/>
    <s v="4.27-15.81"/>
    <n v="12.64"/>
    <n v="15.81"/>
    <n v="4.2699999999999996"/>
    <n v="5.77"/>
    <n v="10.039999999999999"/>
    <x v="2"/>
  </r>
  <r>
    <x v="16"/>
    <x v="31"/>
    <x v="1"/>
    <s v="4.19-14.59"/>
    <n v="11.55"/>
    <n v="14.59"/>
    <n v="4.1900000000000004"/>
    <n v="5.2"/>
    <n v="9.39"/>
    <x v="2"/>
  </r>
  <r>
    <x v="16"/>
    <x v="32"/>
    <x v="1"/>
    <s v="3.07-13.97"/>
    <n v="10.44"/>
    <n v="13.97"/>
    <n v="3.07"/>
    <n v="5.45"/>
    <n v="8.52"/>
    <x v="2"/>
  </r>
  <r>
    <x v="16"/>
    <x v="34"/>
    <x v="1"/>
    <s v="4.31-21.15"/>
    <n v="15.51"/>
    <n v="21.15"/>
    <n v="4.3099999999999996"/>
    <n v="8.42"/>
    <n v="12.73"/>
    <x v="3"/>
  </r>
  <r>
    <x v="16"/>
    <x v="33"/>
    <x v="1"/>
    <s v="5.91-17.15"/>
    <n v="14.45"/>
    <n v="17.149999999999999"/>
    <n v="5.91"/>
    <n v="5.62"/>
    <n v="11.53"/>
    <x v="3"/>
  </r>
  <r>
    <x v="16"/>
    <x v="107"/>
    <x v="1"/>
    <s v="1.95-17.87"/>
    <n v="12.78"/>
    <n v="17.87"/>
    <n v="1.95"/>
    <n v="7.96"/>
    <n v="9.91"/>
    <x v="3"/>
  </r>
  <r>
    <x v="16"/>
    <x v="35"/>
    <x v="1"/>
    <s v="4.18-16.32"/>
    <n v="13.53"/>
    <n v="16.32"/>
    <n v="4.18"/>
    <n v="6.07"/>
    <n v="10.25"/>
    <x v="4"/>
  </r>
  <r>
    <x v="16"/>
    <x v="95"/>
    <x v="1"/>
    <s v="4.16-14.88"/>
    <n v="11.5"/>
    <n v="14.88"/>
    <n v="4.16"/>
    <n v="5.36"/>
    <n v="9.52"/>
    <x v="4"/>
  </r>
  <r>
    <x v="16"/>
    <x v="37"/>
    <x v="1"/>
    <s v="4.02-16.32"/>
    <n v="12.89"/>
    <n v="16.32"/>
    <n v="4.0199999999999996"/>
    <n v="6.15"/>
    <n v="10.17"/>
    <x v="5"/>
  </r>
  <r>
    <x v="16"/>
    <x v="38"/>
    <x v="1"/>
    <s v="3.78-12.38"/>
    <n v="10.76"/>
    <n v="12.38"/>
    <n v="3.78"/>
    <n v="4.3"/>
    <n v="8.08"/>
    <x v="5"/>
  </r>
  <r>
    <x v="16"/>
    <x v="123"/>
    <x v="1"/>
    <s v="2.25-10.71"/>
    <n v="8.83"/>
    <n v="10.71"/>
    <n v="2.25"/>
    <n v="4.2300000000000004"/>
    <n v="6.48"/>
    <x v="5"/>
  </r>
  <r>
    <x v="16"/>
    <x v="97"/>
    <x v="1"/>
    <s v="3.45-14.01"/>
    <n v="11.7"/>
    <n v="14.01"/>
    <n v="3.45"/>
    <n v="5.28"/>
    <n v="8.73"/>
    <x v="6"/>
  </r>
  <r>
    <x v="16"/>
    <x v="40"/>
    <x v="1"/>
    <s v="0.10-12.94"/>
    <n v="8.2200000000000006"/>
    <n v="12.94"/>
    <n v="0.1"/>
    <n v="6.42"/>
    <n v="6.52"/>
    <x v="6"/>
  </r>
  <r>
    <x v="16"/>
    <x v="42"/>
    <x v="1"/>
    <s v="4.68-23.14"/>
    <n v="17.14"/>
    <n v="23.14"/>
    <n v="4.68"/>
    <n v="9.23"/>
    <n v="13.91"/>
    <x v="7"/>
  </r>
  <r>
    <x v="16"/>
    <x v="43"/>
    <x v="1"/>
    <s v="5.93-21.23"/>
    <n v="16.920000000000002"/>
    <n v="21.23"/>
    <n v="5.93"/>
    <n v="7.65"/>
    <n v="13.58"/>
    <x v="7"/>
  </r>
  <r>
    <x v="16"/>
    <x v="108"/>
    <x v="1"/>
    <s v="1.49-15.01"/>
    <n v="10.17"/>
    <n v="15.01"/>
    <n v="1.49"/>
    <n v="6.76"/>
    <n v="8.25"/>
    <x v="7"/>
  </r>
  <r>
    <x v="16"/>
    <x v="45"/>
    <x v="1"/>
    <s v="2.36-13.58"/>
    <n v="10.210000000000001"/>
    <n v="13.58"/>
    <n v="2.36"/>
    <n v="5.61"/>
    <n v="7.97"/>
    <x v="8"/>
  </r>
  <r>
    <x v="16"/>
    <x v="44"/>
    <x v="1"/>
    <s v="2.89-12.73"/>
    <n v="10.050000000000001"/>
    <n v="12.73"/>
    <n v="2.89"/>
    <n v="4.92"/>
    <n v="7.81"/>
    <x v="8"/>
  </r>
  <r>
    <x v="16"/>
    <x v="109"/>
    <x v="1"/>
    <s v="2.10-12.30"/>
    <n v="9.2200000000000006"/>
    <n v="12.3"/>
    <n v="2.1"/>
    <n v="5.0999999999999996"/>
    <n v="7.2"/>
    <x v="8"/>
  </r>
  <r>
    <x v="16"/>
    <x v="98"/>
    <x v="1"/>
    <s v="4.41-19.01"/>
    <n v="14.17"/>
    <n v="19.010000000000002"/>
    <n v="4.41"/>
    <n v="7.3"/>
    <n v="11.71"/>
    <x v="9"/>
  </r>
  <r>
    <x v="16"/>
    <x v="47"/>
    <x v="1"/>
    <s v="3.50-17.90"/>
    <n v="13.03"/>
    <n v="17.899999999999999"/>
    <n v="3.5"/>
    <n v="7.2"/>
    <n v="10.7"/>
    <x v="9"/>
  </r>
  <r>
    <x v="16"/>
    <x v="135"/>
    <x v="2"/>
    <s v="10.55-24.31"/>
    <n v="18.41"/>
    <n v="24.31"/>
    <n v="10.55"/>
    <n v="6.88"/>
    <n v="17.43"/>
    <x v="0"/>
  </r>
  <r>
    <x v="16"/>
    <x v="50"/>
    <x v="2"/>
    <s v="7.43-22.45"/>
    <n v="15.94"/>
    <n v="22.45"/>
    <n v="7.43"/>
    <n v="7.51"/>
    <n v="14.94"/>
    <x v="1"/>
  </r>
  <r>
    <x v="16"/>
    <x v="51"/>
    <x v="2"/>
    <s v="11.18-26.32"/>
    <n v="19.52"/>
    <n v="26.32"/>
    <n v="11.18"/>
    <n v="7.57"/>
    <n v="18.75"/>
    <x v="2"/>
  </r>
  <r>
    <x v="16"/>
    <x v="52"/>
    <x v="2"/>
    <s v="10.24-24.62"/>
    <n v="18.489999999999998"/>
    <n v="24.62"/>
    <n v="10.24"/>
    <n v="7.19"/>
    <n v="17.43"/>
    <x v="3"/>
  </r>
  <r>
    <x v="16"/>
    <x v="53"/>
    <x v="2"/>
    <s v="12.91-26.99"/>
    <n v="20.52"/>
    <n v="26.99"/>
    <n v="12.91"/>
    <n v="7.04"/>
    <n v="19.95"/>
    <x v="4"/>
  </r>
  <r>
    <x v="16"/>
    <x v="54"/>
    <x v="2"/>
    <s v="11.33-24.53"/>
    <n v="18.7"/>
    <n v="24.53"/>
    <n v="11.33"/>
    <n v="6.6"/>
    <n v="17.93"/>
    <x v="5"/>
  </r>
  <r>
    <x v="16"/>
    <x v="128"/>
    <x v="2"/>
    <s v="12.96-27.56"/>
    <n v="20.91"/>
    <n v="27.56"/>
    <n v="12.96"/>
    <n v="7.3"/>
    <n v="20.260000000000002"/>
    <x v="6"/>
  </r>
  <r>
    <x v="16"/>
    <x v="56"/>
    <x v="2"/>
    <s v="12.67-28.57"/>
    <n v="21.34"/>
    <n v="28.57"/>
    <n v="12.67"/>
    <n v="7.95"/>
    <n v="20.62"/>
    <x v="7"/>
  </r>
  <r>
    <x v="16"/>
    <x v="57"/>
    <x v="2"/>
    <s v="15.41-31.15"/>
    <n v="23.76"/>
    <n v="31.15"/>
    <n v="15.41"/>
    <n v="7.87"/>
    <n v="23.28"/>
    <x v="8"/>
  </r>
  <r>
    <x v="16"/>
    <x v="58"/>
    <x v="2"/>
    <s v="15.26-34.06"/>
    <n v="25.07"/>
    <n v="34.06"/>
    <n v="15.26"/>
    <n v="9.4"/>
    <n v="24.66"/>
    <x v="9"/>
  </r>
  <r>
    <x v="16"/>
    <x v="102"/>
    <x v="3"/>
    <s v="-0.59-8.45"/>
    <n v="5.45"/>
    <n v="8.4499999999999993"/>
    <n v="-0.59"/>
    <n v="4.5199999999999996"/>
    <n v="3.93"/>
    <x v="0"/>
  </r>
  <r>
    <x v="16"/>
    <x v="60"/>
    <x v="3"/>
    <s v="1.32-12.70"/>
    <n v="9.2799999999999994"/>
    <n v="12.7"/>
    <n v="1.32"/>
    <n v="5.69"/>
    <n v="7.01"/>
    <x v="1"/>
  </r>
  <r>
    <x v="16"/>
    <x v="61"/>
    <x v="3"/>
    <s v="0.37-8.17"/>
    <n v="5.73"/>
    <n v="8.17"/>
    <n v="0.37"/>
    <n v="3.9"/>
    <n v="4.2699999999999996"/>
    <x v="2"/>
  </r>
  <r>
    <x v="16"/>
    <x v="62"/>
    <x v="3"/>
    <s v="3.41-15.17"/>
    <n v="11.77"/>
    <n v="15.17"/>
    <n v="3.41"/>
    <n v="5.88"/>
    <n v="9.2899999999999991"/>
    <x v="3"/>
  </r>
  <r>
    <x v="16"/>
    <x v="161"/>
    <x v="3"/>
    <s v="-0.25-9.55"/>
    <n v="6"/>
    <n v="9.5500000000000007"/>
    <n v="-0.25"/>
    <n v="4.9000000000000004"/>
    <n v="4.6500000000000004"/>
    <x v="4"/>
  </r>
  <r>
    <x v="16"/>
    <x v="64"/>
    <x v="3"/>
    <s v="2.47-11.91"/>
    <n v="9.31"/>
    <n v="11.91"/>
    <n v="2.4700000000000002"/>
    <n v="4.72"/>
    <n v="7.19"/>
    <x v="5"/>
  </r>
  <r>
    <x v="16"/>
    <x v="66"/>
    <x v="3"/>
    <s v="5.13-18.81"/>
    <n v="14.26"/>
    <n v="18.809999999999999"/>
    <n v="5.13"/>
    <n v="6.84"/>
    <n v="11.97"/>
    <x v="6"/>
  </r>
  <r>
    <x v="16"/>
    <x v="67"/>
    <x v="3"/>
    <s v="1.53-12.15"/>
    <n v="9.14"/>
    <n v="12.15"/>
    <n v="1.53"/>
    <n v="5.31"/>
    <n v="6.84"/>
    <x v="7"/>
  </r>
  <r>
    <x v="16"/>
    <x v="68"/>
    <x v="3"/>
    <s v="3.13-13.17"/>
    <n v="10.55"/>
    <n v="13.17"/>
    <n v="3.13"/>
    <n v="5.0199999999999996"/>
    <n v="8.15"/>
    <x v="8"/>
  </r>
  <r>
    <x v="16"/>
    <x v="69"/>
    <x v="3"/>
    <s v="0.85-9.57"/>
    <n v="7.24"/>
    <n v="9.57"/>
    <n v="0.85"/>
    <n v="4.3600000000000003"/>
    <n v="5.21"/>
    <x v="9"/>
  </r>
  <r>
    <x v="16"/>
    <x v="70"/>
    <x v="4"/>
    <s v="5.63-18.85"/>
    <n v="11.6539"/>
    <n v="18.850000000000001"/>
    <n v="5.63"/>
    <n v="6.61"/>
    <n v="11.6539"/>
    <x v="0"/>
  </r>
  <r>
    <x v="16"/>
    <x v="71"/>
    <x v="4"/>
    <s v="3.34-14.74"/>
    <n v="7.6040999999999999"/>
    <n v="14.74"/>
    <n v="3.34"/>
    <n v="5.7"/>
    <n v="7.6040999999999999"/>
    <x v="1"/>
  </r>
  <r>
    <x v="16"/>
    <x v="112"/>
    <x v="4"/>
    <s v="1.88-13.74"/>
    <n v="7.5682999999999998"/>
    <n v="13.74"/>
    <n v="1.88"/>
    <n v="5.93"/>
    <n v="7.5682999999999998"/>
    <x v="2"/>
  </r>
  <r>
    <x v="16"/>
    <x v="73"/>
    <x v="4"/>
    <s v="0.35-8.41"/>
    <n v="4.2603"/>
    <n v="8.41"/>
    <n v="0.35"/>
    <n v="4.03"/>
    <n v="4.2603"/>
    <x v="3"/>
  </r>
  <r>
    <x v="16"/>
    <x v="125"/>
    <x v="4"/>
    <s v="2.34-13.60"/>
    <n v="7.6010999999999997"/>
    <n v="13.6"/>
    <n v="2.34"/>
    <n v="5.63"/>
    <n v="7.6010999999999997"/>
    <x v="4"/>
  </r>
  <r>
    <x v="16"/>
    <x v="75"/>
    <x v="4"/>
    <s v="5.47-17.67"/>
    <n v="10.856299999999999"/>
    <n v="17.670000000000002"/>
    <n v="5.47"/>
    <n v="6.1"/>
    <n v="10.856299999999999"/>
    <x v="5"/>
  </r>
  <r>
    <x v="16"/>
    <x v="76"/>
    <x v="4"/>
    <s v="2.46-13.28"/>
    <n v="7.5151000000000003"/>
    <n v="13.28"/>
    <n v="2.46"/>
    <n v="5.41"/>
    <n v="7.5151000000000003"/>
    <x v="6"/>
  </r>
  <r>
    <x v="16"/>
    <x v="77"/>
    <x v="4"/>
    <s v="1.45-14.63"/>
    <n v="7.6684999999999999"/>
    <n v="14.63"/>
    <n v="1.45"/>
    <n v="6.59"/>
    <n v="7.6684999999999999"/>
    <x v="7"/>
  </r>
  <r>
    <x v="16"/>
    <x v="78"/>
    <x v="4"/>
    <s v="1.24-11.60"/>
    <n v="6.1805000000000003"/>
    <n v="11.6"/>
    <n v="1.24"/>
    <n v="5.18"/>
    <n v="6.1805000000000003"/>
    <x v="8"/>
  </r>
  <r>
    <x v="16"/>
    <x v="79"/>
    <x v="4"/>
    <s v="6.94-19.72"/>
    <n v="12.962899999999999"/>
    <n v="19.72"/>
    <n v="6.94"/>
    <n v="6.39"/>
    <n v="12.962899999999999"/>
    <x v="9"/>
  </r>
  <r>
    <x v="16"/>
    <x v="80"/>
    <x v="5"/>
    <s v="4.63-14.05"/>
    <n v="9.31"/>
    <n v="14.05"/>
    <n v="4.63"/>
    <n v="4.71"/>
    <n v="9.34"/>
    <x v="0"/>
  </r>
  <r>
    <x v="16"/>
    <x v="81"/>
    <x v="5"/>
    <s v="4.26-12.32"/>
    <n v="8.2799999999999994"/>
    <n v="12.32"/>
    <n v="4.26"/>
    <n v="4.03"/>
    <n v="8.2899999999999991"/>
    <x v="1"/>
  </r>
  <r>
    <x v="16"/>
    <x v="82"/>
    <x v="5"/>
    <s v="5.96-13.50"/>
    <n v="9.76"/>
    <n v="13.5"/>
    <n v="5.96"/>
    <n v="3.77"/>
    <n v="9.73"/>
    <x v="2"/>
  </r>
  <r>
    <x v="16"/>
    <x v="83"/>
    <x v="5"/>
    <s v="4.66-11.42"/>
    <n v="8.08"/>
    <n v="11.42"/>
    <n v="4.66"/>
    <n v="3.38"/>
    <n v="8.0399999999999991"/>
    <x v="3"/>
  </r>
  <r>
    <x v="16"/>
    <x v="84"/>
    <x v="5"/>
    <s v="3.73-12.37"/>
    <n v="8.1"/>
    <n v="12.37"/>
    <n v="3.73"/>
    <n v="4.32"/>
    <n v="8.0500000000000007"/>
    <x v="4"/>
  </r>
  <r>
    <x v="16"/>
    <x v="114"/>
    <x v="5"/>
    <s v="6.22-13.94"/>
    <n v="10.039999999999999"/>
    <n v="13.94"/>
    <n v="6.22"/>
    <n v="3.86"/>
    <n v="10.08"/>
    <x v="5"/>
  </r>
  <r>
    <x v="16"/>
    <x v="86"/>
    <x v="5"/>
    <s v="5.63-13.43"/>
    <n v="9.52"/>
    <n v="13.43"/>
    <n v="5.63"/>
    <n v="3.9"/>
    <n v="9.5299999999999994"/>
    <x v="6"/>
  </r>
  <r>
    <x v="16"/>
    <x v="87"/>
    <x v="5"/>
    <s v="4.43-11.43"/>
    <n v="7.94"/>
    <n v="11.43"/>
    <n v="4.43"/>
    <n v="3.5"/>
    <n v="7.93"/>
    <x v="7"/>
  </r>
  <r>
    <x v="16"/>
    <x v="88"/>
    <x v="5"/>
    <s v="2.94-12.42"/>
    <n v="7.66"/>
    <n v="12.42"/>
    <n v="2.94"/>
    <n v="4.74"/>
    <n v="7.68"/>
    <x v="8"/>
  </r>
  <r>
    <x v="16"/>
    <x v="89"/>
    <x v="5"/>
    <s v="4.78-13.88"/>
    <n v="9.35"/>
    <n v="13.88"/>
    <n v="4.78"/>
    <n v="4.55"/>
    <n v="9.33"/>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S30" firstHeaderRow="1" firstDataRow="2" firstDataCol="1" rowPageCount="1" colPageCount="1"/>
  <pivotFields count="11">
    <pivotField axis="axisCol" subtotalTop="0" multipleItemSelectionAllowed="1" showAll="0" defaultSubtotal="0">
      <items count="17">
        <item x="0"/>
        <item x="1"/>
        <item x="2"/>
        <item x="3"/>
        <item x="4"/>
        <item x="5"/>
        <item x="6"/>
        <item x="7"/>
        <item x="8"/>
        <item x="9"/>
        <item x="10"/>
        <item x="11"/>
        <item x="12"/>
        <item x="13"/>
        <item x="14"/>
        <item x="15"/>
        <item x="16"/>
      </items>
    </pivotField>
    <pivotField axis="axisRow" subtotalTop="0" showAll="0" sortType="descending" defaultSubtotal="0">
      <items count="437">
        <item sd="0" x="37"/>
        <item sd="0" x="58"/>
        <item sd="0" x="36"/>
        <item sd="0" x="87"/>
        <item sd="0" x="90"/>
        <item sd="0" x="44"/>
        <item sd="0" x="133"/>
        <item sd="0" x="107"/>
        <item sd="0" m="1" x="380"/>
        <item sd="0" x="101"/>
        <item sd="0" x="26"/>
        <item sd="0" m="1" x="167"/>
        <item sd="0" m="1" x="285"/>
        <item sd="0" x="110"/>
        <item sd="0" m="1" x="356"/>
        <item sd="0" m="1" x="199"/>
        <item sd="0" x="31"/>
        <item sd="0" m="1" x="330"/>
        <item sd="0" m="1" x="396"/>
        <item sd="0" x="78"/>
        <item sd="0" m="1" x="363"/>
        <item sd="0" m="1" x="376"/>
        <item sd="0" x="54"/>
        <item sd="0" m="1" x="233"/>
        <item sd="0" x="2"/>
        <item sd="0" m="1" x="232"/>
        <item sd="0" x="117"/>
        <item sd="0" m="1" x="350"/>
        <item sd="0" x="89"/>
        <item sd="0" x="95"/>
        <item sd="0" x="12"/>
        <item sd="0" m="1" x="236"/>
        <item sd="0" m="1" x="306"/>
        <item sd="0" m="1" x="247"/>
        <item sd="0" x="7"/>
        <item sd="0" m="1" x="211"/>
        <item sd="0" m="1" x="295"/>
        <item sd="0" m="1" x="413"/>
        <item sd="0" m="1" x="313"/>
        <item sd="0" x="27"/>
        <item sd="0" x="3"/>
        <item sd="0" x="33"/>
        <item sd="0" x="59"/>
        <item sd="0" m="1" x="393"/>
        <item sd="0" x="38"/>
        <item sd="0" m="1" x="178"/>
        <item sd="0" m="1" x="416"/>
        <item sd="0" m="1" x="184"/>
        <item sd="0" x="5"/>
        <item sd="0" m="1" x="225"/>
        <item sd="0" m="1" x="301"/>
        <item sd="0" x="30"/>
        <item sd="0" m="1" x="352"/>
        <item sd="0" x="55"/>
        <item sd="0" m="1" x="384"/>
        <item sd="0" x="127"/>
        <item sd="0" m="1" x="214"/>
        <item sd="0" m="1" x="237"/>
        <item sd="0" x="11"/>
        <item sd="0" m="1" x="351"/>
        <item sd="0" m="1" x="246"/>
        <item sd="0" x="29"/>
        <item sd="0" x="63"/>
        <item sd="0" m="1" x="355"/>
        <item sd="0" x="139"/>
        <item sd="0" x="118"/>
        <item sd="0" m="1" x="242"/>
        <item sd="0" x="75"/>
        <item sd="0" m="1" x="335"/>
        <item sd="0" m="1" x="362"/>
        <item sd="0" x="123"/>
        <item sd="0" m="1" x="429"/>
        <item sd="0" x="39"/>
        <item sd="0" m="1" x="226"/>
        <item sd="0" x="10"/>
        <item sd="0" m="1" x="432"/>
        <item sd="0" x="60"/>
        <item sd="0" x="4"/>
        <item sd="0" m="1" x="174"/>
        <item sd="0" m="1" x="162"/>
        <item sd="0" x="19"/>
        <item sd="0" m="1" x="358"/>
        <item sd="0" x="69"/>
        <item sd="0" x="97"/>
        <item sd="0" x="42"/>
        <item sd="0" x="85"/>
        <item sd="0" x="23"/>
        <item sd="0" x="28"/>
        <item sd="0" x="141"/>
        <item sd="0" m="1" x="218"/>
        <item sd="0" m="1" x="228"/>
        <item sd="0" x="52"/>
        <item sd="0" x="64"/>
        <item sd="0" x="20"/>
        <item sd="0" x="106"/>
        <item sd="0" m="1" x="292"/>
        <item sd="0" m="1" x="311"/>
        <item sd="0" x="1"/>
        <item sd="0" x="15"/>
        <item sd="0" m="1" x="259"/>
        <item sd="0" x="115"/>
        <item sd="0" m="1" x="198"/>
        <item sd="0" m="1" x="241"/>
        <item sd="0" m="1" x="179"/>
        <item sd="0" m="1" x="321"/>
        <item sd="0" x="84"/>
        <item sd="0" m="1" x="316"/>
        <item sd="0" x="80"/>
        <item sd="0" x="100"/>
        <item sd="0" x="51"/>
        <item sd="0" x="6"/>
        <item sd="0" m="1" x="248"/>
        <item sd="0" x="35"/>
        <item sd="0" x="34"/>
        <item sd="0" m="1" x="378"/>
        <item sd="0" m="1" x="397"/>
        <item sd="0" x="43"/>
        <item sd="0" m="1" x="425"/>
        <item sd="0" x="112"/>
        <item sd="0" m="1" x="215"/>
        <item sd="0" x="96"/>
        <item sd="0" x="76"/>
        <item sd="0" m="1" x="385"/>
        <item sd="0" m="1" x="163"/>
        <item sd="0" m="1" x="310"/>
        <item sd="0" m="1" x="209"/>
        <item sd="0" x="66"/>
        <item sd="0" m="1" x="183"/>
        <item sd="0" x="56"/>
        <item sd="0" m="1" x="387"/>
        <item sd="0" m="1" x="354"/>
        <item sd="0" x="108"/>
        <item sd="0" m="1" x="279"/>
        <item sd="0" m="1" x="309"/>
        <item sd="0" m="1" x="254"/>
        <item sd="0" x="41"/>
        <item sd="0" x="86"/>
        <item sd="0" m="1" x="323"/>
        <item sd="0" x="47"/>
        <item sd="0" m="1" x="368"/>
        <item sd="0" m="1" x="361"/>
        <item sd="0" x="150"/>
        <item sd="0" x="74"/>
        <item sd="0" m="1" x="406"/>
        <item sd="0" m="1" x="265"/>
        <item sd="0" m="1" x="341"/>
        <item sd="0" x="57"/>
        <item sd="0" x="62"/>
        <item sd="0" x="122"/>
        <item sd="0" x="154"/>
        <item sd="0" x="98"/>
        <item sd="0" x="70"/>
        <item sd="0" x="81"/>
        <item sd="0" m="1" x="197"/>
        <item sd="0" x="68"/>
        <item sd="0" m="1" x="399"/>
        <item sd="0" x="25"/>
        <item sd="0" m="1" x="210"/>
        <item sd="0" m="1" x="221"/>
        <item sd="0" x="151"/>
        <item sd="0" m="1" x="245"/>
        <item sd="0" m="1" x="392"/>
        <item sd="0" m="1" x="345"/>
        <item sd="0" m="1" x="372"/>
        <item sd="0" x="161"/>
        <item sd="0" x="152"/>
        <item sd="0" x="149"/>
        <item sd="0" m="1" x="223"/>
        <item sd="0" m="1" x="289"/>
        <item sd="0" x="130"/>
        <item sd="0" m="1" x="329"/>
        <item sd="0" m="1" x="293"/>
        <item sd="0" x="120"/>
        <item sd="0" x="145"/>
        <item sd="0" m="1" x="212"/>
        <item sd="0" m="1" x="177"/>
        <item sd="0" m="1" x="423"/>
        <item sd="0" m="1" x="322"/>
        <item sd="0" m="1" x="171"/>
        <item sd="0" m="1" x="203"/>
        <item sd="0" m="1" x="194"/>
        <item sd="0" m="1" x="208"/>
        <item sd="0" x="159"/>
        <item sd="0" m="1" x="428"/>
        <item sd="0" m="1" x="298"/>
        <item sd="0" m="1" x="333"/>
        <item m="1" x="388"/>
        <item sd="0" m="1" x="405"/>
        <item m="1" x="324"/>
        <item x="17"/>
        <item m="1" x="320"/>
        <item x="18"/>
        <item sd="0" m="1" x="359"/>
        <item sd="0" x="53"/>
        <item sd="0" m="1" x="253"/>
        <item x="73"/>
        <item m="1" x="332"/>
        <item x="79"/>
        <item m="1" x="402"/>
        <item x="138"/>
        <item m="1" x="369"/>
        <item x="48"/>
        <item m="1" x="414"/>
        <item m="1" x="296"/>
        <item m="1" x="346"/>
        <item m="1" x="319"/>
        <item m="1" x="244"/>
        <item x="40"/>
        <item m="1" x="400"/>
        <item m="1" x="407"/>
        <item m="1" x="349"/>
        <item x="132"/>
        <item x="124"/>
        <item m="1" x="389"/>
        <item m="1" x="235"/>
        <item m="1" x="219"/>
        <item m="1" x="339"/>
        <item x="21"/>
        <item m="1" x="195"/>
        <item m="1" x="277"/>
        <item m="1" x="328"/>
        <item m="1" x="271"/>
        <item x="143"/>
        <item m="1" x="186"/>
        <item m="1" x="401"/>
        <item x="156"/>
        <item m="1" x="172"/>
        <item x="109"/>
        <item m="1" x="180"/>
        <item m="1" x="251"/>
        <item m="1" x="374"/>
        <item m="1" x="381"/>
        <item m="1" x="300"/>
        <item x="129"/>
        <item m="1" x="360"/>
        <item m="1" x="342"/>
        <item x="125"/>
        <item m="1" x="379"/>
        <item m="1" x="410"/>
        <item m="1" x="370"/>
        <item m="1" x="165"/>
        <item x="22"/>
        <item m="1" x="418"/>
        <item m="1" x="365"/>
        <item m="1" x="305"/>
        <item m="1" x="170"/>
        <item m="1" x="173"/>
        <item m="1" x="207"/>
        <item m="1" x="288"/>
        <item x="157"/>
        <item m="1" x="216"/>
        <item m="1" x="224"/>
        <item m="1" x="229"/>
        <item m="1" x="168"/>
        <item m="1" x="249"/>
        <item m="1" x="222"/>
        <item m="1" x="200"/>
        <item m="1" x="286"/>
        <item m="1" x="243"/>
        <item x="148"/>
        <item m="1" x="431"/>
        <item m="1" x="366"/>
        <item m="1" x="297"/>
        <item m="1" x="353"/>
        <item m="1" x="234"/>
        <item x="77"/>
        <item x="113"/>
        <item x="99"/>
        <item x="61"/>
        <item x="71"/>
        <item m="1" x="188"/>
        <item x="82"/>
        <item m="1" x="436"/>
        <item x="155"/>
        <item m="1" x="343"/>
        <item m="1" x="185"/>
        <item x="67"/>
        <item m="1" x="337"/>
        <item x="49"/>
        <item x="45"/>
        <item m="1" x="239"/>
        <item m="1" x="404"/>
        <item m="1" x="347"/>
        <item m="1" x="256"/>
        <item m="1" x="270"/>
        <item m="1" x="206"/>
        <item m="1" x="269"/>
        <item m="1" x="338"/>
        <item x="158"/>
        <item m="1" x="294"/>
        <item m="1" x="390"/>
        <item m="1" x="326"/>
        <item m="1" x="230"/>
        <item m="1" x="412"/>
        <item m="1" x="266"/>
        <item x="111"/>
        <item m="1" x="325"/>
        <item m="1" x="281"/>
        <item x="83"/>
        <item m="1" x="227"/>
        <item sd="0" x="50"/>
        <item m="1" x="375"/>
        <item m="1" x="403"/>
        <item m="1" x="181"/>
        <item m="1" x="257"/>
        <item m="1" x="217"/>
        <item m="1" x="193"/>
        <item x="153"/>
        <item m="1" x="278"/>
        <item m="1" x="415"/>
        <item x="144"/>
        <item m="1" x="303"/>
        <item m="1" x="166"/>
        <item m="1" x="383"/>
        <item m="1" x="263"/>
        <item x="142"/>
        <item m="1" x="182"/>
        <item x="88"/>
        <item m="1" x="318"/>
        <item x="32"/>
        <item m="1" x="220"/>
        <item m="1" x="344"/>
        <item m="1" x="290"/>
        <item m="1" x="189"/>
        <item m="1" x="312"/>
        <item m="1" x="205"/>
        <item m="1" x="191"/>
        <item m="1" x="430"/>
        <item m="1" x="382"/>
        <item m="1" x="268"/>
        <item x="16"/>
        <item m="1" x="394"/>
        <item m="1" x="302"/>
        <item m="1" x="377"/>
        <item m="1" x="408"/>
        <item m="1" x="391"/>
        <item m="1" x="357"/>
        <item m="1" x="275"/>
        <item m="1" x="201"/>
        <item m="1" x="336"/>
        <item m="1" x="427"/>
        <item m="1" x="307"/>
        <item m="1" x="299"/>
        <item m="1" x="373"/>
        <item m="1" x="409"/>
        <item x="14"/>
        <item m="1" x="283"/>
        <item x="72"/>
        <item m="1" x="426"/>
        <item m="1" x="267"/>
        <item m="1" x="411"/>
        <item x="114"/>
        <item m="1" x="175"/>
        <item x="46"/>
        <item x="160"/>
        <item x="146"/>
        <item m="1" x="398"/>
        <item x="93"/>
        <item m="1" x="340"/>
        <item m="1" x="315"/>
        <item x="105"/>
        <item m="1" x="314"/>
        <item m="1" x="272"/>
        <item x="9"/>
        <item x="135"/>
        <item m="1" x="196"/>
        <item m="1" x="169"/>
        <item m="1" x="240"/>
        <item m="1" x="304"/>
        <item m="1" x="276"/>
        <item m="1" x="164"/>
        <item m="1" x="202"/>
        <item m="1" x="261"/>
        <item m="1" x="280"/>
        <item m="1" x="317"/>
        <item m="1" x="274"/>
        <item m="1" x="417"/>
        <item m="1" x="250"/>
        <item m="1" x="213"/>
        <item m="1" x="176"/>
        <item m="1" x="260"/>
        <item x="128"/>
        <item m="1" x="252"/>
        <item m="1" x="190"/>
        <item m="1" x="255"/>
        <item m="1" x="371"/>
        <item m="1" x="424"/>
        <item m="1" x="420"/>
        <item m="1" x="327"/>
        <item m="1" x="435"/>
        <item m="1" x="231"/>
        <item m="1" x="386"/>
        <item x="104"/>
        <item m="1" x="287"/>
        <item m="1" x="367"/>
        <item m="1" x="192"/>
        <item m="1" x="421"/>
        <item m="1" x="434"/>
        <item m="1" x="348"/>
        <item x="24"/>
        <item m="1" x="264"/>
        <item m="1" x="395"/>
        <item x="13"/>
        <item x="8"/>
        <item x="94"/>
        <item x="92"/>
        <item m="1" x="284"/>
        <item m="1" x="433"/>
        <item x="136"/>
        <item x="102"/>
        <item x="91"/>
        <item m="1" x="364"/>
        <item m="1" x="273"/>
        <item x="65"/>
        <item x="121"/>
        <item x="126"/>
        <item m="1" x="308"/>
        <item m="1" x="291"/>
        <item m="1" x="419"/>
        <item m="1" x="187"/>
        <item m="1" x="331"/>
        <item m="1" x="262"/>
        <item m="1" x="204"/>
        <item x="119"/>
        <item m="1" x="258"/>
        <item m="1" x="238"/>
        <item m="1" x="334"/>
        <item m="1" x="422"/>
        <item m="1" x="282"/>
        <item x="147"/>
        <item x="116"/>
        <item x="0"/>
        <item x="103"/>
        <item x="131"/>
        <item x="134"/>
        <item x="137"/>
        <item x="140"/>
      </items>
      <autoSortScope>
        <pivotArea dataOnly="0" outline="0" fieldPosition="0">
          <references count="1">
            <reference field="4294967294" count="1" selected="0">
              <x v="0"/>
            </reference>
          </references>
        </pivotArea>
      </autoSortScope>
    </pivotField>
    <pivotField axis="axisRow" subtotalTop="0" showAll="0" defaultSubtotal="0">
      <items count="7">
        <item x="2"/>
        <item x="0"/>
        <item x="1"/>
        <item x="3"/>
        <item x="4"/>
        <item x="5"/>
        <item m="1" x="6"/>
      </items>
    </pivotField>
    <pivotField subtotalTop="0" showAll="0" defaultSubtotal="0"/>
    <pivotField showAll="0" defaultSubtotal="0"/>
    <pivotField subtotalTop="0" showAll="0" defaultSubtotal="0"/>
    <pivotField subtotalTop="0" showAll="0" defaultSubtotal="0"/>
    <pivotField subtotalTop="0" showAll="0" defaultSubtotal="0"/>
    <pivotField dataField="1" subtotalTop="0" showAll="0" defaultSubtotal="0"/>
    <pivotField axis="axisPage" subtotalTop="0" showAll="0" sortType="descending" defaultSubtotal="0">
      <items count="22">
        <item sd="0" m="1" x="11"/>
        <item sd="0" m="1" x="10"/>
        <item sd="0" m="1" x="19"/>
        <item sd="0" m="1" x="12"/>
        <item sd="0" m="1" x="15"/>
        <item sd="0" m="1" x="17"/>
        <item sd="0" m="1" x="18"/>
        <item sd="0" m="1" x="14"/>
        <item sd="0" m="1" x="21"/>
        <item sd="0" m="1" x="16"/>
        <item sd="0" m="1" x="20"/>
        <item sd="0" m="1" x="13"/>
        <item x="0"/>
        <item x="1"/>
        <item x="2"/>
        <item x="3"/>
        <item x="4"/>
        <item x="5"/>
        <item x="6"/>
        <item x="7"/>
        <item x="8"/>
        <item x="9"/>
      </items>
      <autoSortScope>
        <pivotArea dataOnly="0" outline="0" fieldPosition="0">
          <references count="1">
            <reference field="4294967294" count="1" selected="0">
              <x v="0"/>
            </reference>
          </references>
        </pivotArea>
      </autoSortScope>
    </pivotField>
    <pivotField showAll="0" defaultSubtotal="0">
      <items count="6">
        <item x="4"/>
        <item x="0"/>
        <item x="1"/>
        <item x="2"/>
        <item x="3"/>
        <item x="5"/>
      </items>
    </pivotField>
  </pivotFields>
  <rowFields count="2">
    <field x="2"/>
    <field x="1"/>
  </rowFields>
  <rowItems count="25">
    <i>
      <x/>
    </i>
    <i r="1">
      <x v="300"/>
    </i>
    <i r="1">
      <x v="222"/>
    </i>
    <i>
      <x v="1"/>
    </i>
    <i r="1">
      <x v="40"/>
    </i>
    <i r="1">
      <x v="48"/>
    </i>
    <i r="1">
      <x v="77"/>
    </i>
    <i r="1">
      <x v="355"/>
    </i>
    <i r="1">
      <x v="429"/>
    </i>
    <i>
      <x v="2"/>
    </i>
    <i r="1">
      <x v="87"/>
    </i>
    <i r="1">
      <x v="61"/>
    </i>
    <i r="1">
      <x v="94"/>
    </i>
    <i r="1">
      <x v="415"/>
    </i>
    <i r="1">
      <x v="88"/>
    </i>
    <i>
      <x v="3"/>
    </i>
    <i r="1">
      <x v="76"/>
    </i>
    <i r="1">
      <x v="435"/>
    </i>
    <i>
      <x v="4"/>
    </i>
    <i r="1">
      <x v="269"/>
    </i>
    <i r="1">
      <x v="233"/>
    </i>
    <i>
      <x v="5"/>
    </i>
    <i r="1">
      <x v="152"/>
    </i>
    <i r="1">
      <x v="169"/>
    </i>
    <i t="grand">
      <x/>
    </i>
  </rowItems>
  <colFields count="1">
    <field x="0"/>
  </colFields>
  <colItems count="18">
    <i>
      <x/>
    </i>
    <i>
      <x v="1"/>
    </i>
    <i>
      <x v="2"/>
    </i>
    <i>
      <x v="3"/>
    </i>
    <i>
      <x v="4"/>
    </i>
    <i>
      <x v="5"/>
    </i>
    <i>
      <x v="6"/>
    </i>
    <i>
      <x v="7"/>
    </i>
    <i>
      <x v="8"/>
    </i>
    <i>
      <x v="9"/>
    </i>
    <i>
      <x v="10"/>
    </i>
    <i>
      <x v="11"/>
    </i>
    <i>
      <x v="12"/>
    </i>
    <i>
      <x v="13"/>
    </i>
    <i>
      <x v="14"/>
    </i>
    <i>
      <x v="15"/>
    </i>
    <i>
      <x v="16"/>
    </i>
    <i t="grand">
      <x/>
    </i>
  </colItems>
  <pageFields count="1">
    <pageField fld="9" item="13" hier="-1"/>
  </pageFields>
  <dataFields count="1">
    <dataField name="Sum of mean" fld="8" baseField="0" baseItem="0" numFmtId="165"/>
  </dataFields>
  <formats count="2">
    <format dxfId="15">
      <pivotArea outline="0" collapsedLevelsAreSubtotals="1"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queryTables/queryTable1.xml><?xml version="1.0" encoding="utf-8"?>
<queryTable xmlns="http://schemas.openxmlformats.org/spreadsheetml/2006/main" name="ExternalData_1" connectionId="6" autoFormatId="16" applyNumberFormats="0" applyBorderFormats="0" applyFontFormats="0" applyPatternFormats="0" applyAlignmentFormats="0" applyWidthHeightFormats="0">
  <queryTableRefresh nextId="19">
    <queryTableFields count="18">
      <queryTableField id="1" name="0" tableColumnId="1"/>
      <queryTableField id="2" name="1" tableColumnId="2"/>
      <queryTableField id="3" name="2" tableColumnId="3"/>
      <queryTableField id="4" name="3" tableColumnId="4"/>
      <queryTableField id="5" name="4" tableColumnId="5"/>
      <queryTableField id="6" name="5" tableColumnId="6"/>
      <queryTableField id="7" name="6" tableColumnId="7"/>
      <queryTableField id="8" name="7" tableColumnId="8"/>
      <queryTableField id="9" name="8" tableColumnId="9"/>
      <queryTableField id="10" name="9" tableColumnId="10"/>
      <queryTableField id="11" name="10" tableColumnId="11"/>
      <queryTableField id="12" name="11" tableColumnId="12"/>
      <queryTableField id="13" name="12" tableColumnId="13"/>
      <queryTableField id="14" name="13" tableColumnId="14"/>
      <queryTableField id="15" name="playoff" tableColumnId="15"/>
      <queryTableField id="16" name="div_ch" tableColumnId="16"/>
      <queryTableField id="17" name="final_g" tableColumnId="17"/>
      <queryTableField id="18" name="winner" tableColumnId="18"/>
    </queryTableFields>
  </queryTableRefresh>
</queryTable>
</file>

<file path=xl/queryTables/queryTable2.xml><?xml version="1.0" encoding="utf-8"?>
<queryTable xmlns="http://schemas.openxmlformats.org/spreadsheetml/2006/main" name="sched" refreshOnLoad="1" connectionId="7"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game_pred" refreshOnLoad="1" connectionId="2"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all_starters" refreshOnLoad="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impact" fillFormulas="1" adjustColumnWidth="0" connectionId="3"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wins_needed" refreshOnLoad="1" adjustColumnWidth="0" connectionId="9"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week_combos" refreshOnLoad="1" fillFormulas="1" adjustColumnWidth="0" connectionId="8" autoFormatId="16" applyNumberFormats="0" applyBorderFormats="0" applyFontFormats="0" applyPatternFormats="0" applyAlignmentFormats="0" applyWidthHeightFormats="0"/>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3" name="game_results_jake__3" displayName="game_results_jake__3" ref="P1:AG11" tableType="queryTable" totalsRowShown="0">
  <autoFilter ref="P1:AG11"/>
  <tableColumns count="18">
    <tableColumn id="1" uniqueName="1" name="0" queryTableFieldId="1"/>
    <tableColumn id="2" uniqueName="2" name="1" queryTableFieldId="2"/>
    <tableColumn id="3" uniqueName="3" name="2" queryTableFieldId="3"/>
    <tableColumn id="4" uniqueName="4" name="3" queryTableFieldId="4"/>
    <tableColumn id="5" uniqueName="5" name="4" queryTableFieldId="5"/>
    <tableColumn id="6" uniqueName="6" name="5" queryTableFieldId="6"/>
    <tableColumn id="7" uniqueName="7" name="6" queryTableFieldId="7"/>
    <tableColumn id="8" uniqueName="8" name="7" queryTableFieldId="8"/>
    <tableColumn id="9" uniqueName="9" name="8" queryTableFieldId="9"/>
    <tableColumn id="10" uniqueName="10" name="9" queryTableFieldId="10"/>
    <tableColumn id="11" uniqueName="11" name="10" queryTableFieldId="11"/>
    <tableColumn id="12" uniqueName="12" name="11" queryTableFieldId="12"/>
    <tableColumn id="13" uniqueName="13" name="12" queryTableFieldId="13"/>
    <tableColumn id="14" uniqueName="14" name="13" queryTableFieldId="14"/>
    <tableColumn id="15" uniqueName="15" name="playoff" queryTableFieldId="15" dataDxfId="19"/>
    <tableColumn id="16" uniqueName="16" name="div_ch" queryTableFieldId="16" dataDxfId="18"/>
    <tableColumn id="17" uniqueName="17" name="final_g" queryTableFieldId="17" dataDxfId="17"/>
    <tableColumn id="18" uniqueName="18" name="winner" queryTableFieldId="18" dataDxfId="1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table" Target="../tables/table1.xml"/><Relationship Id="rId4" Type="http://schemas.openxmlformats.org/officeDocument/2006/relationships/queryTable" Target="../queryTables/queryTable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1701"/>
  <sheetViews>
    <sheetView topLeftCell="O1" workbookViewId="0">
      <selection activeCell="P16" sqref="P16"/>
    </sheetView>
  </sheetViews>
  <sheetFormatPr defaultRowHeight="15" x14ac:dyDescent="0.25"/>
  <cols>
    <col min="1" max="1" width="8.42578125" bestFit="1" customWidth="1"/>
    <col min="2" max="2" width="22.28515625" bestFit="1" customWidth="1"/>
    <col min="3" max="3" width="6.42578125" bestFit="1" customWidth="1"/>
    <col min="4" max="4" width="10.85546875" bestFit="1" customWidth="1"/>
    <col min="5" max="5" width="10.140625" bestFit="1" customWidth="1"/>
    <col min="6" max="6" width="7" bestFit="1" customWidth="1"/>
    <col min="7" max="7" width="6.7109375" bestFit="1" customWidth="1"/>
    <col min="8" max="8" width="6" bestFit="1" customWidth="1"/>
    <col min="9" max="9" width="8.28515625" bestFit="1" customWidth="1"/>
    <col min="10" max="10" width="9.28515625" bestFit="1" customWidth="1"/>
    <col min="11" max="11" width="8.5703125" bestFit="1" customWidth="1"/>
    <col min="12" max="12" width="9" bestFit="1" customWidth="1"/>
    <col min="13" max="13" width="7" customWidth="1"/>
    <col min="14" max="14" width="6.5703125" bestFit="1" customWidth="1"/>
    <col min="16" max="17" width="7.140625" bestFit="1" customWidth="1"/>
    <col min="18" max="28" width="6.140625" bestFit="1" customWidth="1"/>
    <col min="29" max="29" width="8.140625" bestFit="1" customWidth="1"/>
    <col min="30" max="30" width="9.5703125" bestFit="1" customWidth="1"/>
    <col min="31" max="31" width="9" bestFit="1" customWidth="1"/>
    <col min="32" max="32" width="9.28515625" bestFit="1" customWidth="1"/>
    <col min="33" max="33" width="9.5703125" bestFit="1" customWidth="1"/>
    <col min="34" max="34" width="8.85546875" bestFit="1" customWidth="1"/>
    <col min="35" max="38" width="3.28515625" customWidth="1"/>
    <col min="39" max="40" width="8" bestFit="1" customWidth="1"/>
    <col min="44" max="44" width="3.5703125" customWidth="1"/>
    <col min="45" max="45" width="5.5703125" customWidth="1"/>
    <col min="46" max="46" width="4.42578125" customWidth="1"/>
    <col min="47" max="47" width="6.7109375" bestFit="1" customWidth="1"/>
  </cols>
  <sheetData>
    <row r="1" spans="1:47" x14ac:dyDescent="0.25">
      <c r="A1" t="s">
        <v>0</v>
      </c>
      <c r="B1" t="s">
        <v>1</v>
      </c>
      <c r="C1" t="s">
        <v>2</v>
      </c>
      <c r="D1" s="1" t="s">
        <v>3</v>
      </c>
      <c r="E1" t="s">
        <v>117</v>
      </c>
      <c r="F1" t="s">
        <v>4</v>
      </c>
      <c r="G1" t="s">
        <v>5</v>
      </c>
      <c r="H1" t="s">
        <v>6</v>
      </c>
      <c r="I1" t="s">
        <v>7</v>
      </c>
      <c r="J1" t="s">
        <v>8</v>
      </c>
      <c r="P1" t="s">
        <v>396</v>
      </c>
      <c r="Q1" t="s">
        <v>397</v>
      </c>
      <c r="R1" t="s">
        <v>398</v>
      </c>
      <c r="S1" t="s">
        <v>399</v>
      </c>
      <c r="T1" t="s">
        <v>400</v>
      </c>
      <c r="U1" t="s">
        <v>401</v>
      </c>
      <c r="V1" t="s">
        <v>402</v>
      </c>
      <c r="W1" t="s">
        <v>403</v>
      </c>
      <c r="X1" t="s">
        <v>404</v>
      </c>
      <c r="Y1" t="s">
        <v>405</v>
      </c>
      <c r="Z1" t="s">
        <v>406</v>
      </c>
      <c r="AA1" t="s">
        <v>407</v>
      </c>
      <c r="AB1" t="s">
        <v>408</v>
      </c>
      <c r="AC1" t="s">
        <v>409</v>
      </c>
      <c r="AD1" t="s">
        <v>78</v>
      </c>
      <c r="AE1" t="s">
        <v>79</v>
      </c>
      <c r="AF1" t="s">
        <v>80</v>
      </c>
      <c r="AG1" t="s">
        <v>81</v>
      </c>
      <c r="AH1" t="s">
        <v>95</v>
      </c>
      <c r="AR1" t="s">
        <v>99</v>
      </c>
      <c r="AS1" t="s">
        <v>100</v>
      </c>
      <c r="AT1" t="s">
        <v>101</v>
      </c>
      <c r="AU1" t="s">
        <v>106</v>
      </c>
    </row>
    <row r="2" spans="1:47" x14ac:dyDescent="0.25">
      <c r="A2">
        <v>1</v>
      </c>
      <c r="B2" t="s">
        <v>410</v>
      </c>
      <c r="C2" t="s">
        <v>10</v>
      </c>
      <c r="D2" s="1" t="s">
        <v>411</v>
      </c>
      <c r="E2">
        <v>14.56</v>
      </c>
      <c r="F2">
        <v>21.87</v>
      </c>
      <c r="G2">
        <v>4.1500000000000004</v>
      </c>
      <c r="H2">
        <v>8.86</v>
      </c>
      <c r="I2">
        <v>13.01</v>
      </c>
      <c r="J2" t="s">
        <v>351</v>
      </c>
      <c r="K2" t="str">
        <f>J2&amp;A2</f>
        <v>andrew1</v>
      </c>
      <c r="L2">
        <f>H2^2</f>
        <v>78.499599999999987</v>
      </c>
      <c r="O2" t="s">
        <v>351</v>
      </c>
      <c r="P2">
        <v>0</v>
      </c>
      <c r="Q2">
        <v>4.0000000000000003E-5</v>
      </c>
      <c r="R2">
        <v>1.1100000000000001E-3</v>
      </c>
      <c r="S2">
        <v>7.4700000000000001E-3</v>
      </c>
      <c r="T2">
        <v>3.0620000000000001E-2</v>
      </c>
      <c r="U2">
        <v>8.3680000000000004E-2</v>
      </c>
      <c r="V2">
        <v>0.15922</v>
      </c>
      <c r="W2">
        <v>0.22098000000000001</v>
      </c>
      <c r="X2">
        <v>0.21986</v>
      </c>
      <c r="Y2">
        <v>0.16053999999999999</v>
      </c>
      <c r="Z2">
        <v>8.2570000000000005E-2</v>
      </c>
      <c r="AA2">
        <v>2.7969999999999998E-2</v>
      </c>
      <c r="AB2">
        <v>5.4599999999999996E-3</v>
      </c>
      <c r="AC2">
        <v>4.8000000000000001E-4</v>
      </c>
      <c r="AD2" s="96" t="s">
        <v>457</v>
      </c>
      <c r="AE2" s="96" t="s">
        <v>458</v>
      </c>
      <c r="AF2" s="96" t="s">
        <v>459</v>
      </c>
      <c r="AG2" s="96" t="s">
        <v>460</v>
      </c>
      <c r="AH2" s="3">
        <f>SUMPRODUCT(VALUE($P$1:$AC$1),P2:AC2)</f>
        <v>7.4766000000000012</v>
      </c>
      <c r="AP2" s="2"/>
      <c r="AR2">
        <v>1</v>
      </c>
      <c r="AS2">
        <v>1</v>
      </c>
      <c r="AT2">
        <v>5</v>
      </c>
      <c r="AU2" t="str">
        <f>AR2&amp;"-"&amp;AS2</f>
        <v>1-1</v>
      </c>
    </row>
    <row r="3" spans="1:47" x14ac:dyDescent="0.25">
      <c r="A3">
        <v>1</v>
      </c>
      <c r="B3" t="s">
        <v>68</v>
      </c>
      <c r="C3" t="s">
        <v>10</v>
      </c>
      <c r="D3" s="1" t="s">
        <v>301</v>
      </c>
      <c r="E3">
        <v>12.82</v>
      </c>
      <c r="F3">
        <v>19.72</v>
      </c>
      <c r="G3">
        <v>3.66</v>
      </c>
      <c r="H3">
        <v>8.0299999999999994</v>
      </c>
      <c r="I3">
        <v>11.69</v>
      </c>
      <c r="J3" t="s">
        <v>351</v>
      </c>
      <c r="K3" t="str">
        <f t="shared" ref="K3:K66" si="0">J3&amp;A3</f>
        <v>andrew1</v>
      </c>
      <c r="L3">
        <f t="shared" ref="L3:L66" si="1">H3^2</f>
        <v>64.480899999999991</v>
      </c>
      <c r="O3" t="s">
        <v>352</v>
      </c>
      <c r="P3">
        <v>0</v>
      </c>
      <c r="Q3">
        <v>6.9999999999999994E-5</v>
      </c>
      <c r="R3">
        <v>1.6299999999999999E-3</v>
      </c>
      <c r="S3">
        <v>1.261E-2</v>
      </c>
      <c r="T3">
        <v>4.8899999999999999E-2</v>
      </c>
      <c r="U3">
        <v>0.11676</v>
      </c>
      <c r="V3">
        <v>0.19403000000000001</v>
      </c>
      <c r="W3">
        <v>0.23669000000000001</v>
      </c>
      <c r="X3">
        <v>0.19993</v>
      </c>
      <c r="Y3">
        <v>0.12164</v>
      </c>
      <c r="Z3">
        <v>5.1049999999999998E-2</v>
      </c>
      <c r="AA3">
        <v>1.4250000000000001E-2</v>
      </c>
      <c r="AB3">
        <v>2.31E-3</v>
      </c>
      <c r="AC3">
        <v>1.2999999999999999E-4</v>
      </c>
      <c r="AD3" s="96" t="s">
        <v>461</v>
      </c>
      <c r="AE3" s="96" t="s">
        <v>462</v>
      </c>
      <c r="AF3" s="96" t="s">
        <v>463</v>
      </c>
      <c r="AG3" s="96" t="s">
        <v>464</v>
      </c>
      <c r="AH3" s="3">
        <f t="shared" ref="AH3:AH11" si="2">SUMPRODUCT(VALUE($P$1:$AC$1),P3:AC3)</f>
        <v>7.0324299999999988</v>
      </c>
      <c r="AP3" s="2"/>
      <c r="AR3">
        <v>2</v>
      </c>
      <c r="AS3">
        <v>1</v>
      </c>
      <c r="AT3">
        <v>2</v>
      </c>
      <c r="AU3" t="str">
        <f t="shared" ref="AU3:AU66" si="3">AR3&amp;"-"&amp;AS3</f>
        <v>2-1</v>
      </c>
    </row>
    <row r="4" spans="1:47" x14ac:dyDescent="0.25">
      <c r="A4">
        <v>1</v>
      </c>
      <c r="B4" t="s">
        <v>30</v>
      </c>
      <c r="C4" t="s">
        <v>10</v>
      </c>
      <c r="D4" s="1" t="s">
        <v>210</v>
      </c>
      <c r="E4">
        <v>9.5299999999999994</v>
      </c>
      <c r="F4">
        <v>13.4</v>
      </c>
      <c r="G4">
        <v>3.78</v>
      </c>
      <c r="H4">
        <v>4.8099999999999996</v>
      </c>
      <c r="I4">
        <v>8.59</v>
      </c>
      <c r="J4" t="s">
        <v>351</v>
      </c>
      <c r="K4" t="str">
        <f t="shared" si="0"/>
        <v>andrew1</v>
      </c>
      <c r="L4">
        <f t="shared" si="1"/>
        <v>23.136099999999995</v>
      </c>
      <c r="O4" t="s">
        <v>353</v>
      </c>
      <c r="P4">
        <v>1.42E-3</v>
      </c>
      <c r="Q4">
        <v>1.465E-2</v>
      </c>
      <c r="R4">
        <v>5.8000000000000003E-2</v>
      </c>
      <c r="S4">
        <v>0.13804</v>
      </c>
      <c r="T4">
        <v>0.21390999999999999</v>
      </c>
      <c r="U4">
        <v>0.23543</v>
      </c>
      <c r="V4">
        <v>0.18259</v>
      </c>
      <c r="W4">
        <v>0.10217</v>
      </c>
      <c r="X4">
        <v>4.0649999999999999E-2</v>
      </c>
      <c r="Y4">
        <v>1.1010000000000001E-2</v>
      </c>
      <c r="Z4">
        <v>1.98E-3</v>
      </c>
      <c r="AA4">
        <v>1.4999999999999999E-4</v>
      </c>
      <c r="AB4">
        <v>0</v>
      </c>
      <c r="AC4">
        <v>0</v>
      </c>
      <c r="AD4" s="96" t="s">
        <v>465</v>
      </c>
      <c r="AE4" s="96" t="s">
        <v>466</v>
      </c>
      <c r="AF4" s="96" t="s">
        <v>467</v>
      </c>
      <c r="AG4" s="96" t="s">
        <v>468</v>
      </c>
      <c r="AH4" s="3">
        <f t="shared" si="2"/>
        <v>4.8340299999999994</v>
      </c>
      <c r="AP4" s="2"/>
      <c r="AR4">
        <v>3</v>
      </c>
      <c r="AS4">
        <v>1</v>
      </c>
      <c r="AT4">
        <v>3</v>
      </c>
      <c r="AU4" t="str">
        <f t="shared" si="3"/>
        <v>3-1</v>
      </c>
    </row>
    <row r="5" spans="1:47" x14ac:dyDescent="0.25">
      <c r="A5">
        <v>1</v>
      </c>
      <c r="B5" t="s">
        <v>181</v>
      </c>
      <c r="C5" t="s">
        <v>10</v>
      </c>
      <c r="D5" s="1" t="s">
        <v>332</v>
      </c>
      <c r="E5">
        <v>21.3</v>
      </c>
      <c r="F5">
        <v>27.67</v>
      </c>
      <c r="G5">
        <v>9.2100000000000009</v>
      </c>
      <c r="H5">
        <v>9.23</v>
      </c>
      <c r="I5">
        <v>18.440000000000001</v>
      </c>
      <c r="J5" t="s">
        <v>352</v>
      </c>
      <c r="K5" t="str">
        <f t="shared" si="0"/>
        <v>jake1</v>
      </c>
      <c r="L5">
        <f t="shared" si="1"/>
        <v>85.192900000000009</v>
      </c>
      <c r="O5" t="s">
        <v>354</v>
      </c>
      <c r="P5">
        <v>9.0000000000000006E-5</v>
      </c>
      <c r="Q5">
        <v>1.31E-3</v>
      </c>
      <c r="R5">
        <v>8.5299999999999994E-3</v>
      </c>
      <c r="S5">
        <v>3.4470000000000001E-2</v>
      </c>
      <c r="T5">
        <v>9.1340000000000005E-2</v>
      </c>
      <c r="U5">
        <v>0.17233999999999999</v>
      </c>
      <c r="V5">
        <v>0.22797000000000001</v>
      </c>
      <c r="W5">
        <v>0.21779000000000001</v>
      </c>
      <c r="X5">
        <v>0.14759</v>
      </c>
      <c r="Y5">
        <v>7.1199999999999999E-2</v>
      </c>
      <c r="Z5">
        <v>2.281E-2</v>
      </c>
      <c r="AA5">
        <v>4.1900000000000001E-3</v>
      </c>
      <c r="AB5">
        <v>3.6999999999999999E-4</v>
      </c>
      <c r="AC5">
        <v>0</v>
      </c>
      <c r="AD5" s="96" t="s">
        <v>469</v>
      </c>
      <c r="AE5" s="96" t="s">
        <v>470</v>
      </c>
      <c r="AF5" s="96" t="s">
        <v>471</v>
      </c>
      <c r="AG5" s="96" t="s">
        <v>472</v>
      </c>
      <c r="AH5" s="3">
        <f t="shared" si="2"/>
        <v>6.3413400000000015</v>
      </c>
      <c r="AP5" s="2"/>
      <c r="AR5">
        <v>4</v>
      </c>
      <c r="AS5">
        <v>1</v>
      </c>
      <c r="AT5">
        <v>10</v>
      </c>
      <c r="AU5" t="str">
        <f t="shared" si="3"/>
        <v>4-1</v>
      </c>
    </row>
    <row r="6" spans="1:47" x14ac:dyDescent="0.25">
      <c r="A6">
        <v>1</v>
      </c>
      <c r="B6" t="s">
        <v>20</v>
      </c>
      <c r="C6" t="s">
        <v>10</v>
      </c>
      <c r="D6" s="1" t="s">
        <v>412</v>
      </c>
      <c r="E6">
        <v>14.32</v>
      </c>
      <c r="F6">
        <v>18.38</v>
      </c>
      <c r="G6">
        <v>7.5</v>
      </c>
      <c r="H6">
        <v>5.44</v>
      </c>
      <c r="I6">
        <v>12.94</v>
      </c>
      <c r="J6" t="s">
        <v>352</v>
      </c>
      <c r="K6" t="str">
        <f t="shared" si="0"/>
        <v>jake1</v>
      </c>
      <c r="L6">
        <f t="shared" si="1"/>
        <v>29.593600000000006</v>
      </c>
      <c r="O6" t="s">
        <v>355</v>
      </c>
      <c r="P6">
        <v>1.1E-4</v>
      </c>
      <c r="Q6">
        <v>1.1299999999999999E-3</v>
      </c>
      <c r="R6">
        <v>8.0599999999999995E-3</v>
      </c>
      <c r="S6">
        <v>3.15E-2</v>
      </c>
      <c r="T6">
        <v>8.4400000000000003E-2</v>
      </c>
      <c r="U6">
        <v>0.16133</v>
      </c>
      <c r="V6">
        <v>0.21909000000000001</v>
      </c>
      <c r="W6">
        <v>0.21981000000000001</v>
      </c>
      <c r="X6">
        <v>0.1595</v>
      </c>
      <c r="Y6">
        <v>8.2129999999999995E-2</v>
      </c>
      <c r="Z6">
        <v>2.666E-2</v>
      </c>
      <c r="AA6">
        <v>5.8900000000000003E-3</v>
      </c>
      <c r="AB6">
        <v>3.8999999999999999E-4</v>
      </c>
      <c r="AC6">
        <v>0</v>
      </c>
      <c r="AD6" s="96" t="s">
        <v>473</v>
      </c>
      <c r="AE6" s="96" t="s">
        <v>474</v>
      </c>
      <c r="AF6" s="96" t="s">
        <v>475</v>
      </c>
      <c r="AG6" s="96" t="s">
        <v>476</v>
      </c>
      <c r="AH6" s="3">
        <f t="shared" si="2"/>
        <v>6.4604499999999998</v>
      </c>
      <c r="AP6" s="2"/>
      <c r="AR6">
        <v>5</v>
      </c>
      <c r="AS6">
        <v>1</v>
      </c>
      <c r="AT6">
        <v>4</v>
      </c>
      <c r="AU6" t="str">
        <f t="shared" si="3"/>
        <v>5-1</v>
      </c>
    </row>
    <row r="7" spans="1:47" x14ac:dyDescent="0.25">
      <c r="A7">
        <v>1</v>
      </c>
      <c r="B7" t="s">
        <v>9</v>
      </c>
      <c r="C7" t="s">
        <v>10</v>
      </c>
      <c r="D7" s="1" t="s">
        <v>212</v>
      </c>
      <c r="E7">
        <v>11.78</v>
      </c>
      <c r="F7">
        <v>16.440000000000001</v>
      </c>
      <c r="G7">
        <v>4.32</v>
      </c>
      <c r="H7">
        <v>6.06</v>
      </c>
      <c r="I7">
        <v>10.38</v>
      </c>
      <c r="J7" t="s">
        <v>352</v>
      </c>
      <c r="K7" t="str">
        <f t="shared" si="0"/>
        <v>jake1</v>
      </c>
      <c r="L7">
        <f t="shared" si="1"/>
        <v>36.723599999999998</v>
      </c>
      <c r="O7" t="s">
        <v>356</v>
      </c>
      <c r="P7">
        <v>3.4000000000000002E-4</v>
      </c>
      <c r="Q7">
        <v>3.5999999999999999E-3</v>
      </c>
      <c r="R7">
        <v>2.102E-2</v>
      </c>
      <c r="S7">
        <v>6.7739999999999995E-2</v>
      </c>
      <c r="T7">
        <v>0.14248</v>
      </c>
      <c r="U7">
        <v>0.21210000000000001</v>
      </c>
      <c r="V7">
        <v>0.22805</v>
      </c>
      <c r="W7">
        <v>0.17421</v>
      </c>
      <c r="X7">
        <v>9.9470000000000003E-2</v>
      </c>
      <c r="Y7">
        <v>3.9280000000000002E-2</v>
      </c>
      <c r="Z7">
        <v>9.9799999999999993E-3</v>
      </c>
      <c r="AA7">
        <v>1.64E-3</v>
      </c>
      <c r="AB7">
        <v>9.0000000000000006E-5</v>
      </c>
      <c r="AC7">
        <v>0</v>
      </c>
      <c r="AD7" s="96" t="s">
        <v>477</v>
      </c>
      <c r="AE7" s="96" t="s">
        <v>478</v>
      </c>
      <c r="AF7" s="96" t="s">
        <v>479</v>
      </c>
      <c r="AG7" s="96" t="s">
        <v>480</v>
      </c>
      <c r="AH7" s="3">
        <f t="shared" si="2"/>
        <v>5.7352499999999997</v>
      </c>
      <c r="AP7" s="2"/>
      <c r="AR7">
        <v>6</v>
      </c>
      <c r="AS7">
        <v>1</v>
      </c>
      <c r="AT7">
        <v>9</v>
      </c>
      <c r="AU7" t="str">
        <f t="shared" si="3"/>
        <v>6-1</v>
      </c>
    </row>
    <row r="8" spans="1:47" x14ac:dyDescent="0.25">
      <c r="A8">
        <v>1</v>
      </c>
      <c r="B8" t="s">
        <v>27</v>
      </c>
      <c r="C8" t="s">
        <v>10</v>
      </c>
      <c r="D8" s="1" t="s">
        <v>220</v>
      </c>
      <c r="E8">
        <v>18.39</v>
      </c>
      <c r="F8">
        <v>25.88</v>
      </c>
      <c r="G8">
        <v>7.44</v>
      </c>
      <c r="H8">
        <v>9.2200000000000006</v>
      </c>
      <c r="I8">
        <v>16.66</v>
      </c>
      <c r="J8" t="s">
        <v>353</v>
      </c>
      <c r="K8" t="str">
        <f t="shared" si="0"/>
        <v>breanna1</v>
      </c>
      <c r="L8">
        <f t="shared" si="1"/>
        <v>85.008400000000009</v>
      </c>
      <c r="O8" t="s">
        <v>357</v>
      </c>
      <c r="P8">
        <v>0</v>
      </c>
      <c r="Q8">
        <v>3.0000000000000001E-5</v>
      </c>
      <c r="R8">
        <v>6.9999999999999999E-4</v>
      </c>
      <c r="S8">
        <v>5.8100000000000001E-3</v>
      </c>
      <c r="T8">
        <v>2.5870000000000001E-2</v>
      </c>
      <c r="U8">
        <v>7.2099999999999997E-2</v>
      </c>
      <c r="V8">
        <v>0.14959</v>
      </c>
      <c r="W8">
        <v>0.21759999999999999</v>
      </c>
      <c r="X8">
        <v>0.22728000000000001</v>
      </c>
      <c r="Y8">
        <v>0.17222999999999999</v>
      </c>
      <c r="Z8">
        <v>8.9029999999999998E-2</v>
      </c>
      <c r="AA8">
        <v>3.2340000000000001E-2</v>
      </c>
      <c r="AB8">
        <v>6.8100000000000001E-3</v>
      </c>
      <c r="AC8">
        <v>6.0999999999999997E-4</v>
      </c>
      <c r="AD8" s="96" t="s">
        <v>481</v>
      </c>
      <c r="AE8" s="96" t="s">
        <v>482</v>
      </c>
      <c r="AF8" s="96" t="s">
        <v>483</v>
      </c>
      <c r="AG8" s="96" t="s">
        <v>484</v>
      </c>
      <c r="AH8" s="3">
        <f t="shared" si="2"/>
        <v>7.6075799999999996</v>
      </c>
      <c r="AP8" s="2"/>
      <c r="AR8">
        <v>7</v>
      </c>
      <c r="AS8">
        <v>1</v>
      </c>
      <c r="AT8">
        <v>7</v>
      </c>
      <c r="AU8" t="str">
        <f t="shared" si="3"/>
        <v>7-1</v>
      </c>
    </row>
    <row r="9" spans="1:47" x14ac:dyDescent="0.25">
      <c r="A9">
        <v>1</v>
      </c>
      <c r="B9" t="s">
        <v>219</v>
      </c>
      <c r="C9" t="s">
        <v>10</v>
      </c>
      <c r="D9" s="1" t="s">
        <v>331</v>
      </c>
      <c r="E9">
        <v>14.79</v>
      </c>
      <c r="F9">
        <v>21.15</v>
      </c>
      <c r="G9">
        <v>5.61</v>
      </c>
      <c r="H9">
        <v>7.77</v>
      </c>
      <c r="I9">
        <v>13.38</v>
      </c>
      <c r="J9" t="s">
        <v>353</v>
      </c>
      <c r="K9" t="str">
        <f t="shared" si="0"/>
        <v>breanna1</v>
      </c>
      <c r="L9">
        <f t="shared" si="1"/>
        <v>60.372899999999994</v>
      </c>
      <c r="O9" t="s">
        <v>358</v>
      </c>
      <c r="P9">
        <v>0</v>
      </c>
      <c r="Q9">
        <v>8.0000000000000007E-5</v>
      </c>
      <c r="R9">
        <v>8.4999999999999995E-4</v>
      </c>
      <c r="S9">
        <v>6.1500000000000001E-3</v>
      </c>
      <c r="T9">
        <v>2.546E-2</v>
      </c>
      <c r="U9">
        <v>7.3090000000000002E-2</v>
      </c>
      <c r="V9">
        <v>0.15167</v>
      </c>
      <c r="W9">
        <v>0.21826000000000001</v>
      </c>
      <c r="X9">
        <v>0.22685</v>
      </c>
      <c r="Y9">
        <v>0.16989000000000001</v>
      </c>
      <c r="Z9">
        <v>9.0160000000000004E-2</v>
      </c>
      <c r="AA9">
        <v>3.1119999999999998E-2</v>
      </c>
      <c r="AB9">
        <v>5.94E-3</v>
      </c>
      <c r="AC9">
        <v>4.8000000000000001E-4</v>
      </c>
      <c r="AD9" s="96" t="s">
        <v>485</v>
      </c>
      <c r="AE9" s="96" t="s">
        <v>486</v>
      </c>
      <c r="AF9" s="96" t="s">
        <v>487</v>
      </c>
      <c r="AG9" s="96" t="s">
        <v>488</v>
      </c>
      <c r="AH9" s="3">
        <f t="shared" si="2"/>
        <v>7.5906100000000007</v>
      </c>
      <c r="AP9" s="2"/>
      <c r="AR9">
        <v>8</v>
      </c>
      <c r="AS9">
        <v>1</v>
      </c>
      <c r="AT9">
        <v>8</v>
      </c>
      <c r="AU9" t="str">
        <f t="shared" si="3"/>
        <v>8-1</v>
      </c>
    </row>
    <row r="10" spans="1:47" x14ac:dyDescent="0.25">
      <c r="A10">
        <v>1</v>
      </c>
      <c r="B10" t="s">
        <v>216</v>
      </c>
      <c r="C10" t="s">
        <v>10</v>
      </c>
      <c r="D10" s="1" t="s">
        <v>300</v>
      </c>
      <c r="E10">
        <v>16.71</v>
      </c>
      <c r="F10">
        <v>22.1</v>
      </c>
      <c r="G10">
        <v>6.86</v>
      </c>
      <c r="H10">
        <v>7.62</v>
      </c>
      <c r="I10">
        <v>14.48</v>
      </c>
      <c r="J10" t="s">
        <v>354</v>
      </c>
      <c r="K10" t="str">
        <f t="shared" si="0"/>
        <v>joseph1</v>
      </c>
      <c r="L10">
        <f t="shared" si="1"/>
        <v>58.064399999999999</v>
      </c>
      <c r="O10" t="s">
        <v>359</v>
      </c>
      <c r="P10">
        <v>0</v>
      </c>
      <c r="Q10">
        <v>3.9899999999999996E-3</v>
      </c>
      <c r="R10">
        <v>2.759E-2</v>
      </c>
      <c r="S10">
        <v>8.974E-2</v>
      </c>
      <c r="T10">
        <v>0.17463999999999999</v>
      </c>
      <c r="U10">
        <v>0.23313999999999999</v>
      </c>
      <c r="V10">
        <v>0.21972</v>
      </c>
      <c r="W10">
        <v>0.14593999999999999</v>
      </c>
      <c r="X10">
        <v>7.1660000000000001E-2</v>
      </c>
      <c r="Y10">
        <v>2.622E-2</v>
      </c>
      <c r="Z10">
        <v>6.3E-3</v>
      </c>
      <c r="AA10">
        <v>1E-3</v>
      </c>
      <c r="AB10">
        <v>6.0000000000000002E-5</v>
      </c>
      <c r="AC10">
        <v>0</v>
      </c>
      <c r="AD10" s="96" t="s">
        <v>489</v>
      </c>
      <c r="AE10" s="96" t="s">
        <v>490</v>
      </c>
      <c r="AF10" s="96" t="s">
        <v>491</v>
      </c>
      <c r="AG10" s="96" t="s">
        <v>492</v>
      </c>
      <c r="AH10" s="3">
        <f t="shared" si="2"/>
        <v>5.416529999999999</v>
      </c>
      <c r="AP10" s="2"/>
      <c r="AR10">
        <v>9</v>
      </c>
      <c r="AS10">
        <v>1</v>
      </c>
      <c r="AT10">
        <v>4</v>
      </c>
      <c r="AU10" t="str">
        <f t="shared" si="3"/>
        <v>9-1</v>
      </c>
    </row>
    <row r="11" spans="1:47" x14ac:dyDescent="0.25">
      <c r="A11">
        <v>1</v>
      </c>
      <c r="B11" t="s">
        <v>164</v>
      </c>
      <c r="C11" t="s">
        <v>10</v>
      </c>
      <c r="D11" s="1" t="s">
        <v>218</v>
      </c>
      <c r="E11">
        <v>10.71</v>
      </c>
      <c r="F11">
        <v>15.13</v>
      </c>
      <c r="G11">
        <v>3.63</v>
      </c>
      <c r="H11">
        <v>5.75</v>
      </c>
      <c r="I11">
        <v>9.3800000000000008</v>
      </c>
      <c r="J11" t="s">
        <v>354</v>
      </c>
      <c r="K11" t="str">
        <f t="shared" si="0"/>
        <v>joseph1</v>
      </c>
      <c r="L11">
        <f t="shared" si="1"/>
        <v>33.0625</v>
      </c>
      <c r="O11" t="s">
        <v>360</v>
      </c>
      <c r="P11">
        <v>8.0000000000000007E-5</v>
      </c>
      <c r="Q11">
        <v>8.7000000000000001E-4</v>
      </c>
      <c r="R11">
        <v>7.4799999999999997E-3</v>
      </c>
      <c r="S11">
        <v>2.938E-2</v>
      </c>
      <c r="T11">
        <v>8.0509999999999998E-2</v>
      </c>
      <c r="U11">
        <v>0.15562999999999999</v>
      </c>
      <c r="V11">
        <v>0.22140000000000001</v>
      </c>
      <c r="W11">
        <v>0.22431999999999999</v>
      </c>
      <c r="X11">
        <v>0.16255</v>
      </c>
      <c r="Y11">
        <v>8.2809999999999995E-2</v>
      </c>
      <c r="Z11">
        <v>2.8590000000000001E-2</v>
      </c>
      <c r="AA11">
        <v>5.77E-3</v>
      </c>
      <c r="AB11">
        <v>6.0999999999999997E-4</v>
      </c>
      <c r="AC11">
        <v>0</v>
      </c>
      <c r="AD11" s="96" t="s">
        <v>493</v>
      </c>
      <c r="AE11" s="96" t="s">
        <v>494</v>
      </c>
      <c r="AF11" s="96" t="s">
        <v>495</v>
      </c>
      <c r="AG11" s="96" t="s">
        <v>496</v>
      </c>
      <c r="AH11" s="3">
        <f t="shared" si="2"/>
        <v>6.5051799999999993</v>
      </c>
      <c r="AP11" s="2"/>
      <c r="AR11">
        <v>10</v>
      </c>
      <c r="AS11">
        <v>1</v>
      </c>
      <c r="AT11">
        <v>5</v>
      </c>
      <c r="AU11" t="str">
        <f t="shared" si="3"/>
        <v>10-1</v>
      </c>
    </row>
    <row r="12" spans="1:47" x14ac:dyDescent="0.25">
      <c r="A12">
        <v>1</v>
      </c>
      <c r="B12" t="s">
        <v>16</v>
      </c>
      <c r="C12" t="s">
        <v>10</v>
      </c>
      <c r="D12" s="1" t="s">
        <v>314</v>
      </c>
      <c r="E12">
        <v>9.94</v>
      </c>
      <c r="F12">
        <v>14.75</v>
      </c>
      <c r="G12">
        <v>3.43</v>
      </c>
      <c r="H12">
        <v>5.66</v>
      </c>
      <c r="I12">
        <v>9.09</v>
      </c>
      <c r="J12" t="s">
        <v>354</v>
      </c>
      <c r="K12" t="str">
        <f t="shared" si="0"/>
        <v>joseph1</v>
      </c>
      <c r="L12">
        <f t="shared" si="1"/>
        <v>32.035600000000002</v>
      </c>
      <c r="AR12">
        <v>11</v>
      </c>
      <c r="AS12">
        <v>1</v>
      </c>
      <c r="AT12">
        <v>2</v>
      </c>
      <c r="AU12" t="str">
        <f t="shared" si="3"/>
        <v>11-1</v>
      </c>
    </row>
    <row r="13" spans="1:47" x14ac:dyDescent="0.25">
      <c r="A13">
        <v>1</v>
      </c>
      <c r="B13" t="s">
        <v>75</v>
      </c>
      <c r="C13" t="s">
        <v>10</v>
      </c>
      <c r="D13" s="1" t="s">
        <v>330</v>
      </c>
      <c r="E13">
        <v>15.69</v>
      </c>
      <c r="F13">
        <v>20.96</v>
      </c>
      <c r="G13">
        <v>8.06</v>
      </c>
      <c r="H13">
        <v>6.45</v>
      </c>
      <c r="I13">
        <v>14.51</v>
      </c>
      <c r="J13" t="s">
        <v>355</v>
      </c>
      <c r="K13" t="str">
        <f t="shared" si="0"/>
        <v>alyssa1</v>
      </c>
      <c r="L13">
        <f t="shared" si="1"/>
        <v>41.602499999999999</v>
      </c>
      <c r="AR13">
        <v>12</v>
      </c>
      <c r="AS13">
        <v>1</v>
      </c>
      <c r="AT13">
        <v>3</v>
      </c>
      <c r="AU13" t="str">
        <f t="shared" si="3"/>
        <v>12-1</v>
      </c>
    </row>
    <row r="14" spans="1:47" x14ac:dyDescent="0.25">
      <c r="A14">
        <v>1</v>
      </c>
      <c r="B14" t="s">
        <v>28</v>
      </c>
      <c r="C14" t="s">
        <v>10</v>
      </c>
      <c r="D14" s="1" t="s">
        <v>299</v>
      </c>
      <c r="E14">
        <v>16.27</v>
      </c>
      <c r="F14">
        <v>20</v>
      </c>
      <c r="G14">
        <v>8.2200000000000006</v>
      </c>
      <c r="H14">
        <v>5.89</v>
      </c>
      <c r="I14">
        <v>14.11</v>
      </c>
      <c r="J14" t="s">
        <v>355</v>
      </c>
      <c r="K14" t="str">
        <f t="shared" si="0"/>
        <v>alyssa1</v>
      </c>
      <c r="L14">
        <f t="shared" si="1"/>
        <v>34.692099999999996</v>
      </c>
      <c r="P14" t="s">
        <v>82</v>
      </c>
      <c r="Q14" t="s">
        <v>83</v>
      </c>
      <c r="R14" t="s">
        <v>84</v>
      </c>
      <c r="S14" t="s">
        <v>85</v>
      </c>
      <c r="T14" t="s">
        <v>86</v>
      </c>
      <c r="U14" t="s">
        <v>87</v>
      </c>
      <c r="V14" t="s">
        <v>88</v>
      </c>
      <c r="W14" t="s">
        <v>89</v>
      </c>
      <c r="X14" t="s">
        <v>90</v>
      </c>
      <c r="Y14" t="s">
        <v>91</v>
      </c>
      <c r="Z14" t="s">
        <v>92</v>
      </c>
      <c r="AA14" t="s">
        <v>93</v>
      </c>
      <c r="AB14" t="s">
        <v>94</v>
      </c>
      <c r="AR14">
        <v>13</v>
      </c>
      <c r="AS14">
        <v>1</v>
      </c>
      <c r="AT14">
        <v>6</v>
      </c>
      <c r="AU14" t="str">
        <f t="shared" si="3"/>
        <v>13-1</v>
      </c>
    </row>
    <row r="15" spans="1:47" x14ac:dyDescent="0.25">
      <c r="A15">
        <v>1</v>
      </c>
      <c r="B15" t="s">
        <v>202</v>
      </c>
      <c r="C15" t="s">
        <v>10</v>
      </c>
      <c r="D15" s="1" t="s">
        <v>413</v>
      </c>
      <c r="E15">
        <v>14.9</v>
      </c>
      <c r="F15">
        <v>22.82</v>
      </c>
      <c r="G15">
        <v>3.68</v>
      </c>
      <c r="H15">
        <v>9.57</v>
      </c>
      <c r="I15">
        <v>13.25</v>
      </c>
      <c r="J15" t="s">
        <v>355</v>
      </c>
      <c r="K15" t="str">
        <f t="shared" si="0"/>
        <v>alyssa1</v>
      </c>
      <c r="L15">
        <f t="shared" si="1"/>
        <v>91.584900000000005</v>
      </c>
      <c r="O15" t="s">
        <v>351</v>
      </c>
      <c r="P15" s="2">
        <v>1</v>
      </c>
      <c r="Q15" s="2">
        <v>1</v>
      </c>
      <c r="R15" s="2">
        <v>0.58718000000000004</v>
      </c>
      <c r="S15" s="2">
        <v>0.58521999999999996</v>
      </c>
      <c r="T15" s="2">
        <v>0.54783999999999999</v>
      </c>
      <c r="U15" s="2">
        <v>0.86439999999999995</v>
      </c>
      <c r="V15" s="2">
        <v>0.23463999999999999</v>
      </c>
      <c r="W15" s="2">
        <v>0.55449999999999999</v>
      </c>
      <c r="X15" s="2">
        <v>0.59270999999999996</v>
      </c>
      <c r="Y15" s="2">
        <v>0.6341</v>
      </c>
      <c r="Z15" s="2">
        <v>0.43980000000000002</v>
      </c>
      <c r="AA15" s="2">
        <v>0.64888999999999997</v>
      </c>
      <c r="AB15" s="2">
        <v>0.57872999999999997</v>
      </c>
      <c r="AC15" s="31">
        <f>COUNTIF(P15:AB15,1)</f>
        <v>2</v>
      </c>
      <c r="AD15" s="29">
        <f t="shared" ref="AD15:AD24" si="4">AH2-AC15</f>
        <v>5.4766000000000012</v>
      </c>
      <c r="AE15" s="2"/>
      <c r="AF15" s="2"/>
      <c r="AG15" s="2"/>
      <c r="AR15">
        <v>1</v>
      </c>
      <c r="AS15">
        <v>2</v>
      </c>
      <c r="AT15">
        <v>3</v>
      </c>
      <c r="AU15" t="str">
        <f t="shared" si="3"/>
        <v>1-2</v>
      </c>
    </row>
    <row r="16" spans="1:47" x14ac:dyDescent="0.25">
      <c r="A16">
        <v>1</v>
      </c>
      <c r="B16" t="s">
        <v>160</v>
      </c>
      <c r="C16" t="s">
        <v>10</v>
      </c>
      <c r="D16" s="1" t="s">
        <v>361</v>
      </c>
      <c r="E16">
        <v>8.17</v>
      </c>
      <c r="F16">
        <v>12.2</v>
      </c>
      <c r="G16">
        <v>1.5</v>
      </c>
      <c r="H16">
        <v>5.35</v>
      </c>
      <c r="I16">
        <v>6.85</v>
      </c>
      <c r="J16" t="s">
        <v>356</v>
      </c>
      <c r="K16" t="str">
        <f t="shared" si="0"/>
        <v>chris1</v>
      </c>
      <c r="L16">
        <f t="shared" si="1"/>
        <v>28.622499999999995</v>
      </c>
      <c r="O16" t="s">
        <v>352</v>
      </c>
      <c r="P16" s="2">
        <v>1</v>
      </c>
      <c r="Q16" s="2">
        <v>0</v>
      </c>
      <c r="R16" s="2">
        <v>0.18856000000000001</v>
      </c>
      <c r="S16" s="2">
        <v>0.44097999999999998</v>
      </c>
      <c r="T16" s="2">
        <v>0.62710999999999995</v>
      </c>
      <c r="U16" s="2">
        <v>0.32917000000000002</v>
      </c>
      <c r="V16" s="2">
        <v>0.68628999999999996</v>
      </c>
      <c r="W16" s="2">
        <v>0.36142999999999997</v>
      </c>
      <c r="X16" s="2">
        <v>0.29333999999999999</v>
      </c>
      <c r="Y16" s="2">
        <v>0.61073999999999995</v>
      </c>
      <c r="Z16" s="2">
        <v>0.56020000000000003</v>
      </c>
      <c r="AA16" s="2">
        <v>0.43942999999999999</v>
      </c>
      <c r="AB16" s="2">
        <v>0.28717999999999999</v>
      </c>
      <c r="AC16" s="31">
        <f t="shared" ref="AC16:AC24" si="5">COUNTIF(P16:AB16,1)</f>
        <v>1</v>
      </c>
      <c r="AD16" s="29">
        <f t="shared" si="4"/>
        <v>6.0324299999999988</v>
      </c>
      <c r="AE16" s="2"/>
      <c r="AF16" s="2"/>
      <c r="AG16" s="2"/>
      <c r="AR16">
        <v>2</v>
      </c>
      <c r="AS16">
        <v>2</v>
      </c>
      <c r="AT16">
        <v>1</v>
      </c>
      <c r="AU16" t="str">
        <f t="shared" si="3"/>
        <v>2-2</v>
      </c>
    </row>
    <row r="17" spans="1:47" x14ac:dyDescent="0.25">
      <c r="A17">
        <v>1</v>
      </c>
      <c r="B17" t="s">
        <v>25</v>
      </c>
      <c r="C17" t="s">
        <v>10</v>
      </c>
      <c r="D17" s="1" t="s">
        <v>414</v>
      </c>
      <c r="E17">
        <v>0</v>
      </c>
      <c r="F17">
        <v>0</v>
      </c>
      <c r="G17">
        <v>0</v>
      </c>
      <c r="H17">
        <v>0</v>
      </c>
      <c r="I17">
        <v>0</v>
      </c>
      <c r="J17" t="s">
        <v>356</v>
      </c>
      <c r="K17" t="str">
        <f t="shared" si="0"/>
        <v>chris1</v>
      </c>
      <c r="L17">
        <f t="shared" si="1"/>
        <v>0</v>
      </c>
      <c r="O17" t="s">
        <v>353</v>
      </c>
      <c r="P17" s="2">
        <v>0</v>
      </c>
      <c r="Q17" s="2">
        <v>0</v>
      </c>
      <c r="R17" s="2">
        <v>0.41282000000000002</v>
      </c>
      <c r="S17" s="2">
        <v>0.38590000000000002</v>
      </c>
      <c r="T17" s="2">
        <v>0.45078000000000001</v>
      </c>
      <c r="U17" s="2">
        <v>0.27993000000000001</v>
      </c>
      <c r="V17" s="2">
        <v>0.53425</v>
      </c>
      <c r="W17" s="2">
        <v>0.53907000000000005</v>
      </c>
      <c r="X17" s="2">
        <v>0.46367999999999998</v>
      </c>
      <c r="Y17" s="2">
        <v>0.38925999999999999</v>
      </c>
      <c r="Z17" s="2">
        <v>0.74355000000000004</v>
      </c>
      <c r="AA17" s="2">
        <v>0.35110999999999998</v>
      </c>
      <c r="AB17" s="2">
        <v>0.45213999999999999</v>
      </c>
      <c r="AC17" s="31">
        <f t="shared" si="5"/>
        <v>0</v>
      </c>
      <c r="AD17" s="29">
        <f t="shared" si="4"/>
        <v>4.8340299999999994</v>
      </c>
      <c r="AE17" s="2"/>
      <c r="AF17" s="2"/>
      <c r="AG17" s="2"/>
      <c r="AR17">
        <v>3</v>
      </c>
      <c r="AS17">
        <v>2</v>
      </c>
      <c r="AT17">
        <v>4</v>
      </c>
      <c r="AU17" t="str">
        <f t="shared" si="3"/>
        <v>3-2</v>
      </c>
    </row>
    <row r="18" spans="1:47" x14ac:dyDescent="0.25">
      <c r="A18">
        <v>1</v>
      </c>
      <c r="B18" t="s">
        <v>158</v>
      </c>
      <c r="C18" t="s">
        <v>10</v>
      </c>
      <c r="D18" s="1" t="s">
        <v>214</v>
      </c>
      <c r="E18">
        <v>20.9</v>
      </c>
      <c r="F18">
        <v>27.47</v>
      </c>
      <c r="G18">
        <v>10.49</v>
      </c>
      <c r="H18">
        <v>8.49</v>
      </c>
      <c r="I18">
        <v>18.98</v>
      </c>
      <c r="J18" t="s">
        <v>357</v>
      </c>
      <c r="K18" t="str">
        <f t="shared" si="0"/>
        <v>jordan1</v>
      </c>
      <c r="L18">
        <f t="shared" si="1"/>
        <v>72.080100000000002</v>
      </c>
      <c r="O18" t="s">
        <v>354</v>
      </c>
      <c r="P18" s="2">
        <v>0</v>
      </c>
      <c r="Q18" s="2">
        <v>0</v>
      </c>
      <c r="R18" s="2">
        <v>0.81144000000000005</v>
      </c>
      <c r="S18" s="2">
        <v>0.61409999999999998</v>
      </c>
      <c r="T18" s="2">
        <v>0.45216000000000001</v>
      </c>
      <c r="U18" s="2">
        <v>0.79042999999999997</v>
      </c>
      <c r="V18" s="2">
        <v>0.42695</v>
      </c>
      <c r="W18" s="2">
        <v>0.79229000000000005</v>
      </c>
      <c r="X18" s="2">
        <v>0.40728999999999999</v>
      </c>
      <c r="Y18" s="2">
        <v>0.33783000000000002</v>
      </c>
      <c r="Z18" s="2">
        <v>0.53359999999999996</v>
      </c>
      <c r="AA18" s="2">
        <v>0.56057000000000001</v>
      </c>
      <c r="AB18" s="2">
        <v>0.54786000000000001</v>
      </c>
      <c r="AC18" s="31">
        <f t="shared" si="5"/>
        <v>0</v>
      </c>
      <c r="AD18" s="29">
        <f t="shared" si="4"/>
        <v>6.3413400000000015</v>
      </c>
      <c r="AE18" s="2"/>
      <c r="AF18" s="2"/>
      <c r="AG18" s="2"/>
      <c r="AR18">
        <v>4</v>
      </c>
      <c r="AS18">
        <v>2</v>
      </c>
      <c r="AT18">
        <v>5</v>
      </c>
      <c r="AU18" t="str">
        <f t="shared" si="3"/>
        <v>4-2</v>
      </c>
    </row>
    <row r="19" spans="1:47" x14ac:dyDescent="0.25">
      <c r="A19">
        <v>1</v>
      </c>
      <c r="B19" t="s">
        <v>157</v>
      </c>
      <c r="C19" t="s">
        <v>10</v>
      </c>
      <c r="D19" s="1" t="s">
        <v>221</v>
      </c>
      <c r="E19">
        <v>9.8699999999999992</v>
      </c>
      <c r="F19">
        <v>15.06</v>
      </c>
      <c r="G19">
        <v>3.74</v>
      </c>
      <c r="H19">
        <v>5.66</v>
      </c>
      <c r="I19">
        <v>9.4</v>
      </c>
      <c r="J19" t="s">
        <v>357</v>
      </c>
      <c r="K19" t="str">
        <f t="shared" si="0"/>
        <v>jordan1</v>
      </c>
      <c r="L19">
        <f t="shared" si="1"/>
        <v>32.035600000000002</v>
      </c>
      <c r="O19" t="s">
        <v>355</v>
      </c>
      <c r="P19" s="2">
        <v>0</v>
      </c>
      <c r="Q19" s="2">
        <v>1</v>
      </c>
      <c r="R19" s="2">
        <v>0.64588000000000001</v>
      </c>
      <c r="S19" s="2">
        <v>0.55901999999999996</v>
      </c>
      <c r="T19" s="2">
        <v>0.54922000000000004</v>
      </c>
      <c r="U19" s="2">
        <v>0.51627000000000001</v>
      </c>
      <c r="V19" s="2">
        <v>0.49084</v>
      </c>
      <c r="W19" s="2">
        <v>0.61955000000000005</v>
      </c>
      <c r="X19" s="2">
        <v>0.53632000000000002</v>
      </c>
      <c r="Y19" s="2">
        <v>0.3659</v>
      </c>
      <c r="Z19" s="2">
        <v>0.46639999999999998</v>
      </c>
      <c r="AA19" s="2">
        <v>0.67779</v>
      </c>
      <c r="AB19" s="2">
        <v>0.71282000000000001</v>
      </c>
      <c r="AC19" s="31">
        <f t="shared" si="5"/>
        <v>1</v>
      </c>
      <c r="AD19" s="29">
        <f t="shared" si="4"/>
        <v>5.4604499999999998</v>
      </c>
      <c r="AE19" s="2"/>
      <c r="AF19" s="2"/>
      <c r="AG19" s="2"/>
      <c r="AR19">
        <v>5</v>
      </c>
      <c r="AS19">
        <v>2</v>
      </c>
      <c r="AT19">
        <v>6</v>
      </c>
      <c r="AU19" t="str">
        <f t="shared" si="3"/>
        <v>5-2</v>
      </c>
    </row>
    <row r="20" spans="1:47" x14ac:dyDescent="0.25">
      <c r="A20">
        <v>1</v>
      </c>
      <c r="B20" t="s">
        <v>146</v>
      </c>
      <c r="C20" t="s">
        <v>10</v>
      </c>
      <c r="D20" s="1" t="s">
        <v>213</v>
      </c>
      <c r="E20">
        <v>9.43</v>
      </c>
      <c r="F20">
        <v>11.95</v>
      </c>
      <c r="G20">
        <v>3.05</v>
      </c>
      <c r="H20">
        <v>4.45</v>
      </c>
      <c r="I20">
        <v>7.5</v>
      </c>
      <c r="J20" t="s">
        <v>357</v>
      </c>
      <c r="K20" t="str">
        <f t="shared" si="0"/>
        <v>jordan1</v>
      </c>
      <c r="L20">
        <f t="shared" si="1"/>
        <v>19.802500000000002</v>
      </c>
      <c r="O20" t="s">
        <v>356</v>
      </c>
      <c r="P20" s="2">
        <v>0</v>
      </c>
      <c r="Q20" s="2">
        <v>1</v>
      </c>
      <c r="R20" s="2">
        <v>0.25779000000000002</v>
      </c>
      <c r="S20" s="2">
        <v>0.52602000000000004</v>
      </c>
      <c r="T20" s="2">
        <v>0.37289</v>
      </c>
      <c r="U20" s="2">
        <v>0.20957000000000001</v>
      </c>
      <c r="V20" s="2">
        <v>0.46575</v>
      </c>
      <c r="W20" s="2">
        <v>0.38045000000000001</v>
      </c>
      <c r="X20" s="2">
        <v>0.20916999999999999</v>
      </c>
      <c r="Y20" s="2">
        <v>0.36764999999999998</v>
      </c>
      <c r="Z20" s="2">
        <v>0.34090999999999999</v>
      </c>
      <c r="AA20" s="2">
        <v>0.74628000000000005</v>
      </c>
      <c r="AB20" s="2">
        <v>0.42126999999999998</v>
      </c>
      <c r="AC20" s="31">
        <f t="shared" si="5"/>
        <v>1</v>
      </c>
      <c r="AD20" s="29">
        <f t="shared" si="4"/>
        <v>4.7352499999999997</v>
      </c>
      <c r="AE20" s="2"/>
      <c r="AF20" s="2"/>
      <c r="AG20" s="2"/>
      <c r="AR20">
        <v>6</v>
      </c>
      <c r="AS20">
        <v>2</v>
      </c>
      <c r="AT20">
        <v>10</v>
      </c>
      <c r="AU20" t="str">
        <f t="shared" si="3"/>
        <v>6-2</v>
      </c>
    </row>
    <row r="21" spans="1:47" x14ac:dyDescent="0.25">
      <c r="A21">
        <v>1</v>
      </c>
      <c r="B21" t="s">
        <v>12</v>
      </c>
      <c r="C21" t="s">
        <v>10</v>
      </c>
      <c r="D21" s="1" t="s">
        <v>215</v>
      </c>
      <c r="E21">
        <v>13.51</v>
      </c>
      <c r="F21">
        <v>20.69</v>
      </c>
      <c r="G21">
        <v>4.25</v>
      </c>
      <c r="H21">
        <v>8.2200000000000006</v>
      </c>
      <c r="I21">
        <v>12.47</v>
      </c>
      <c r="J21" t="s">
        <v>358</v>
      </c>
      <c r="K21" t="str">
        <f t="shared" si="0"/>
        <v>alex1</v>
      </c>
      <c r="L21">
        <f t="shared" si="1"/>
        <v>67.568400000000011</v>
      </c>
      <c r="O21" t="s">
        <v>357</v>
      </c>
      <c r="P21" s="2">
        <v>1</v>
      </c>
      <c r="Q21" s="2">
        <v>1</v>
      </c>
      <c r="R21" s="2">
        <v>0.46607999999999999</v>
      </c>
      <c r="S21" s="2">
        <v>0.41487000000000002</v>
      </c>
      <c r="T21" s="2">
        <v>0.73295999999999994</v>
      </c>
      <c r="U21" s="2">
        <v>0.48372999999999999</v>
      </c>
      <c r="V21" s="2">
        <v>0.76536000000000004</v>
      </c>
      <c r="W21" s="2">
        <v>0.63856999999999997</v>
      </c>
      <c r="X21" s="2">
        <v>0.79083000000000003</v>
      </c>
      <c r="Y21" s="2">
        <v>0.66217000000000004</v>
      </c>
      <c r="Z21" s="2">
        <v>0.51434000000000002</v>
      </c>
      <c r="AA21" s="2">
        <v>0.38418000000000002</v>
      </c>
      <c r="AB21" s="2">
        <v>0.76844000000000001</v>
      </c>
      <c r="AC21" s="31">
        <f t="shared" si="5"/>
        <v>2</v>
      </c>
      <c r="AD21" s="29">
        <f t="shared" si="4"/>
        <v>5.6075799999999996</v>
      </c>
      <c r="AE21" s="2"/>
      <c r="AF21" s="2"/>
      <c r="AG21" s="2"/>
      <c r="AR21">
        <v>7</v>
      </c>
      <c r="AS21">
        <v>2</v>
      </c>
      <c r="AT21">
        <v>9</v>
      </c>
      <c r="AU21" t="str">
        <f t="shared" si="3"/>
        <v>7-2</v>
      </c>
    </row>
    <row r="22" spans="1:47" x14ac:dyDescent="0.25">
      <c r="A22">
        <v>1</v>
      </c>
      <c r="B22" t="s">
        <v>14</v>
      </c>
      <c r="C22" t="s">
        <v>10</v>
      </c>
      <c r="D22" s="1" t="s">
        <v>298</v>
      </c>
      <c r="E22">
        <v>11.24</v>
      </c>
      <c r="F22">
        <v>15.92</v>
      </c>
      <c r="G22">
        <v>4.54</v>
      </c>
      <c r="H22">
        <v>5.69</v>
      </c>
      <c r="I22">
        <v>10.23</v>
      </c>
      <c r="J22" t="s">
        <v>358</v>
      </c>
      <c r="K22" t="str">
        <f t="shared" si="0"/>
        <v>alex1</v>
      </c>
      <c r="L22">
        <f t="shared" si="1"/>
        <v>32.376100000000001</v>
      </c>
      <c r="O22" t="s">
        <v>358</v>
      </c>
      <c r="P22" s="2">
        <v>1</v>
      </c>
      <c r="Q22" s="2">
        <v>1</v>
      </c>
      <c r="R22" s="2">
        <v>0.74221000000000004</v>
      </c>
      <c r="S22" s="2">
        <v>0.58513000000000004</v>
      </c>
      <c r="T22" s="2">
        <v>0.21987999999999999</v>
      </c>
      <c r="U22" s="2">
        <v>0.72006999999999999</v>
      </c>
      <c r="V22" s="2">
        <v>0.50915999999999995</v>
      </c>
      <c r="W22" s="2">
        <v>0.44550000000000001</v>
      </c>
      <c r="X22" s="2">
        <v>0.70665999999999995</v>
      </c>
      <c r="Y22" s="2">
        <v>0.61107</v>
      </c>
      <c r="Z22" s="2">
        <v>0.65908999999999995</v>
      </c>
      <c r="AA22" s="2">
        <v>0.61582000000000003</v>
      </c>
      <c r="AB22" s="2">
        <v>0.46549000000000001</v>
      </c>
      <c r="AC22" s="31">
        <f t="shared" si="5"/>
        <v>2</v>
      </c>
      <c r="AD22" s="29">
        <f t="shared" si="4"/>
        <v>5.5906100000000007</v>
      </c>
      <c r="AE22" s="2"/>
      <c r="AF22" s="2"/>
      <c r="AG22" s="2"/>
      <c r="AR22">
        <v>8</v>
      </c>
      <c r="AS22">
        <v>2</v>
      </c>
      <c r="AT22">
        <v>7</v>
      </c>
      <c r="AU22" t="str">
        <f t="shared" si="3"/>
        <v>8-2</v>
      </c>
    </row>
    <row r="23" spans="1:47" x14ac:dyDescent="0.25">
      <c r="A23">
        <v>1</v>
      </c>
      <c r="B23" t="s">
        <v>152</v>
      </c>
      <c r="C23" t="s">
        <v>10</v>
      </c>
      <c r="D23" s="1" t="s">
        <v>211</v>
      </c>
      <c r="E23">
        <v>21.58</v>
      </c>
      <c r="F23">
        <v>27.43</v>
      </c>
      <c r="G23">
        <v>11.15</v>
      </c>
      <c r="H23">
        <v>8.14</v>
      </c>
      <c r="I23">
        <v>19.29</v>
      </c>
      <c r="J23" t="s">
        <v>359</v>
      </c>
      <c r="K23" t="str">
        <f t="shared" si="0"/>
        <v>colin1</v>
      </c>
      <c r="L23">
        <f t="shared" si="1"/>
        <v>66.259600000000006</v>
      </c>
      <c r="O23" t="s">
        <v>359</v>
      </c>
      <c r="P23" s="2">
        <v>1</v>
      </c>
      <c r="Q23" s="2">
        <v>0</v>
      </c>
      <c r="R23" s="2">
        <v>0.35411999999999999</v>
      </c>
      <c r="S23" s="2">
        <v>0.47398000000000001</v>
      </c>
      <c r="T23" s="2">
        <v>0.26704</v>
      </c>
      <c r="U23" s="2">
        <v>0.1356</v>
      </c>
      <c r="V23" s="2">
        <v>0.31370999999999999</v>
      </c>
      <c r="W23" s="2">
        <v>0.20771000000000001</v>
      </c>
      <c r="X23" s="2">
        <v>0.31062000000000001</v>
      </c>
      <c r="Y23" s="2">
        <v>0.38893</v>
      </c>
      <c r="Z23" s="2">
        <v>0.25645000000000001</v>
      </c>
      <c r="AA23" s="2">
        <v>0.25372</v>
      </c>
      <c r="AB23" s="2">
        <v>0.23155999999999999</v>
      </c>
      <c r="AC23" s="31">
        <f t="shared" si="5"/>
        <v>1</v>
      </c>
      <c r="AD23" s="29">
        <f t="shared" si="4"/>
        <v>4.416529999999999</v>
      </c>
      <c r="AE23" s="2"/>
      <c r="AF23" s="2"/>
      <c r="AG23" s="2"/>
      <c r="AR23">
        <v>9</v>
      </c>
      <c r="AS23">
        <v>2</v>
      </c>
      <c r="AT23">
        <v>8</v>
      </c>
      <c r="AU23" t="str">
        <f t="shared" si="3"/>
        <v>9-2</v>
      </c>
    </row>
    <row r="24" spans="1:47" x14ac:dyDescent="0.25">
      <c r="A24">
        <v>1</v>
      </c>
      <c r="B24" t="s">
        <v>264</v>
      </c>
      <c r="C24" t="s">
        <v>10</v>
      </c>
      <c r="D24" s="1" t="s">
        <v>362</v>
      </c>
      <c r="E24">
        <v>9</v>
      </c>
      <c r="F24">
        <v>12.95</v>
      </c>
      <c r="G24">
        <v>2.63</v>
      </c>
      <c r="H24">
        <v>5.16</v>
      </c>
      <c r="I24">
        <v>7.79</v>
      </c>
      <c r="J24" t="s">
        <v>359</v>
      </c>
      <c r="K24" t="str">
        <f t="shared" si="0"/>
        <v>colin1</v>
      </c>
      <c r="L24">
        <f t="shared" si="1"/>
        <v>26.625600000000002</v>
      </c>
      <c r="O24" t="s">
        <v>360</v>
      </c>
      <c r="P24" s="2">
        <v>0</v>
      </c>
      <c r="Q24" s="2">
        <v>0</v>
      </c>
      <c r="R24" s="2">
        <v>0.53391999999999995</v>
      </c>
      <c r="S24" s="2">
        <v>0.41477999999999998</v>
      </c>
      <c r="T24" s="2">
        <v>0.78012000000000004</v>
      </c>
      <c r="U24" s="2">
        <v>0.67083000000000004</v>
      </c>
      <c r="V24" s="2">
        <v>0.57304999999999995</v>
      </c>
      <c r="W24" s="2">
        <v>0.46093000000000001</v>
      </c>
      <c r="X24" s="2">
        <v>0.68937999999999999</v>
      </c>
      <c r="Y24" s="2">
        <v>0.63234999999999997</v>
      </c>
      <c r="Z24" s="2">
        <v>0.48565999999999998</v>
      </c>
      <c r="AA24" s="2">
        <v>0.32221</v>
      </c>
      <c r="AB24" s="2">
        <v>0.53451000000000004</v>
      </c>
      <c r="AC24" s="31">
        <f t="shared" si="5"/>
        <v>0</v>
      </c>
      <c r="AD24" s="29">
        <f t="shared" si="4"/>
        <v>6.5051799999999993</v>
      </c>
      <c r="AE24" s="2"/>
      <c r="AF24" s="2"/>
      <c r="AG24" s="2"/>
      <c r="AR24">
        <v>10</v>
      </c>
      <c r="AS24">
        <v>2</v>
      </c>
      <c r="AT24">
        <v>3</v>
      </c>
      <c r="AU24" t="str">
        <f t="shared" si="3"/>
        <v>10-2</v>
      </c>
    </row>
    <row r="25" spans="1:47" x14ac:dyDescent="0.25">
      <c r="A25">
        <v>1</v>
      </c>
      <c r="B25" t="s">
        <v>13</v>
      </c>
      <c r="C25" t="s">
        <v>10</v>
      </c>
      <c r="D25" s="1" t="s">
        <v>208</v>
      </c>
      <c r="E25">
        <v>15.11</v>
      </c>
      <c r="F25">
        <v>23.55</v>
      </c>
      <c r="G25">
        <v>3.91</v>
      </c>
      <c r="H25">
        <v>9.82</v>
      </c>
      <c r="I25">
        <v>13.73</v>
      </c>
      <c r="J25" t="s">
        <v>360</v>
      </c>
      <c r="K25" t="str">
        <f t="shared" si="0"/>
        <v>paul1</v>
      </c>
      <c r="L25">
        <f t="shared" si="1"/>
        <v>96.432400000000001</v>
      </c>
      <c r="AR25">
        <v>11</v>
      </c>
      <c r="AS25">
        <v>2</v>
      </c>
      <c r="AT25">
        <v>1</v>
      </c>
      <c r="AU25" t="str">
        <f t="shared" si="3"/>
        <v>11-2</v>
      </c>
    </row>
    <row r="26" spans="1:47" x14ac:dyDescent="0.25">
      <c r="A26">
        <v>1</v>
      </c>
      <c r="B26" t="s">
        <v>185</v>
      </c>
      <c r="C26" t="s">
        <v>10</v>
      </c>
      <c r="D26" s="1" t="s">
        <v>297</v>
      </c>
      <c r="E26">
        <v>11.77</v>
      </c>
      <c r="F26">
        <v>16.989999999999998</v>
      </c>
      <c r="G26">
        <v>4.6100000000000003</v>
      </c>
      <c r="H26">
        <v>6.19</v>
      </c>
      <c r="I26">
        <v>10.8</v>
      </c>
      <c r="J26" t="s">
        <v>360</v>
      </c>
      <c r="K26" t="str">
        <f t="shared" si="0"/>
        <v>paul1</v>
      </c>
      <c r="L26">
        <f t="shared" si="1"/>
        <v>38.316100000000006</v>
      </c>
      <c r="AR26">
        <v>12</v>
      </c>
      <c r="AS26">
        <v>2</v>
      </c>
      <c r="AT26">
        <v>4</v>
      </c>
      <c r="AU26" t="str">
        <f t="shared" si="3"/>
        <v>12-2</v>
      </c>
    </row>
    <row r="27" spans="1:47" x14ac:dyDescent="0.25">
      <c r="A27">
        <v>1</v>
      </c>
      <c r="B27" t="s">
        <v>115</v>
      </c>
      <c r="C27" t="s">
        <v>10</v>
      </c>
      <c r="D27" s="1" t="s">
        <v>209</v>
      </c>
      <c r="E27">
        <v>12.33</v>
      </c>
      <c r="F27">
        <v>18.100000000000001</v>
      </c>
      <c r="G27">
        <v>2.88</v>
      </c>
      <c r="H27">
        <v>7.61</v>
      </c>
      <c r="I27">
        <v>10.49</v>
      </c>
      <c r="J27" t="s">
        <v>360</v>
      </c>
      <c r="K27" t="str">
        <f t="shared" si="0"/>
        <v>paul1</v>
      </c>
      <c r="L27">
        <f t="shared" si="1"/>
        <v>57.912100000000002</v>
      </c>
      <c r="AR27">
        <v>13</v>
      </c>
      <c r="AS27">
        <v>2</v>
      </c>
      <c r="AT27">
        <v>5</v>
      </c>
      <c r="AU27" t="str">
        <f t="shared" si="3"/>
        <v>13-2</v>
      </c>
    </row>
    <row r="28" spans="1:47" x14ac:dyDescent="0.25">
      <c r="A28">
        <v>1</v>
      </c>
      <c r="B28" t="s">
        <v>41</v>
      </c>
      <c r="C28" t="s">
        <v>32</v>
      </c>
      <c r="D28" s="1" t="s">
        <v>415</v>
      </c>
      <c r="E28">
        <v>16.14</v>
      </c>
      <c r="F28">
        <v>20.329999999999998</v>
      </c>
      <c r="G28">
        <v>5.55</v>
      </c>
      <c r="H28">
        <v>7.39</v>
      </c>
      <c r="I28">
        <v>12.94</v>
      </c>
      <c r="J28" t="s">
        <v>351</v>
      </c>
      <c r="K28" t="str">
        <f t="shared" si="0"/>
        <v>andrew1</v>
      </c>
      <c r="L28">
        <f t="shared" si="1"/>
        <v>54.612099999999998</v>
      </c>
      <c r="AR28">
        <v>1</v>
      </c>
      <c r="AS28">
        <v>3</v>
      </c>
      <c r="AT28">
        <v>2</v>
      </c>
      <c r="AU28" t="str">
        <f t="shared" si="3"/>
        <v>1-3</v>
      </c>
    </row>
    <row r="29" spans="1:47" x14ac:dyDescent="0.25">
      <c r="A29">
        <v>1</v>
      </c>
      <c r="B29" t="s">
        <v>72</v>
      </c>
      <c r="C29" t="s">
        <v>32</v>
      </c>
      <c r="D29" s="1" t="s">
        <v>237</v>
      </c>
      <c r="E29">
        <v>12.6</v>
      </c>
      <c r="F29">
        <v>16.29</v>
      </c>
      <c r="G29">
        <v>3.69</v>
      </c>
      <c r="H29">
        <v>6.3</v>
      </c>
      <c r="I29">
        <v>9.99</v>
      </c>
      <c r="J29" t="s">
        <v>351</v>
      </c>
      <c r="K29" t="str">
        <f t="shared" si="0"/>
        <v>andrew1</v>
      </c>
      <c r="L29">
        <f t="shared" si="1"/>
        <v>39.69</v>
      </c>
      <c r="AR29">
        <v>2</v>
      </c>
      <c r="AS29">
        <v>3</v>
      </c>
      <c r="AT29">
        <v>7</v>
      </c>
      <c r="AU29" t="str">
        <f t="shared" si="3"/>
        <v>2-3</v>
      </c>
    </row>
    <row r="30" spans="1:47" x14ac:dyDescent="0.25">
      <c r="A30">
        <v>1</v>
      </c>
      <c r="B30" t="s">
        <v>33</v>
      </c>
      <c r="C30" t="s">
        <v>32</v>
      </c>
      <c r="D30" s="1" t="s">
        <v>232</v>
      </c>
      <c r="E30">
        <v>14.31</v>
      </c>
      <c r="F30">
        <v>17.510000000000002</v>
      </c>
      <c r="G30">
        <v>5.29</v>
      </c>
      <c r="H30">
        <v>6.11</v>
      </c>
      <c r="I30">
        <v>11.4</v>
      </c>
      <c r="J30" t="s">
        <v>352</v>
      </c>
      <c r="K30" t="str">
        <f t="shared" si="0"/>
        <v>jake1</v>
      </c>
      <c r="L30">
        <f t="shared" si="1"/>
        <v>37.332100000000004</v>
      </c>
      <c r="AR30">
        <v>3</v>
      </c>
      <c r="AS30">
        <v>3</v>
      </c>
      <c r="AT30">
        <v>1</v>
      </c>
      <c r="AU30" t="str">
        <f t="shared" si="3"/>
        <v>3-3</v>
      </c>
    </row>
    <row r="31" spans="1:47" x14ac:dyDescent="0.25">
      <c r="A31">
        <v>1</v>
      </c>
      <c r="B31" t="s">
        <v>39</v>
      </c>
      <c r="C31" t="s">
        <v>32</v>
      </c>
      <c r="D31" s="1" t="s">
        <v>230</v>
      </c>
      <c r="E31">
        <v>12.89</v>
      </c>
      <c r="F31">
        <v>16.86</v>
      </c>
      <c r="G31">
        <v>2.78</v>
      </c>
      <c r="H31">
        <v>7.04</v>
      </c>
      <c r="I31">
        <v>9.82</v>
      </c>
      <c r="J31" t="s">
        <v>352</v>
      </c>
      <c r="K31" t="str">
        <f t="shared" si="0"/>
        <v>jake1</v>
      </c>
      <c r="L31">
        <f t="shared" si="1"/>
        <v>49.561599999999999</v>
      </c>
      <c r="AR31">
        <v>4</v>
      </c>
      <c r="AS31">
        <v>3</v>
      </c>
      <c r="AT31">
        <v>4</v>
      </c>
      <c r="AU31" t="str">
        <f t="shared" si="3"/>
        <v>4-3</v>
      </c>
    </row>
    <row r="32" spans="1:47" x14ac:dyDescent="0.25">
      <c r="A32">
        <v>1</v>
      </c>
      <c r="B32" t="s">
        <v>44</v>
      </c>
      <c r="C32" t="s">
        <v>32</v>
      </c>
      <c r="D32" s="1" t="s">
        <v>233</v>
      </c>
      <c r="E32">
        <v>11.68</v>
      </c>
      <c r="F32">
        <v>14.74</v>
      </c>
      <c r="G32">
        <v>3.8</v>
      </c>
      <c r="H32">
        <v>5.47</v>
      </c>
      <c r="I32">
        <v>9.27</v>
      </c>
      <c r="J32" t="s">
        <v>353</v>
      </c>
      <c r="K32" t="str">
        <f t="shared" si="0"/>
        <v>breanna1</v>
      </c>
      <c r="L32">
        <f t="shared" si="1"/>
        <v>29.920899999999996</v>
      </c>
      <c r="AR32">
        <v>5</v>
      </c>
      <c r="AS32">
        <v>3</v>
      </c>
      <c r="AT32">
        <v>5</v>
      </c>
      <c r="AU32" t="str">
        <f t="shared" si="3"/>
        <v>5-3</v>
      </c>
    </row>
    <row r="33" spans="1:47" x14ac:dyDescent="0.25">
      <c r="A33">
        <v>1</v>
      </c>
      <c r="B33" t="s">
        <v>48</v>
      </c>
      <c r="C33" t="s">
        <v>32</v>
      </c>
      <c r="D33" s="1" t="s">
        <v>238</v>
      </c>
      <c r="E33">
        <v>10.89</v>
      </c>
      <c r="F33">
        <v>13.8</v>
      </c>
      <c r="G33">
        <v>3.48</v>
      </c>
      <c r="H33">
        <v>5.16</v>
      </c>
      <c r="I33">
        <v>8.64</v>
      </c>
      <c r="J33" t="s">
        <v>353</v>
      </c>
      <c r="K33" t="str">
        <f t="shared" si="0"/>
        <v>breanna1</v>
      </c>
      <c r="L33">
        <f t="shared" si="1"/>
        <v>26.625600000000002</v>
      </c>
      <c r="AR33">
        <v>6</v>
      </c>
      <c r="AS33">
        <v>3</v>
      </c>
      <c r="AT33">
        <v>8</v>
      </c>
      <c r="AU33" t="str">
        <f t="shared" si="3"/>
        <v>6-3</v>
      </c>
    </row>
    <row r="34" spans="1:47" x14ac:dyDescent="0.25">
      <c r="A34">
        <v>1</v>
      </c>
      <c r="B34" t="s">
        <v>165</v>
      </c>
      <c r="C34" t="s">
        <v>32</v>
      </c>
      <c r="D34" s="1" t="s">
        <v>240</v>
      </c>
      <c r="E34">
        <v>10.029999999999999</v>
      </c>
      <c r="F34">
        <v>13.62</v>
      </c>
      <c r="G34">
        <v>2.66</v>
      </c>
      <c r="H34">
        <v>5.48</v>
      </c>
      <c r="I34">
        <v>8.14</v>
      </c>
      <c r="J34" t="s">
        <v>353</v>
      </c>
      <c r="K34" t="str">
        <f t="shared" si="0"/>
        <v>breanna1</v>
      </c>
      <c r="L34">
        <f t="shared" si="1"/>
        <v>30.030400000000004</v>
      </c>
      <c r="AR34">
        <v>7</v>
      </c>
      <c r="AS34">
        <v>3</v>
      </c>
      <c r="AT34">
        <v>6</v>
      </c>
      <c r="AU34" t="str">
        <f t="shared" si="3"/>
        <v>7-3</v>
      </c>
    </row>
    <row r="35" spans="1:47" x14ac:dyDescent="0.25">
      <c r="A35">
        <v>1</v>
      </c>
      <c r="B35" t="s">
        <v>42</v>
      </c>
      <c r="C35" t="s">
        <v>32</v>
      </c>
      <c r="D35" s="1" t="s">
        <v>416</v>
      </c>
      <c r="E35">
        <v>18.48</v>
      </c>
      <c r="F35">
        <v>21.58</v>
      </c>
      <c r="G35">
        <v>8.3800000000000008</v>
      </c>
      <c r="H35">
        <v>6.6</v>
      </c>
      <c r="I35">
        <v>14.98</v>
      </c>
      <c r="J35" t="s">
        <v>354</v>
      </c>
      <c r="K35" t="str">
        <f t="shared" si="0"/>
        <v>joseph1</v>
      </c>
      <c r="L35">
        <f t="shared" si="1"/>
        <v>43.559999999999995</v>
      </c>
      <c r="AR35">
        <v>8</v>
      </c>
      <c r="AS35">
        <v>3</v>
      </c>
      <c r="AT35">
        <v>10</v>
      </c>
      <c r="AU35" t="str">
        <f t="shared" si="3"/>
        <v>8-3</v>
      </c>
    </row>
    <row r="36" spans="1:47" x14ac:dyDescent="0.25">
      <c r="A36">
        <v>1</v>
      </c>
      <c r="B36" t="s">
        <v>43</v>
      </c>
      <c r="C36" t="s">
        <v>32</v>
      </c>
      <c r="D36" s="1" t="s">
        <v>227</v>
      </c>
      <c r="E36">
        <v>15.02</v>
      </c>
      <c r="F36">
        <v>20.55</v>
      </c>
      <c r="G36">
        <v>4.13</v>
      </c>
      <c r="H36">
        <v>8.2100000000000009</v>
      </c>
      <c r="I36">
        <v>12.34</v>
      </c>
      <c r="J36" t="s">
        <v>354</v>
      </c>
      <c r="K36" t="str">
        <f t="shared" si="0"/>
        <v>joseph1</v>
      </c>
      <c r="L36">
        <f t="shared" si="1"/>
        <v>67.404100000000014</v>
      </c>
      <c r="AR36">
        <v>9</v>
      </c>
      <c r="AS36">
        <v>3</v>
      </c>
      <c r="AT36">
        <v>5</v>
      </c>
      <c r="AU36" t="str">
        <f t="shared" si="3"/>
        <v>9-3</v>
      </c>
    </row>
    <row r="37" spans="1:47" x14ac:dyDescent="0.25">
      <c r="A37">
        <v>1</v>
      </c>
      <c r="B37" t="s">
        <v>69</v>
      </c>
      <c r="C37" t="s">
        <v>32</v>
      </c>
      <c r="D37" s="1" t="s">
        <v>225</v>
      </c>
      <c r="E37">
        <v>15.25</v>
      </c>
      <c r="F37">
        <v>18.41</v>
      </c>
      <c r="G37">
        <v>5.31</v>
      </c>
      <c r="H37">
        <v>6.55</v>
      </c>
      <c r="I37">
        <v>11.86</v>
      </c>
      <c r="J37" t="s">
        <v>355</v>
      </c>
      <c r="K37" t="str">
        <f t="shared" si="0"/>
        <v>alyssa1</v>
      </c>
      <c r="L37">
        <f t="shared" si="1"/>
        <v>42.902499999999996</v>
      </c>
      <c r="AR37">
        <v>10</v>
      </c>
      <c r="AS37">
        <v>3</v>
      </c>
      <c r="AT37">
        <v>2</v>
      </c>
      <c r="AU37" t="str">
        <f t="shared" si="3"/>
        <v>10-3</v>
      </c>
    </row>
    <row r="38" spans="1:47" x14ac:dyDescent="0.25">
      <c r="A38">
        <v>1</v>
      </c>
      <c r="B38" t="s">
        <v>71</v>
      </c>
      <c r="C38" t="s">
        <v>32</v>
      </c>
      <c r="D38" s="1" t="s">
        <v>241</v>
      </c>
      <c r="E38">
        <v>13.78</v>
      </c>
      <c r="F38">
        <v>18.82</v>
      </c>
      <c r="G38">
        <v>3.28</v>
      </c>
      <c r="H38">
        <v>7.77</v>
      </c>
      <c r="I38">
        <v>11.05</v>
      </c>
      <c r="J38" t="s">
        <v>355</v>
      </c>
      <c r="K38" t="str">
        <f t="shared" si="0"/>
        <v>alyssa1</v>
      </c>
      <c r="L38">
        <f t="shared" si="1"/>
        <v>60.372899999999994</v>
      </c>
      <c r="AR38">
        <v>11</v>
      </c>
      <c r="AS38">
        <v>3</v>
      </c>
      <c r="AT38">
        <v>9</v>
      </c>
      <c r="AU38" t="str">
        <f t="shared" si="3"/>
        <v>11-3</v>
      </c>
    </row>
    <row r="39" spans="1:47" x14ac:dyDescent="0.25">
      <c r="A39">
        <v>1</v>
      </c>
      <c r="B39" t="s">
        <v>47</v>
      </c>
      <c r="C39" t="s">
        <v>32</v>
      </c>
      <c r="D39" s="1" t="s">
        <v>229</v>
      </c>
      <c r="E39">
        <v>15.75</v>
      </c>
      <c r="F39">
        <v>19.36</v>
      </c>
      <c r="G39">
        <v>5.94</v>
      </c>
      <c r="H39">
        <v>6.71</v>
      </c>
      <c r="I39">
        <v>12.65</v>
      </c>
      <c r="J39" t="s">
        <v>356</v>
      </c>
      <c r="K39" t="str">
        <f t="shared" si="0"/>
        <v>chris1</v>
      </c>
      <c r="L39">
        <f t="shared" si="1"/>
        <v>45.024099999999997</v>
      </c>
      <c r="AR39">
        <v>12</v>
      </c>
      <c r="AS39">
        <v>3</v>
      </c>
      <c r="AT39">
        <v>1</v>
      </c>
      <c r="AU39" t="str">
        <f t="shared" si="3"/>
        <v>12-3</v>
      </c>
    </row>
    <row r="40" spans="1:47" x14ac:dyDescent="0.25">
      <c r="A40">
        <v>1</v>
      </c>
      <c r="B40" t="s">
        <v>46</v>
      </c>
      <c r="C40" t="s">
        <v>32</v>
      </c>
      <c r="D40" s="1" t="s">
        <v>231</v>
      </c>
      <c r="E40">
        <v>11.39</v>
      </c>
      <c r="F40">
        <v>13.45</v>
      </c>
      <c r="G40">
        <v>4.01</v>
      </c>
      <c r="H40">
        <v>4.72</v>
      </c>
      <c r="I40">
        <v>8.73</v>
      </c>
      <c r="J40" t="s">
        <v>356</v>
      </c>
      <c r="K40" t="str">
        <f t="shared" si="0"/>
        <v>chris1</v>
      </c>
      <c r="L40">
        <f t="shared" si="1"/>
        <v>22.278399999999998</v>
      </c>
      <c r="AR40">
        <v>13</v>
      </c>
      <c r="AS40">
        <v>3</v>
      </c>
      <c r="AT40">
        <v>4</v>
      </c>
      <c r="AU40" t="str">
        <f t="shared" si="3"/>
        <v>13-3</v>
      </c>
    </row>
    <row r="41" spans="1:47" x14ac:dyDescent="0.25">
      <c r="A41">
        <v>1</v>
      </c>
      <c r="B41" t="s">
        <v>35</v>
      </c>
      <c r="C41" t="s">
        <v>32</v>
      </c>
      <c r="D41" s="1" t="s">
        <v>417</v>
      </c>
      <c r="E41">
        <v>11.59</v>
      </c>
      <c r="F41">
        <v>14.39</v>
      </c>
      <c r="G41">
        <v>2.59</v>
      </c>
      <c r="H41">
        <v>5.9</v>
      </c>
      <c r="I41">
        <v>8.49</v>
      </c>
      <c r="J41" t="s">
        <v>357</v>
      </c>
      <c r="K41" t="str">
        <f t="shared" si="0"/>
        <v>jordan1</v>
      </c>
      <c r="L41">
        <f t="shared" si="1"/>
        <v>34.81</v>
      </c>
      <c r="AR41">
        <v>1</v>
      </c>
      <c r="AS41">
        <v>4</v>
      </c>
      <c r="AT41">
        <v>8</v>
      </c>
      <c r="AU41" t="str">
        <f t="shared" si="3"/>
        <v>1-4</v>
      </c>
    </row>
    <row r="42" spans="1:47" x14ac:dyDescent="0.25">
      <c r="A42">
        <v>1</v>
      </c>
      <c r="B42" t="s">
        <v>222</v>
      </c>
      <c r="C42" t="s">
        <v>32</v>
      </c>
      <c r="D42" s="1" t="s">
        <v>223</v>
      </c>
      <c r="E42">
        <v>8.57</v>
      </c>
      <c r="F42">
        <v>12.93</v>
      </c>
      <c r="G42">
        <v>0.99</v>
      </c>
      <c r="H42">
        <v>5.97</v>
      </c>
      <c r="I42">
        <v>6.96</v>
      </c>
      <c r="J42" t="s">
        <v>357</v>
      </c>
      <c r="K42" t="str">
        <f t="shared" si="0"/>
        <v>jordan1</v>
      </c>
      <c r="L42">
        <f t="shared" si="1"/>
        <v>35.640899999999995</v>
      </c>
      <c r="AR42">
        <v>2</v>
      </c>
      <c r="AS42">
        <v>4</v>
      </c>
      <c r="AT42">
        <v>5</v>
      </c>
      <c r="AU42" t="str">
        <f t="shared" si="3"/>
        <v>2-4</v>
      </c>
    </row>
    <row r="43" spans="1:47" x14ac:dyDescent="0.25">
      <c r="A43">
        <v>1</v>
      </c>
      <c r="B43" t="s">
        <v>36</v>
      </c>
      <c r="C43" t="s">
        <v>32</v>
      </c>
      <c r="D43" s="1" t="s">
        <v>228</v>
      </c>
      <c r="E43">
        <v>13.05</v>
      </c>
      <c r="F43">
        <v>18.05</v>
      </c>
      <c r="G43">
        <v>3.33</v>
      </c>
      <c r="H43">
        <v>7.36</v>
      </c>
      <c r="I43">
        <v>10.69</v>
      </c>
      <c r="J43" t="s">
        <v>358</v>
      </c>
      <c r="K43" t="str">
        <f t="shared" si="0"/>
        <v>alex1</v>
      </c>
      <c r="L43">
        <f t="shared" si="1"/>
        <v>54.169600000000003</v>
      </c>
      <c r="AR43">
        <v>3</v>
      </c>
      <c r="AS43">
        <v>4</v>
      </c>
      <c r="AT43">
        <v>2</v>
      </c>
      <c r="AU43" t="str">
        <f t="shared" si="3"/>
        <v>3-4</v>
      </c>
    </row>
    <row r="44" spans="1:47" x14ac:dyDescent="0.25">
      <c r="A44">
        <v>1</v>
      </c>
      <c r="B44" t="s">
        <v>34</v>
      </c>
      <c r="C44" t="s">
        <v>32</v>
      </c>
      <c r="D44" s="1" t="s">
        <v>226</v>
      </c>
      <c r="E44">
        <v>12.62</v>
      </c>
      <c r="F44">
        <v>18</v>
      </c>
      <c r="G44">
        <v>1.74</v>
      </c>
      <c r="H44">
        <v>8.1300000000000008</v>
      </c>
      <c r="I44">
        <v>9.8699999999999992</v>
      </c>
      <c r="J44" t="s">
        <v>358</v>
      </c>
      <c r="K44" t="str">
        <f t="shared" si="0"/>
        <v>alex1</v>
      </c>
      <c r="L44">
        <f t="shared" si="1"/>
        <v>66.096900000000019</v>
      </c>
      <c r="AR44">
        <v>4</v>
      </c>
      <c r="AS44">
        <v>4</v>
      </c>
      <c r="AT44">
        <v>3</v>
      </c>
      <c r="AU44" t="str">
        <f t="shared" si="3"/>
        <v>4-4</v>
      </c>
    </row>
    <row r="45" spans="1:47" x14ac:dyDescent="0.25">
      <c r="A45">
        <v>1</v>
      </c>
      <c r="B45" t="s">
        <v>184</v>
      </c>
      <c r="C45" t="s">
        <v>32</v>
      </c>
      <c r="D45" s="1" t="s">
        <v>333</v>
      </c>
      <c r="E45">
        <v>12.08</v>
      </c>
      <c r="F45">
        <v>15.31</v>
      </c>
      <c r="G45">
        <v>3.01</v>
      </c>
      <c r="H45">
        <v>6.15</v>
      </c>
      <c r="I45">
        <v>9.16</v>
      </c>
      <c r="J45" t="s">
        <v>358</v>
      </c>
      <c r="K45" t="str">
        <f t="shared" si="0"/>
        <v>alex1</v>
      </c>
      <c r="L45">
        <f t="shared" si="1"/>
        <v>37.822500000000005</v>
      </c>
      <c r="AR45">
        <v>5</v>
      </c>
      <c r="AS45">
        <v>4</v>
      </c>
      <c r="AT45">
        <v>1</v>
      </c>
      <c r="AU45" t="str">
        <f t="shared" si="3"/>
        <v>5-4</v>
      </c>
    </row>
    <row r="46" spans="1:47" x14ac:dyDescent="0.25">
      <c r="A46">
        <v>1</v>
      </c>
      <c r="B46" t="s">
        <v>234</v>
      </c>
      <c r="C46" t="s">
        <v>32</v>
      </c>
      <c r="D46" s="1" t="s">
        <v>235</v>
      </c>
      <c r="E46">
        <v>11.04</v>
      </c>
      <c r="F46">
        <v>14.39</v>
      </c>
      <c r="G46">
        <v>2.73</v>
      </c>
      <c r="H46">
        <v>5.83</v>
      </c>
      <c r="I46">
        <v>8.56</v>
      </c>
      <c r="J46" t="s">
        <v>359</v>
      </c>
      <c r="K46" t="str">
        <f t="shared" si="0"/>
        <v>colin1</v>
      </c>
      <c r="L46">
        <f t="shared" si="1"/>
        <v>33.988900000000001</v>
      </c>
      <c r="AR46">
        <v>6</v>
      </c>
      <c r="AS46">
        <v>4</v>
      </c>
      <c r="AT46">
        <v>6</v>
      </c>
      <c r="AU46" t="str">
        <f t="shared" si="3"/>
        <v>6-4</v>
      </c>
    </row>
    <row r="47" spans="1:47" x14ac:dyDescent="0.25">
      <c r="A47">
        <v>1</v>
      </c>
      <c r="B47" t="s">
        <v>161</v>
      </c>
      <c r="C47" t="s">
        <v>32</v>
      </c>
      <c r="D47" s="1" t="s">
        <v>236</v>
      </c>
      <c r="E47">
        <v>9.8699999999999992</v>
      </c>
      <c r="F47">
        <v>13.21</v>
      </c>
      <c r="G47">
        <v>1.97</v>
      </c>
      <c r="H47">
        <v>5.62</v>
      </c>
      <c r="I47">
        <v>7.59</v>
      </c>
      <c r="J47" t="s">
        <v>359</v>
      </c>
      <c r="K47" t="str">
        <f t="shared" si="0"/>
        <v>colin1</v>
      </c>
      <c r="L47">
        <f t="shared" si="1"/>
        <v>31.584400000000002</v>
      </c>
      <c r="AR47">
        <v>7</v>
      </c>
      <c r="AS47">
        <v>4</v>
      </c>
      <c r="AT47">
        <v>10</v>
      </c>
      <c r="AU47" t="str">
        <f t="shared" si="3"/>
        <v>7-4</v>
      </c>
    </row>
    <row r="48" spans="1:47" x14ac:dyDescent="0.25">
      <c r="A48">
        <v>1</v>
      </c>
      <c r="B48" t="s">
        <v>183</v>
      </c>
      <c r="C48" t="s">
        <v>32</v>
      </c>
      <c r="D48" s="1" t="s">
        <v>363</v>
      </c>
      <c r="E48">
        <v>9.2200000000000006</v>
      </c>
      <c r="F48">
        <v>14</v>
      </c>
      <c r="G48">
        <v>1.06</v>
      </c>
      <c r="H48">
        <v>6.47</v>
      </c>
      <c r="I48">
        <v>7.53</v>
      </c>
      <c r="J48" t="s">
        <v>359</v>
      </c>
      <c r="K48" t="str">
        <f t="shared" si="0"/>
        <v>colin1</v>
      </c>
      <c r="L48">
        <f t="shared" si="1"/>
        <v>41.860899999999994</v>
      </c>
      <c r="AR48">
        <v>8</v>
      </c>
      <c r="AS48">
        <v>4</v>
      </c>
      <c r="AT48">
        <v>9</v>
      </c>
      <c r="AU48" t="str">
        <f t="shared" si="3"/>
        <v>8-4</v>
      </c>
    </row>
    <row r="49" spans="1:47" x14ac:dyDescent="0.25">
      <c r="A49">
        <v>1</v>
      </c>
      <c r="B49" t="s">
        <v>38</v>
      </c>
      <c r="C49" t="s">
        <v>32</v>
      </c>
      <c r="D49" s="1" t="s">
        <v>315</v>
      </c>
      <c r="E49">
        <v>11.96</v>
      </c>
      <c r="F49">
        <v>15.36</v>
      </c>
      <c r="G49">
        <v>4.1399999999999997</v>
      </c>
      <c r="H49">
        <v>5.61</v>
      </c>
      <c r="I49">
        <v>9.75</v>
      </c>
      <c r="J49" t="s">
        <v>360</v>
      </c>
      <c r="K49" t="str">
        <f t="shared" si="0"/>
        <v>paul1</v>
      </c>
      <c r="L49">
        <f t="shared" si="1"/>
        <v>31.472100000000005</v>
      </c>
      <c r="AR49">
        <v>9</v>
      </c>
      <c r="AS49">
        <v>4</v>
      </c>
      <c r="AT49">
        <v>1</v>
      </c>
      <c r="AU49" t="str">
        <f t="shared" si="3"/>
        <v>9-4</v>
      </c>
    </row>
    <row r="50" spans="1:47" x14ac:dyDescent="0.25">
      <c r="A50">
        <v>1</v>
      </c>
      <c r="B50" t="s">
        <v>147</v>
      </c>
      <c r="C50" t="s">
        <v>32</v>
      </c>
      <c r="D50" s="1" t="s">
        <v>239</v>
      </c>
      <c r="E50">
        <v>11.34</v>
      </c>
      <c r="F50">
        <v>15.59</v>
      </c>
      <c r="G50">
        <v>3.11</v>
      </c>
      <c r="H50">
        <v>6.24</v>
      </c>
      <c r="I50">
        <v>9.35</v>
      </c>
      <c r="J50" t="s">
        <v>360</v>
      </c>
      <c r="K50" t="str">
        <f t="shared" si="0"/>
        <v>paul1</v>
      </c>
      <c r="L50">
        <f t="shared" si="1"/>
        <v>38.937600000000003</v>
      </c>
      <c r="AR50">
        <v>10</v>
      </c>
      <c r="AS50">
        <v>4</v>
      </c>
      <c r="AT50">
        <v>7</v>
      </c>
      <c r="AU50" t="str">
        <f t="shared" si="3"/>
        <v>10-4</v>
      </c>
    </row>
    <row r="51" spans="1:47" x14ac:dyDescent="0.25">
      <c r="A51">
        <v>1</v>
      </c>
      <c r="B51" t="s">
        <v>246</v>
      </c>
      <c r="C51" t="s">
        <v>53</v>
      </c>
      <c r="D51" s="1" t="s">
        <v>302</v>
      </c>
      <c r="E51">
        <v>20.02</v>
      </c>
      <c r="F51">
        <v>26.17</v>
      </c>
      <c r="G51">
        <v>12.15</v>
      </c>
      <c r="H51">
        <v>7.01</v>
      </c>
      <c r="I51">
        <v>19.16</v>
      </c>
      <c r="J51" t="s">
        <v>351</v>
      </c>
      <c r="K51" t="str">
        <f t="shared" si="0"/>
        <v>andrew1</v>
      </c>
      <c r="L51">
        <f t="shared" si="1"/>
        <v>49.140099999999997</v>
      </c>
      <c r="AR51">
        <v>11</v>
      </c>
      <c r="AS51">
        <v>4</v>
      </c>
      <c r="AT51">
        <v>5</v>
      </c>
      <c r="AU51" t="str">
        <f t="shared" si="3"/>
        <v>11-4</v>
      </c>
    </row>
    <row r="52" spans="1:47" x14ac:dyDescent="0.25">
      <c r="A52">
        <v>1</v>
      </c>
      <c r="B52" t="s">
        <v>204</v>
      </c>
      <c r="C52" t="s">
        <v>53</v>
      </c>
      <c r="D52" s="1" t="s">
        <v>316</v>
      </c>
      <c r="E52">
        <v>18.989999999999998</v>
      </c>
      <c r="F52">
        <v>25.34</v>
      </c>
      <c r="G52">
        <v>11.22</v>
      </c>
      <c r="H52">
        <v>7.06</v>
      </c>
      <c r="I52">
        <v>18.28</v>
      </c>
      <c r="J52" t="s">
        <v>352</v>
      </c>
      <c r="K52" t="str">
        <f t="shared" si="0"/>
        <v>jake1</v>
      </c>
      <c r="L52">
        <f t="shared" si="1"/>
        <v>49.843599999999995</v>
      </c>
      <c r="AR52">
        <v>12</v>
      </c>
      <c r="AS52">
        <v>4</v>
      </c>
      <c r="AT52">
        <v>2</v>
      </c>
      <c r="AU52" t="str">
        <f t="shared" si="3"/>
        <v>12-4</v>
      </c>
    </row>
    <row r="53" spans="1:47" x14ac:dyDescent="0.25">
      <c r="A53">
        <v>1</v>
      </c>
      <c r="B53" t="s">
        <v>244</v>
      </c>
      <c r="C53" t="s">
        <v>53</v>
      </c>
      <c r="D53" s="1" t="s">
        <v>418</v>
      </c>
      <c r="E53">
        <v>20.8</v>
      </c>
      <c r="F53">
        <v>27.16</v>
      </c>
      <c r="G53">
        <v>12.62</v>
      </c>
      <c r="H53">
        <v>7.27</v>
      </c>
      <c r="I53">
        <v>19.89</v>
      </c>
      <c r="J53" t="s">
        <v>353</v>
      </c>
      <c r="K53" t="str">
        <f t="shared" si="0"/>
        <v>breanna1</v>
      </c>
      <c r="L53">
        <f t="shared" si="1"/>
        <v>52.852899999999991</v>
      </c>
      <c r="AR53">
        <v>13</v>
      </c>
      <c r="AS53">
        <v>4</v>
      </c>
      <c r="AT53">
        <v>3</v>
      </c>
      <c r="AU53" t="str">
        <f t="shared" si="3"/>
        <v>13-4</v>
      </c>
    </row>
    <row r="54" spans="1:47" x14ac:dyDescent="0.25">
      <c r="A54">
        <v>1</v>
      </c>
      <c r="B54" t="s">
        <v>364</v>
      </c>
      <c r="C54" t="s">
        <v>53</v>
      </c>
      <c r="D54" s="1" t="s">
        <v>365</v>
      </c>
      <c r="E54">
        <v>19.670000000000002</v>
      </c>
      <c r="F54">
        <v>24.28</v>
      </c>
      <c r="G54">
        <v>13.86</v>
      </c>
      <c r="H54">
        <v>5.21</v>
      </c>
      <c r="I54">
        <v>19.07</v>
      </c>
      <c r="J54" t="s">
        <v>354</v>
      </c>
      <c r="K54" t="str">
        <f t="shared" si="0"/>
        <v>joseph1</v>
      </c>
      <c r="L54">
        <f t="shared" si="1"/>
        <v>27.144099999999998</v>
      </c>
      <c r="AR54">
        <v>1</v>
      </c>
      <c r="AS54">
        <v>5</v>
      </c>
      <c r="AT54">
        <v>1</v>
      </c>
      <c r="AU54" t="str">
        <f t="shared" si="3"/>
        <v>1-5</v>
      </c>
    </row>
    <row r="55" spans="1:47" x14ac:dyDescent="0.25">
      <c r="A55">
        <v>1</v>
      </c>
      <c r="B55" t="s">
        <v>366</v>
      </c>
      <c r="C55" t="s">
        <v>53</v>
      </c>
      <c r="D55" s="1" t="s">
        <v>367</v>
      </c>
      <c r="E55">
        <v>17.3</v>
      </c>
      <c r="F55">
        <v>24.16</v>
      </c>
      <c r="G55">
        <v>9.18</v>
      </c>
      <c r="H55">
        <v>7.49</v>
      </c>
      <c r="I55">
        <v>16.670000000000002</v>
      </c>
      <c r="J55" t="s">
        <v>355</v>
      </c>
      <c r="K55" t="str">
        <f t="shared" si="0"/>
        <v>alyssa1</v>
      </c>
      <c r="L55">
        <f t="shared" si="1"/>
        <v>56.100100000000005</v>
      </c>
      <c r="AR55">
        <v>2</v>
      </c>
      <c r="AS55">
        <v>5</v>
      </c>
      <c r="AT55">
        <v>4</v>
      </c>
      <c r="AU55" t="str">
        <f t="shared" si="3"/>
        <v>2-5</v>
      </c>
    </row>
    <row r="56" spans="1:47" x14ac:dyDescent="0.25">
      <c r="A56">
        <v>1</v>
      </c>
      <c r="B56" t="s">
        <v>55</v>
      </c>
      <c r="C56" t="s">
        <v>53</v>
      </c>
      <c r="D56" s="1" t="s">
        <v>245</v>
      </c>
      <c r="E56">
        <v>20.6</v>
      </c>
      <c r="F56">
        <v>26.82</v>
      </c>
      <c r="G56">
        <v>12.92</v>
      </c>
      <c r="H56">
        <v>6.95</v>
      </c>
      <c r="I56">
        <v>19.87</v>
      </c>
      <c r="J56" t="s">
        <v>356</v>
      </c>
      <c r="K56" t="str">
        <f t="shared" si="0"/>
        <v>chris1</v>
      </c>
      <c r="L56">
        <f t="shared" si="1"/>
        <v>48.302500000000002</v>
      </c>
      <c r="AR56">
        <v>3</v>
      </c>
      <c r="AS56">
        <v>5</v>
      </c>
      <c r="AT56">
        <v>9</v>
      </c>
      <c r="AU56" t="str">
        <f t="shared" si="3"/>
        <v>3-5</v>
      </c>
    </row>
    <row r="57" spans="1:47" x14ac:dyDescent="0.25">
      <c r="A57">
        <v>1</v>
      </c>
      <c r="B57" t="s">
        <v>56</v>
      </c>
      <c r="C57" t="s">
        <v>53</v>
      </c>
      <c r="D57" s="1" t="s">
        <v>242</v>
      </c>
      <c r="E57">
        <v>24.72</v>
      </c>
      <c r="F57">
        <v>31.59</v>
      </c>
      <c r="G57">
        <v>16.53</v>
      </c>
      <c r="H57">
        <v>7.53</v>
      </c>
      <c r="I57">
        <v>24.06</v>
      </c>
      <c r="J57" t="s">
        <v>357</v>
      </c>
      <c r="K57" t="str">
        <f t="shared" si="0"/>
        <v>jordan1</v>
      </c>
      <c r="L57">
        <f t="shared" si="1"/>
        <v>56.700900000000004</v>
      </c>
      <c r="AR57">
        <v>4</v>
      </c>
      <c r="AS57">
        <v>5</v>
      </c>
      <c r="AT57">
        <v>2</v>
      </c>
      <c r="AU57" t="str">
        <f t="shared" si="3"/>
        <v>4-5</v>
      </c>
    </row>
    <row r="58" spans="1:47" x14ac:dyDescent="0.25">
      <c r="A58">
        <v>1</v>
      </c>
      <c r="B58" t="s">
        <v>54</v>
      </c>
      <c r="C58" t="s">
        <v>53</v>
      </c>
      <c r="D58" s="1" t="s">
        <v>249</v>
      </c>
      <c r="E58">
        <v>19.66</v>
      </c>
      <c r="F58">
        <v>26.73</v>
      </c>
      <c r="G58">
        <v>11.19</v>
      </c>
      <c r="H58">
        <v>7.77</v>
      </c>
      <c r="I58">
        <v>18.96</v>
      </c>
      <c r="J58" t="s">
        <v>358</v>
      </c>
      <c r="K58" t="str">
        <f t="shared" si="0"/>
        <v>alex1</v>
      </c>
      <c r="L58">
        <f t="shared" si="1"/>
        <v>60.372899999999994</v>
      </c>
      <c r="AR58">
        <v>5</v>
      </c>
      <c r="AS58">
        <v>5</v>
      </c>
      <c r="AT58">
        <v>3</v>
      </c>
      <c r="AU58" t="str">
        <f t="shared" si="3"/>
        <v>5-5</v>
      </c>
    </row>
    <row r="59" spans="1:47" x14ac:dyDescent="0.25">
      <c r="A59">
        <v>1</v>
      </c>
      <c r="B59" t="s">
        <v>52</v>
      </c>
      <c r="C59" t="s">
        <v>53</v>
      </c>
      <c r="D59" s="1" t="s">
        <v>247</v>
      </c>
      <c r="E59">
        <v>23.67</v>
      </c>
      <c r="F59">
        <v>30.77</v>
      </c>
      <c r="G59">
        <v>15.55</v>
      </c>
      <c r="H59">
        <v>7.61</v>
      </c>
      <c r="I59">
        <v>23.16</v>
      </c>
      <c r="J59" t="s">
        <v>359</v>
      </c>
      <c r="K59" t="str">
        <f t="shared" si="0"/>
        <v>colin1</v>
      </c>
      <c r="L59">
        <f t="shared" si="1"/>
        <v>57.912100000000002</v>
      </c>
      <c r="AR59">
        <v>6</v>
      </c>
      <c r="AS59">
        <v>5</v>
      </c>
      <c r="AT59">
        <v>7</v>
      </c>
      <c r="AU59" t="str">
        <f t="shared" si="3"/>
        <v>6-5</v>
      </c>
    </row>
    <row r="60" spans="1:47" x14ac:dyDescent="0.25">
      <c r="A60">
        <v>1</v>
      </c>
      <c r="B60" t="s">
        <v>194</v>
      </c>
      <c r="C60" t="s">
        <v>53</v>
      </c>
      <c r="D60" s="1" t="s">
        <v>243</v>
      </c>
      <c r="E60">
        <v>22.92</v>
      </c>
      <c r="F60">
        <v>31.46</v>
      </c>
      <c r="G60">
        <v>13.26</v>
      </c>
      <c r="H60">
        <v>9.1</v>
      </c>
      <c r="I60">
        <v>22.36</v>
      </c>
      <c r="J60" t="s">
        <v>360</v>
      </c>
      <c r="K60" t="str">
        <f t="shared" si="0"/>
        <v>paul1</v>
      </c>
      <c r="L60">
        <f t="shared" si="1"/>
        <v>82.809999999999988</v>
      </c>
      <c r="AR60">
        <v>7</v>
      </c>
      <c r="AS60">
        <v>5</v>
      </c>
      <c r="AT60">
        <v>8</v>
      </c>
      <c r="AU60" t="str">
        <f t="shared" si="3"/>
        <v>7-5</v>
      </c>
    </row>
    <row r="61" spans="1:47" x14ac:dyDescent="0.25">
      <c r="A61">
        <v>1</v>
      </c>
      <c r="B61" t="s">
        <v>497</v>
      </c>
      <c r="C61" t="s">
        <v>57</v>
      </c>
      <c r="D61" s="1" t="s">
        <v>498</v>
      </c>
      <c r="E61">
        <v>6.1</v>
      </c>
      <c r="F61">
        <v>9.0500000000000007</v>
      </c>
      <c r="G61">
        <v>0.13</v>
      </c>
      <c r="H61">
        <v>4.46</v>
      </c>
      <c r="I61">
        <v>4.59</v>
      </c>
      <c r="J61" t="s">
        <v>351</v>
      </c>
      <c r="K61" t="str">
        <f t="shared" si="0"/>
        <v>andrew1</v>
      </c>
      <c r="L61">
        <f t="shared" si="1"/>
        <v>19.8916</v>
      </c>
      <c r="AR61">
        <v>8</v>
      </c>
      <c r="AS61">
        <v>5</v>
      </c>
      <c r="AT61">
        <v>6</v>
      </c>
      <c r="AU61" t="str">
        <f t="shared" si="3"/>
        <v>8-5</v>
      </c>
    </row>
    <row r="62" spans="1:47" x14ac:dyDescent="0.25">
      <c r="A62">
        <v>1</v>
      </c>
      <c r="B62" t="s">
        <v>60</v>
      </c>
      <c r="C62" t="s">
        <v>57</v>
      </c>
      <c r="D62" s="1" t="s">
        <v>253</v>
      </c>
      <c r="E62">
        <v>10.48</v>
      </c>
      <c r="F62">
        <v>13.38</v>
      </c>
      <c r="G62">
        <v>2.4</v>
      </c>
      <c r="H62">
        <v>5.49</v>
      </c>
      <c r="I62">
        <v>7.89</v>
      </c>
      <c r="J62" t="s">
        <v>352</v>
      </c>
      <c r="K62" t="str">
        <f t="shared" si="0"/>
        <v>jake1</v>
      </c>
      <c r="L62">
        <f t="shared" si="1"/>
        <v>30.140100000000004</v>
      </c>
      <c r="AR62">
        <v>9</v>
      </c>
      <c r="AS62">
        <v>5</v>
      </c>
      <c r="AT62">
        <v>3</v>
      </c>
      <c r="AU62" t="str">
        <f t="shared" si="3"/>
        <v>9-5</v>
      </c>
    </row>
    <row r="63" spans="1:47" x14ac:dyDescent="0.25">
      <c r="A63">
        <v>1</v>
      </c>
      <c r="B63" t="s">
        <v>368</v>
      </c>
      <c r="C63" t="s">
        <v>57</v>
      </c>
      <c r="D63" s="1" t="s">
        <v>369</v>
      </c>
      <c r="E63">
        <v>5.76</v>
      </c>
      <c r="F63">
        <v>8.3800000000000008</v>
      </c>
      <c r="G63">
        <v>0.28000000000000003</v>
      </c>
      <c r="H63">
        <v>4.05</v>
      </c>
      <c r="I63">
        <v>4.33</v>
      </c>
      <c r="J63" t="s">
        <v>353</v>
      </c>
      <c r="K63" t="str">
        <f t="shared" si="0"/>
        <v>breanna1</v>
      </c>
      <c r="L63">
        <f t="shared" si="1"/>
        <v>16.4025</v>
      </c>
      <c r="AR63">
        <v>10</v>
      </c>
      <c r="AS63">
        <v>5</v>
      </c>
      <c r="AT63">
        <v>1</v>
      </c>
      <c r="AU63" t="str">
        <f t="shared" si="3"/>
        <v>10-5</v>
      </c>
    </row>
    <row r="64" spans="1:47" x14ac:dyDescent="0.25">
      <c r="A64">
        <v>1</v>
      </c>
      <c r="B64" t="s">
        <v>61</v>
      </c>
      <c r="C64" t="s">
        <v>57</v>
      </c>
      <c r="D64" s="1" t="s">
        <v>250</v>
      </c>
      <c r="E64">
        <v>12.01</v>
      </c>
      <c r="F64">
        <v>15.23</v>
      </c>
      <c r="G64">
        <v>3.19</v>
      </c>
      <c r="H64">
        <v>6.02</v>
      </c>
      <c r="I64">
        <v>9.2100000000000009</v>
      </c>
      <c r="J64" t="s">
        <v>354</v>
      </c>
      <c r="K64" t="str">
        <f t="shared" si="0"/>
        <v>joseph1</v>
      </c>
      <c r="L64">
        <f t="shared" si="1"/>
        <v>36.240399999999994</v>
      </c>
      <c r="AR64">
        <v>11</v>
      </c>
      <c r="AS64">
        <v>5</v>
      </c>
      <c r="AT64">
        <v>4</v>
      </c>
      <c r="AU64" t="str">
        <f t="shared" si="3"/>
        <v>11-5</v>
      </c>
    </row>
    <row r="65" spans="1:47" x14ac:dyDescent="0.25">
      <c r="A65">
        <v>1</v>
      </c>
      <c r="B65" t="s">
        <v>182</v>
      </c>
      <c r="C65" t="s">
        <v>57</v>
      </c>
      <c r="D65" s="1" t="s">
        <v>334</v>
      </c>
      <c r="E65">
        <v>11.97</v>
      </c>
      <c r="F65">
        <v>16.260000000000002</v>
      </c>
      <c r="G65">
        <v>2.76</v>
      </c>
      <c r="H65">
        <v>6.75</v>
      </c>
      <c r="I65">
        <v>9.51</v>
      </c>
      <c r="J65" t="s">
        <v>355</v>
      </c>
      <c r="K65" t="str">
        <f t="shared" si="0"/>
        <v>alyssa1</v>
      </c>
      <c r="L65">
        <f t="shared" si="1"/>
        <v>45.5625</v>
      </c>
      <c r="AR65">
        <v>12</v>
      </c>
      <c r="AS65">
        <v>5</v>
      </c>
      <c r="AT65">
        <v>10</v>
      </c>
      <c r="AU65" t="str">
        <f t="shared" si="3"/>
        <v>12-5</v>
      </c>
    </row>
    <row r="66" spans="1:47" x14ac:dyDescent="0.25">
      <c r="A66">
        <v>1</v>
      </c>
      <c r="B66" t="s">
        <v>58</v>
      </c>
      <c r="C66" t="s">
        <v>57</v>
      </c>
      <c r="D66" s="1" t="s">
        <v>251</v>
      </c>
      <c r="E66">
        <v>9.3000000000000007</v>
      </c>
      <c r="F66">
        <v>12.2</v>
      </c>
      <c r="G66">
        <v>2.2000000000000002</v>
      </c>
      <c r="H66">
        <v>5</v>
      </c>
      <c r="I66">
        <v>7.2</v>
      </c>
      <c r="J66" t="s">
        <v>356</v>
      </c>
      <c r="K66" t="str">
        <f t="shared" si="0"/>
        <v>chris1</v>
      </c>
      <c r="L66">
        <f t="shared" si="1"/>
        <v>25</v>
      </c>
      <c r="AR66">
        <v>13</v>
      </c>
      <c r="AS66">
        <v>5</v>
      </c>
      <c r="AT66">
        <v>2</v>
      </c>
      <c r="AU66" t="str">
        <f t="shared" si="3"/>
        <v>13-5</v>
      </c>
    </row>
    <row r="67" spans="1:47" x14ac:dyDescent="0.25">
      <c r="A67">
        <v>1</v>
      </c>
      <c r="B67" t="s">
        <v>283</v>
      </c>
      <c r="C67" t="s">
        <v>57</v>
      </c>
      <c r="D67" s="1" t="s">
        <v>370</v>
      </c>
      <c r="E67">
        <v>8.56</v>
      </c>
      <c r="F67">
        <v>12.39</v>
      </c>
      <c r="G67">
        <v>1.1299999999999999</v>
      </c>
      <c r="H67">
        <v>5.63</v>
      </c>
      <c r="I67">
        <v>6.76</v>
      </c>
      <c r="J67" t="s">
        <v>356</v>
      </c>
      <c r="K67" t="str">
        <f t="shared" ref="K67:K130" si="6">J67&amp;A67</f>
        <v>chris1</v>
      </c>
      <c r="L67">
        <f t="shared" ref="L67:L130" si="7">H67^2</f>
        <v>31.696899999999999</v>
      </c>
      <c r="AR67">
        <v>1</v>
      </c>
      <c r="AS67">
        <v>6</v>
      </c>
      <c r="AT67">
        <v>7</v>
      </c>
      <c r="AU67" t="str">
        <f t="shared" ref="AU67:AU130" si="8">AR67&amp;"-"&amp;AS67</f>
        <v>1-6</v>
      </c>
    </row>
    <row r="68" spans="1:47" x14ac:dyDescent="0.25">
      <c r="A68">
        <v>1</v>
      </c>
      <c r="B68" t="s">
        <v>62</v>
      </c>
      <c r="C68" t="s">
        <v>57</v>
      </c>
      <c r="D68" s="1" t="s">
        <v>252</v>
      </c>
      <c r="E68">
        <v>14.8</v>
      </c>
      <c r="F68">
        <v>18.73</v>
      </c>
      <c r="G68">
        <v>6.33</v>
      </c>
      <c r="H68">
        <v>6.2</v>
      </c>
      <c r="I68">
        <v>12.53</v>
      </c>
      <c r="J68" t="s">
        <v>357</v>
      </c>
      <c r="K68" t="str">
        <f t="shared" si="6"/>
        <v>jordan1</v>
      </c>
      <c r="L68">
        <f t="shared" si="7"/>
        <v>38.440000000000005</v>
      </c>
      <c r="AR68">
        <v>2</v>
      </c>
      <c r="AS68">
        <v>6</v>
      </c>
      <c r="AT68">
        <v>10</v>
      </c>
      <c r="AU68" t="str">
        <f t="shared" si="8"/>
        <v>2-6</v>
      </c>
    </row>
    <row r="69" spans="1:47" x14ac:dyDescent="0.25">
      <c r="A69">
        <v>1</v>
      </c>
      <c r="B69" t="s">
        <v>150</v>
      </c>
      <c r="C69" t="s">
        <v>57</v>
      </c>
      <c r="D69" s="1" t="s">
        <v>371</v>
      </c>
      <c r="E69">
        <v>8.32</v>
      </c>
      <c r="F69">
        <v>11.31</v>
      </c>
      <c r="G69">
        <v>0.81</v>
      </c>
      <c r="H69">
        <v>5.25</v>
      </c>
      <c r="I69">
        <v>6.06</v>
      </c>
      <c r="J69" t="s">
        <v>358</v>
      </c>
      <c r="K69" t="str">
        <f t="shared" si="6"/>
        <v>alex1</v>
      </c>
      <c r="L69">
        <f t="shared" si="7"/>
        <v>27.5625</v>
      </c>
      <c r="AR69">
        <v>3</v>
      </c>
      <c r="AS69">
        <v>6</v>
      </c>
      <c r="AT69">
        <v>8</v>
      </c>
      <c r="AU69" t="str">
        <f t="shared" si="8"/>
        <v>3-6</v>
      </c>
    </row>
    <row r="70" spans="1:47" x14ac:dyDescent="0.25">
      <c r="A70">
        <v>1</v>
      </c>
      <c r="B70" t="s">
        <v>73</v>
      </c>
      <c r="C70" t="s">
        <v>57</v>
      </c>
      <c r="D70" s="1" t="s">
        <v>303</v>
      </c>
      <c r="E70">
        <v>13.02</v>
      </c>
      <c r="F70">
        <v>16.39</v>
      </c>
      <c r="G70">
        <v>3.95</v>
      </c>
      <c r="H70">
        <v>6.22</v>
      </c>
      <c r="I70">
        <v>10.17</v>
      </c>
      <c r="J70" t="s">
        <v>359</v>
      </c>
      <c r="K70" t="str">
        <f t="shared" si="6"/>
        <v>colin1</v>
      </c>
      <c r="L70">
        <f t="shared" si="7"/>
        <v>38.688399999999994</v>
      </c>
      <c r="AR70">
        <v>4</v>
      </c>
      <c r="AS70">
        <v>6</v>
      </c>
      <c r="AT70">
        <v>9</v>
      </c>
      <c r="AU70" t="str">
        <f t="shared" si="8"/>
        <v>4-6</v>
      </c>
    </row>
    <row r="71" spans="1:47" x14ac:dyDescent="0.25">
      <c r="A71">
        <v>1</v>
      </c>
      <c r="B71" t="s">
        <v>59</v>
      </c>
      <c r="C71" t="s">
        <v>57</v>
      </c>
      <c r="D71" s="1" t="s">
        <v>304</v>
      </c>
      <c r="E71">
        <v>7.55</v>
      </c>
      <c r="F71">
        <v>10.029999999999999</v>
      </c>
      <c r="G71">
        <v>0.79</v>
      </c>
      <c r="H71">
        <v>4.62</v>
      </c>
      <c r="I71">
        <v>5.41</v>
      </c>
      <c r="J71" t="s">
        <v>360</v>
      </c>
      <c r="K71" t="str">
        <f t="shared" si="6"/>
        <v>paul1</v>
      </c>
      <c r="L71">
        <f t="shared" si="7"/>
        <v>21.3444</v>
      </c>
      <c r="AR71">
        <v>5</v>
      </c>
      <c r="AS71">
        <v>6</v>
      </c>
      <c r="AT71">
        <v>2</v>
      </c>
      <c r="AU71" t="str">
        <f t="shared" si="8"/>
        <v>5-6</v>
      </c>
    </row>
    <row r="72" spans="1:47" x14ac:dyDescent="0.25">
      <c r="A72">
        <v>1</v>
      </c>
      <c r="B72" t="s">
        <v>196</v>
      </c>
      <c r="C72" t="s">
        <v>63</v>
      </c>
      <c r="D72" s="1" t="s">
        <v>259</v>
      </c>
      <c r="E72">
        <v>11.262700000000001</v>
      </c>
      <c r="F72">
        <v>18.43</v>
      </c>
      <c r="G72">
        <v>4.09</v>
      </c>
      <c r="H72">
        <v>7.17</v>
      </c>
      <c r="I72">
        <v>11.262700000000001</v>
      </c>
      <c r="J72" t="s">
        <v>351</v>
      </c>
      <c r="K72" t="str">
        <f t="shared" si="6"/>
        <v>andrew1</v>
      </c>
      <c r="L72">
        <f t="shared" si="7"/>
        <v>51.408899999999996</v>
      </c>
      <c r="AR72">
        <v>6</v>
      </c>
      <c r="AS72">
        <v>6</v>
      </c>
      <c r="AT72">
        <v>4</v>
      </c>
      <c r="AU72" t="str">
        <f t="shared" si="8"/>
        <v>6-6</v>
      </c>
    </row>
    <row r="73" spans="1:47" x14ac:dyDescent="0.25">
      <c r="A73">
        <v>1</v>
      </c>
      <c r="B73" t="s">
        <v>318</v>
      </c>
      <c r="C73" t="s">
        <v>63</v>
      </c>
      <c r="D73" s="1" t="s">
        <v>319</v>
      </c>
      <c r="E73">
        <v>8.2295999999999996</v>
      </c>
      <c r="F73">
        <v>14.12</v>
      </c>
      <c r="G73">
        <v>2.34</v>
      </c>
      <c r="H73">
        <v>5.89</v>
      </c>
      <c r="I73">
        <v>8.2295999999999996</v>
      </c>
      <c r="J73" t="s">
        <v>352</v>
      </c>
      <c r="K73" t="str">
        <f t="shared" si="6"/>
        <v>jake1</v>
      </c>
      <c r="L73">
        <f t="shared" si="7"/>
        <v>34.692099999999996</v>
      </c>
      <c r="AR73">
        <v>7</v>
      </c>
      <c r="AS73">
        <v>6</v>
      </c>
      <c r="AT73">
        <v>3</v>
      </c>
      <c r="AU73" t="str">
        <f t="shared" si="8"/>
        <v>7-6</v>
      </c>
    </row>
    <row r="74" spans="1:47" x14ac:dyDescent="0.25">
      <c r="A74">
        <v>1</v>
      </c>
      <c r="B74" t="s">
        <v>335</v>
      </c>
      <c r="C74" t="s">
        <v>63</v>
      </c>
      <c r="D74" s="1" t="s">
        <v>336</v>
      </c>
      <c r="E74">
        <v>8.6258999999999997</v>
      </c>
      <c r="F74">
        <v>14.39</v>
      </c>
      <c r="G74">
        <v>2.89</v>
      </c>
      <c r="H74">
        <v>5.75</v>
      </c>
      <c r="I74">
        <v>8.6258999999999997</v>
      </c>
      <c r="J74" t="s">
        <v>353</v>
      </c>
      <c r="K74" t="str">
        <f t="shared" si="6"/>
        <v>breanna1</v>
      </c>
      <c r="L74">
        <f t="shared" si="7"/>
        <v>33.0625</v>
      </c>
      <c r="AR74">
        <v>8</v>
      </c>
      <c r="AS74">
        <v>6</v>
      </c>
      <c r="AT74">
        <v>5</v>
      </c>
      <c r="AU74" t="str">
        <f t="shared" si="8"/>
        <v>8-6</v>
      </c>
    </row>
    <row r="75" spans="1:47" x14ac:dyDescent="0.25">
      <c r="A75">
        <v>1</v>
      </c>
      <c r="B75" t="s">
        <v>372</v>
      </c>
      <c r="C75" t="s">
        <v>63</v>
      </c>
      <c r="D75" s="1" t="s">
        <v>373</v>
      </c>
      <c r="E75">
        <v>6.1723999999999997</v>
      </c>
      <c r="F75">
        <v>12.55</v>
      </c>
      <c r="G75">
        <v>-0.19</v>
      </c>
      <c r="H75">
        <v>6.37</v>
      </c>
      <c r="I75">
        <v>6.1723999999999997</v>
      </c>
      <c r="J75" t="s">
        <v>354</v>
      </c>
      <c r="K75" t="str">
        <f t="shared" si="6"/>
        <v>joseph1</v>
      </c>
      <c r="L75">
        <f t="shared" si="7"/>
        <v>40.576900000000002</v>
      </c>
      <c r="AR75">
        <v>9</v>
      </c>
      <c r="AS75">
        <v>6</v>
      </c>
      <c r="AT75">
        <v>7</v>
      </c>
      <c r="AU75" t="str">
        <f t="shared" si="8"/>
        <v>9-6</v>
      </c>
    </row>
    <row r="76" spans="1:47" x14ac:dyDescent="0.25">
      <c r="A76">
        <v>1</v>
      </c>
      <c r="B76" t="s">
        <v>374</v>
      </c>
      <c r="C76" t="s">
        <v>63</v>
      </c>
      <c r="D76" s="1" t="s">
        <v>375</v>
      </c>
      <c r="E76">
        <v>4.1904000000000003</v>
      </c>
      <c r="F76">
        <v>9.4700000000000006</v>
      </c>
      <c r="G76">
        <v>-1.1100000000000001</v>
      </c>
      <c r="H76">
        <v>5.29</v>
      </c>
      <c r="I76">
        <v>4.1904000000000003</v>
      </c>
      <c r="J76" t="s">
        <v>355</v>
      </c>
      <c r="K76" t="str">
        <f t="shared" si="6"/>
        <v>alyssa1</v>
      </c>
      <c r="L76">
        <f t="shared" si="7"/>
        <v>27.984100000000002</v>
      </c>
      <c r="AR76">
        <v>10</v>
      </c>
      <c r="AS76">
        <v>6</v>
      </c>
      <c r="AT76">
        <v>10</v>
      </c>
      <c r="AU76" t="str">
        <f t="shared" si="8"/>
        <v>10-6</v>
      </c>
    </row>
    <row r="77" spans="1:47" x14ac:dyDescent="0.25">
      <c r="A77">
        <v>1</v>
      </c>
      <c r="B77" t="s">
        <v>154</v>
      </c>
      <c r="C77" t="s">
        <v>63</v>
      </c>
      <c r="D77" s="1" t="s">
        <v>256</v>
      </c>
      <c r="E77">
        <v>12.2181</v>
      </c>
      <c r="F77">
        <v>19.260000000000002</v>
      </c>
      <c r="G77">
        <v>5.18</v>
      </c>
      <c r="H77">
        <v>7.04</v>
      </c>
      <c r="I77">
        <v>12.2181</v>
      </c>
      <c r="J77" t="s">
        <v>356</v>
      </c>
      <c r="K77" t="str">
        <f t="shared" si="6"/>
        <v>chris1</v>
      </c>
      <c r="L77">
        <f t="shared" si="7"/>
        <v>49.561599999999999</v>
      </c>
      <c r="AR77">
        <v>11</v>
      </c>
      <c r="AS77">
        <v>6</v>
      </c>
      <c r="AT77">
        <v>8</v>
      </c>
      <c r="AU77" t="str">
        <f t="shared" si="8"/>
        <v>11-6</v>
      </c>
    </row>
    <row r="78" spans="1:47" x14ac:dyDescent="0.25">
      <c r="A78">
        <v>1</v>
      </c>
      <c r="B78" t="s">
        <v>166</v>
      </c>
      <c r="C78" t="s">
        <v>63</v>
      </c>
      <c r="D78" s="1" t="s">
        <v>254</v>
      </c>
      <c r="E78">
        <v>9.2169000000000008</v>
      </c>
      <c r="F78">
        <v>15</v>
      </c>
      <c r="G78">
        <v>3.44</v>
      </c>
      <c r="H78">
        <v>5.78</v>
      </c>
      <c r="I78">
        <v>9.2169000000000008</v>
      </c>
      <c r="J78" t="s">
        <v>357</v>
      </c>
      <c r="K78" t="str">
        <f t="shared" si="6"/>
        <v>jordan1</v>
      </c>
      <c r="L78">
        <f t="shared" si="7"/>
        <v>33.4084</v>
      </c>
      <c r="AR78">
        <v>12</v>
      </c>
      <c r="AS78">
        <v>6</v>
      </c>
      <c r="AT78">
        <v>9</v>
      </c>
      <c r="AU78" t="str">
        <f t="shared" si="8"/>
        <v>12-6</v>
      </c>
    </row>
    <row r="79" spans="1:47" x14ac:dyDescent="0.25">
      <c r="A79">
        <v>1</v>
      </c>
      <c r="B79" t="s">
        <v>499</v>
      </c>
      <c r="C79" t="s">
        <v>63</v>
      </c>
      <c r="D79" s="1" t="s">
        <v>500</v>
      </c>
      <c r="E79">
        <v>6.7537000000000003</v>
      </c>
      <c r="F79">
        <v>11.88</v>
      </c>
      <c r="G79">
        <v>1.62</v>
      </c>
      <c r="H79">
        <v>5.13</v>
      </c>
      <c r="I79">
        <v>6.7537000000000003</v>
      </c>
      <c r="J79" t="s">
        <v>358</v>
      </c>
      <c r="K79" t="str">
        <f t="shared" si="6"/>
        <v>alex1</v>
      </c>
      <c r="L79">
        <f t="shared" si="7"/>
        <v>26.3169</v>
      </c>
      <c r="AR79">
        <v>13</v>
      </c>
      <c r="AS79">
        <v>6</v>
      </c>
      <c r="AT79">
        <v>1</v>
      </c>
      <c r="AU79" t="str">
        <f t="shared" si="8"/>
        <v>13-6</v>
      </c>
    </row>
    <row r="80" spans="1:47" x14ac:dyDescent="0.25">
      <c r="A80">
        <v>1</v>
      </c>
      <c r="B80" t="s">
        <v>257</v>
      </c>
      <c r="C80" t="s">
        <v>63</v>
      </c>
      <c r="D80" s="1" t="s">
        <v>258</v>
      </c>
      <c r="E80">
        <v>6.7382999999999997</v>
      </c>
      <c r="F80">
        <v>12.99</v>
      </c>
      <c r="G80">
        <v>0.45</v>
      </c>
      <c r="H80">
        <v>6.27</v>
      </c>
      <c r="I80">
        <v>6.7382999999999997</v>
      </c>
      <c r="J80" t="s">
        <v>359</v>
      </c>
      <c r="K80" t="str">
        <f t="shared" si="6"/>
        <v>colin1</v>
      </c>
      <c r="L80">
        <f t="shared" si="7"/>
        <v>39.312899999999992</v>
      </c>
      <c r="AR80">
        <v>1</v>
      </c>
      <c r="AS80">
        <v>7</v>
      </c>
      <c r="AT80">
        <v>6</v>
      </c>
      <c r="AU80" t="str">
        <f t="shared" si="8"/>
        <v>1-7</v>
      </c>
    </row>
    <row r="81" spans="1:47" x14ac:dyDescent="0.25">
      <c r="A81">
        <v>1</v>
      </c>
      <c r="B81" t="s">
        <v>255</v>
      </c>
      <c r="C81" t="s">
        <v>63</v>
      </c>
      <c r="D81" s="1" t="s">
        <v>317</v>
      </c>
      <c r="E81">
        <v>11.8713</v>
      </c>
      <c r="F81">
        <v>17.25</v>
      </c>
      <c r="G81">
        <v>6.47</v>
      </c>
      <c r="H81">
        <v>5.39</v>
      </c>
      <c r="I81">
        <v>11.8713</v>
      </c>
      <c r="J81" t="s">
        <v>360</v>
      </c>
      <c r="K81" t="str">
        <f t="shared" si="6"/>
        <v>paul1</v>
      </c>
      <c r="L81">
        <f t="shared" si="7"/>
        <v>29.052099999999996</v>
      </c>
      <c r="AR81">
        <v>2</v>
      </c>
      <c r="AS81">
        <v>7</v>
      </c>
      <c r="AT81">
        <v>3</v>
      </c>
      <c r="AU81" t="str">
        <f t="shared" si="8"/>
        <v>2-7</v>
      </c>
    </row>
    <row r="82" spans="1:47" x14ac:dyDescent="0.25">
      <c r="A82">
        <v>1</v>
      </c>
      <c r="B82" t="s">
        <v>159</v>
      </c>
      <c r="C82" t="s">
        <v>64</v>
      </c>
      <c r="D82" s="1" t="s">
        <v>260</v>
      </c>
      <c r="E82">
        <v>9.2799999999999994</v>
      </c>
      <c r="F82">
        <v>13.83</v>
      </c>
      <c r="G82">
        <v>4.7300000000000004</v>
      </c>
      <c r="H82">
        <v>4.55</v>
      </c>
      <c r="I82">
        <v>9.2799999999999994</v>
      </c>
      <c r="J82" t="s">
        <v>351</v>
      </c>
      <c r="K82" t="str">
        <f t="shared" si="6"/>
        <v>andrew1</v>
      </c>
      <c r="L82">
        <f t="shared" si="7"/>
        <v>20.702499999999997</v>
      </c>
      <c r="AR82">
        <v>3</v>
      </c>
      <c r="AS82">
        <v>7</v>
      </c>
      <c r="AT82">
        <v>10</v>
      </c>
      <c r="AU82" t="str">
        <f t="shared" si="8"/>
        <v>3-7</v>
      </c>
    </row>
    <row r="83" spans="1:47" x14ac:dyDescent="0.25">
      <c r="A83">
        <v>1</v>
      </c>
      <c r="B83" t="s">
        <v>155</v>
      </c>
      <c r="C83" t="s">
        <v>64</v>
      </c>
      <c r="D83" s="1" t="s">
        <v>321</v>
      </c>
      <c r="E83">
        <v>9.99</v>
      </c>
      <c r="F83">
        <v>13.95</v>
      </c>
      <c r="G83">
        <v>6.05</v>
      </c>
      <c r="H83">
        <v>3.95</v>
      </c>
      <c r="I83">
        <v>10</v>
      </c>
      <c r="J83" t="s">
        <v>352</v>
      </c>
      <c r="K83" t="str">
        <f t="shared" si="6"/>
        <v>jake1</v>
      </c>
      <c r="L83">
        <f t="shared" si="7"/>
        <v>15.602500000000001</v>
      </c>
      <c r="AR83">
        <v>4</v>
      </c>
      <c r="AS83">
        <v>7</v>
      </c>
      <c r="AT83">
        <v>8</v>
      </c>
      <c r="AU83" t="str">
        <f t="shared" si="8"/>
        <v>4-7</v>
      </c>
    </row>
    <row r="84" spans="1:47" x14ac:dyDescent="0.25">
      <c r="A84">
        <v>1</v>
      </c>
      <c r="B84" t="s">
        <v>149</v>
      </c>
      <c r="C84" t="s">
        <v>64</v>
      </c>
      <c r="D84" s="1" t="s">
        <v>320</v>
      </c>
      <c r="E84">
        <v>9.93</v>
      </c>
      <c r="F84">
        <v>13.49</v>
      </c>
      <c r="G84">
        <v>6.39</v>
      </c>
      <c r="H84">
        <v>3.55</v>
      </c>
      <c r="I84">
        <v>9.94</v>
      </c>
      <c r="J84" t="s">
        <v>353</v>
      </c>
      <c r="K84" t="str">
        <f t="shared" si="6"/>
        <v>breanna1</v>
      </c>
      <c r="L84">
        <f t="shared" si="7"/>
        <v>12.602499999999999</v>
      </c>
      <c r="AR84">
        <v>5</v>
      </c>
      <c r="AS84">
        <v>7</v>
      </c>
      <c r="AT84">
        <v>9</v>
      </c>
      <c r="AU84" t="str">
        <f t="shared" si="8"/>
        <v>5-7</v>
      </c>
    </row>
    <row r="85" spans="1:47" x14ac:dyDescent="0.25">
      <c r="A85">
        <v>1</v>
      </c>
      <c r="B85" t="s">
        <v>376</v>
      </c>
      <c r="C85" t="s">
        <v>64</v>
      </c>
      <c r="D85" s="1" t="s">
        <v>377</v>
      </c>
      <c r="E85">
        <v>8.7799999999999994</v>
      </c>
      <c r="F85">
        <v>12.49</v>
      </c>
      <c r="G85">
        <v>5.07</v>
      </c>
      <c r="H85">
        <v>3.71</v>
      </c>
      <c r="I85">
        <v>8.7799999999999994</v>
      </c>
      <c r="J85" t="s">
        <v>354</v>
      </c>
      <c r="K85" t="str">
        <f t="shared" si="6"/>
        <v>joseph1</v>
      </c>
      <c r="L85">
        <f t="shared" si="7"/>
        <v>13.764099999999999</v>
      </c>
      <c r="AR85">
        <v>6</v>
      </c>
      <c r="AS85">
        <v>7</v>
      </c>
      <c r="AT85">
        <v>5</v>
      </c>
      <c r="AU85" t="str">
        <f t="shared" si="8"/>
        <v>6-7</v>
      </c>
    </row>
    <row r="86" spans="1:47" x14ac:dyDescent="0.25">
      <c r="A86">
        <v>1</v>
      </c>
      <c r="B86" t="s">
        <v>65</v>
      </c>
      <c r="C86" t="s">
        <v>64</v>
      </c>
      <c r="D86" s="1" t="s">
        <v>324</v>
      </c>
      <c r="E86">
        <v>8.44</v>
      </c>
      <c r="F86">
        <v>11.89</v>
      </c>
      <c r="G86">
        <v>5.05</v>
      </c>
      <c r="H86">
        <v>3.42</v>
      </c>
      <c r="I86">
        <v>8.4700000000000006</v>
      </c>
      <c r="J86" t="s">
        <v>355</v>
      </c>
      <c r="K86" t="str">
        <f t="shared" si="6"/>
        <v>alyssa1</v>
      </c>
      <c r="L86">
        <f t="shared" si="7"/>
        <v>11.696399999999999</v>
      </c>
      <c r="AR86">
        <v>7</v>
      </c>
      <c r="AS86">
        <v>7</v>
      </c>
      <c r="AT86">
        <v>1</v>
      </c>
      <c r="AU86" t="str">
        <f t="shared" si="8"/>
        <v>7-7</v>
      </c>
    </row>
    <row r="87" spans="1:47" x14ac:dyDescent="0.25">
      <c r="A87">
        <v>1</v>
      </c>
      <c r="B87" t="s">
        <v>67</v>
      </c>
      <c r="C87" t="s">
        <v>64</v>
      </c>
      <c r="D87" s="1" t="s">
        <v>323</v>
      </c>
      <c r="E87">
        <v>9.5500000000000007</v>
      </c>
      <c r="F87">
        <v>15.53</v>
      </c>
      <c r="G87">
        <v>3.57</v>
      </c>
      <c r="H87">
        <v>5.98</v>
      </c>
      <c r="I87">
        <v>9.5500000000000007</v>
      </c>
      <c r="J87" t="s">
        <v>356</v>
      </c>
      <c r="K87" t="str">
        <f t="shared" si="6"/>
        <v>chris1</v>
      </c>
      <c r="L87">
        <f t="shared" si="7"/>
        <v>35.760400000000004</v>
      </c>
      <c r="AR87">
        <v>8</v>
      </c>
      <c r="AS87">
        <v>7</v>
      </c>
      <c r="AT87">
        <v>2</v>
      </c>
      <c r="AU87" t="str">
        <f t="shared" si="8"/>
        <v>8-7</v>
      </c>
    </row>
    <row r="88" spans="1:47" x14ac:dyDescent="0.25">
      <c r="A88">
        <v>1</v>
      </c>
      <c r="B88" t="s">
        <v>66</v>
      </c>
      <c r="C88" t="s">
        <v>64</v>
      </c>
      <c r="D88" s="1" t="s">
        <v>322</v>
      </c>
      <c r="E88">
        <v>9.2799999999999994</v>
      </c>
      <c r="F88">
        <v>13.12</v>
      </c>
      <c r="G88">
        <v>5.52</v>
      </c>
      <c r="H88">
        <v>3.8</v>
      </c>
      <c r="I88">
        <v>9.32</v>
      </c>
      <c r="J88" t="s">
        <v>357</v>
      </c>
      <c r="K88" t="str">
        <f t="shared" si="6"/>
        <v>jordan1</v>
      </c>
      <c r="L88">
        <f t="shared" si="7"/>
        <v>14.44</v>
      </c>
      <c r="AR88">
        <v>9</v>
      </c>
      <c r="AS88">
        <v>7</v>
      </c>
      <c r="AT88">
        <v>6</v>
      </c>
      <c r="AU88" t="str">
        <f t="shared" si="8"/>
        <v>9-7</v>
      </c>
    </row>
    <row r="89" spans="1:47" x14ac:dyDescent="0.25">
      <c r="A89">
        <v>1</v>
      </c>
      <c r="B89" t="s">
        <v>378</v>
      </c>
      <c r="C89" t="s">
        <v>64</v>
      </c>
      <c r="D89" s="1" t="s">
        <v>379</v>
      </c>
      <c r="E89">
        <v>8.18</v>
      </c>
      <c r="F89">
        <v>12.08</v>
      </c>
      <c r="G89">
        <v>4.34</v>
      </c>
      <c r="H89">
        <v>3.87</v>
      </c>
      <c r="I89">
        <v>8.2100000000000009</v>
      </c>
      <c r="J89" t="s">
        <v>358</v>
      </c>
      <c r="K89" t="str">
        <f t="shared" si="6"/>
        <v>alex1</v>
      </c>
      <c r="L89">
        <f t="shared" si="7"/>
        <v>14.976900000000001</v>
      </c>
      <c r="AR89">
        <v>10</v>
      </c>
      <c r="AS89">
        <v>7</v>
      </c>
      <c r="AT89">
        <v>4</v>
      </c>
      <c r="AU89" t="str">
        <f t="shared" si="8"/>
        <v>10-7</v>
      </c>
    </row>
    <row r="90" spans="1:47" x14ac:dyDescent="0.25">
      <c r="A90">
        <v>1</v>
      </c>
      <c r="B90" t="s">
        <v>261</v>
      </c>
      <c r="C90" t="s">
        <v>64</v>
      </c>
      <c r="D90" s="1" t="s">
        <v>326</v>
      </c>
      <c r="E90">
        <v>8.5500000000000007</v>
      </c>
      <c r="F90">
        <v>13.5</v>
      </c>
      <c r="G90">
        <v>3.62</v>
      </c>
      <c r="H90">
        <v>4.9400000000000004</v>
      </c>
      <c r="I90">
        <v>8.56</v>
      </c>
      <c r="J90" t="s">
        <v>359</v>
      </c>
      <c r="K90" t="str">
        <f t="shared" si="6"/>
        <v>colin1</v>
      </c>
      <c r="L90">
        <f t="shared" si="7"/>
        <v>24.403600000000004</v>
      </c>
      <c r="AR90">
        <v>11</v>
      </c>
      <c r="AS90">
        <v>7</v>
      </c>
      <c r="AT90">
        <v>10</v>
      </c>
      <c r="AU90" t="str">
        <f t="shared" si="8"/>
        <v>11-7</v>
      </c>
    </row>
    <row r="91" spans="1:47" x14ac:dyDescent="0.25">
      <c r="A91">
        <v>1</v>
      </c>
      <c r="B91" t="s">
        <v>167</v>
      </c>
      <c r="C91" t="s">
        <v>64</v>
      </c>
      <c r="D91" s="1" t="s">
        <v>325</v>
      </c>
      <c r="E91">
        <v>8.68</v>
      </c>
      <c r="F91">
        <v>12.52</v>
      </c>
      <c r="G91">
        <v>4.84</v>
      </c>
      <c r="H91">
        <v>3.84</v>
      </c>
      <c r="I91">
        <v>8.68</v>
      </c>
      <c r="J91" t="s">
        <v>360</v>
      </c>
      <c r="K91" t="str">
        <f t="shared" si="6"/>
        <v>paul1</v>
      </c>
      <c r="L91">
        <f t="shared" si="7"/>
        <v>14.7456</v>
      </c>
      <c r="AR91">
        <v>12</v>
      </c>
      <c r="AS91">
        <v>7</v>
      </c>
      <c r="AT91">
        <v>8</v>
      </c>
      <c r="AU91" t="str">
        <f t="shared" si="8"/>
        <v>12-7</v>
      </c>
    </row>
    <row r="92" spans="1:47" x14ac:dyDescent="0.25">
      <c r="A92">
        <v>2</v>
      </c>
      <c r="B92" t="s">
        <v>410</v>
      </c>
      <c r="C92" t="s">
        <v>10</v>
      </c>
      <c r="D92" s="1" t="s">
        <v>501</v>
      </c>
      <c r="E92">
        <v>15.1</v>
      </c>
      <c r="F92">
        <v>22.08</v>
      </c>
      <c r="G92">
        <v>5.3</v>
      </c>
      <c r="H92">
        <v>8.39</v>
      </c>
      <c r="I92">
        <v>13.69</v>
      </c>
      <c r="J92" t="s">
        <v>351</v>
      </c>
      <c r="K92" t="str">
        <f t="shared" si="6"/>
        <v>andrew2</v>
      </c>
      <c r="L92">
        <f t="shared" si="7"/>
        <v>70.392100000000013</v>
      </c>
      <c r="AR92">
        <v>13</v>
      </c>
      <c r="AS92">
        <v>7</v>
      </c>
      <c r="AT92">
        <v>9</v>
      </c>
      <c r="AU92" t="str">
        <f t="shared" si="8"/>
        <v>13-7</v>
      </c>
    </row>
    <row r="93" spans="1:47" x14ac:dyDescent="0.25">
      <c r="A93">
        <v>2</v>
      </c>
      <c r="B93" t="s">
        <v>30</v>
      </c>
      <c r="C93" t="s">
        <v>10</v>
      </c>
      <c r="D93" s="1" t="s">
        <v>419</v>
      </c>
      <c r="E93">
        <v>11.19</v>
      </c>
      <c r="F93">
        <v>16.37</v>
      </c>
      <c r="G93">
        <v>3.69</v>
      </c>
      <c r="H93">
        <v>6.34</v>
      </c>
      <c r="I93">
        <v>10.029999999999999</v>
      </c>
      <c r="J93" t="s">
        <v>351</v>
      </c>
      <c r="K93" t="str">
        <f t="shared" si="6"/>
        <v>andrew2</v>
      </c>
      <c r="L93">
        <f t="shared" si="7"/>
        <v>40.195599999999999</v>
      </c>
      <c r="AR93">
        <v>1</v>
      </c>
      <c r="AS93">
        <v>8</v>
      </c>
      <c r="AT93">
        <v>4</v>
      </c>
      <c r="AU93" t="str">
        <f t="shared" si="8"/>
        <v>1-8</v>
      </c>
    </row>
    <row r="94" spans="1:47" x14ac:dyDescent="0.25">
      <c r="A94">
        <v>2</v>
      </c>
      <c r="B94" t="s">
        <v>391</v>
      </c>
      <c r="C94" t="s">
        <v>10</v>
      </c>
      <c r="D94" s="1" t="s">
        <v>420</v>
      </c>
      <c r="E94">
        <v>10.49</v>
      </c>
      <c r="F94">
        <v>17.96</v>
      </c>
      <c r="G94">
        <v>0.74</v>
      </c>
      <c r="H94">
        <v>8.61</v>
      </c>
      <c r="I94">
        <v>9.35</v>
      </c>
      <c r="J94" t="s">
        <v>351</v>
      </c>
      <c r="K94" t="str">
        <f t="shared" si="6"/>
        <v>andrew2</v>
      </c>
      <c r="L94">
        <f t="shared" si="7"/>
        <v>74.132099999999994</v>
      </c>
      <c r="AR94">
        <v>2</v>
      </c>
      <c r="AS94">
        <v>8</v>
      </c>
      <c r="AT94">
        <v>9</v>
      </c>
      <c r="AU94" t="str">
        <f t="shared" si="8"/>
        <v>2-8</v>
      </c>
    </row>
    <row r="95" spans="1:47" x14ac:dyDescent="0.25">
      <c r="A95">
        <v>2</v>
      </c>
      <c r="B95" t="s">
        <v>181</v>
      </c>
      <c r="C95" t="s">
        <v>10</v>
      </c>
      <c r="D95" s="1" t="s">
        <v>338</v>
      </c>
      <c r="E95">
        <v>17.28</v>
      </c>
      <c r="F95">
        <v>24.63</v>
      </c>
      <c r="G95">
        <v>5.17</v>
      </c>
      <c r="H95">
        <v>9.73</v>
      </c>
      <c r="I95">
        <v>14.9</v>
      </c>
      <c r="J95" t="s">
        <v>352</v>
      </c>
      <c r="K95" t="str">
        <f t="shared" si="6"/>
        <v>jake2</v>
      </c>
      <c r="L95">
        <f t="shared" si="7"/>
        <v>94.672900000000013</v>
      </c>
      <c r="AR95">
        <v>3</v>
      </c>
      <c r="AS95">
        <v>8</v>
      </c>
      <c r="AT95">
        <v>6</v>
      </c>
      <c r="AU95" t="str">
        <f t="shared" si="8"/>
        <v>3-8</v>
      </c>
    </row>
    <row r="96" spans="1:47" x14ac:dyDescent="0.25">
      <c r="A96">
        <v>2</v>
      </c>
      <c r="B96" t="s">
        <v>502</v>
      </c>
      <c r="C96" t="s">
        <v>10</v>
      </c>
      <c r="D96" s="1" t="s">
        <v>503</v>
      </c>
      <c r="E96">
        <v>14.53</v>
      </c>
      <c r="F96">
        <v>22.69</v>
      </c>
      <c r="G96">
        <v>1.0900000000000001</v>
      </c>
      <c r="H96">
        <v>10.8</v>
      </c>
      <c r="I96">
        <v>11.89</v>
      </c>
      <c r="J96" t="s">
        <v>352</v>
      </c>
      <c r="K96" t="str">
        <f t="shared" si="6"/>
        <v>jake2</v>
      </c>
      <c r="L96">
        <f t="shared" si="7"/>
        <v>116.64000000000001</v>
      </c>
      <c r="AR96">
        <v>4</v>
      </c>
      <c r="AS96">
        <v>8</v>
      </c>
      <c r="AT96">
        <v>7</v>
      </c>
      <c r="AU96" t="str">
        <f t="shared" si="8"/>
        <v>4-8</v>
      </c>
    </row>
    <row r="97" spans="1:47" x14ac:dyDescent="0.25">
      <c r="A97">
        <v>2</v>
      </c>
      <c r="B97" t="s">
        <v>20</v>
      </c>
      <c r="C97" t="s">
        <v>10</v>
      </c>
      <c r="D97" s="1" t="s">
        <v>421</v>
      </c>
      <c r="E97">
        <v>11.31</v>
      </c>
      <c r="F97">
        <v>15.67</v>
      </c>
      <c r="G97">
        <v>4.6900000000000004</v>
      </c>
      <c r="H97">
        <v>5.49</v>
      </c>
      <c r="I97">
        <v>10.18</v>
      </c>
      <c r="J97" t="s">
        <v>352</v>
      </c>
      <c r="K97" t="str">
        <f t="shared" si="6"/>
        <v>jake2</v>
      </c>
      <c r="L97">
        <f t="shared" si="7"/>
        <v>30.140100000000004</v>
      </c>
      <c r="AR97">
        <v>5</v>
      </c>
      <c r="AS97">
        <v>8</v>
      </c>
      <c r="AT97">
        <v>10</v>
      </c>
      <c r="AU97" t="str">
        <f t="shared" si="8"/>
        <v>5-8</v>
      </c>
    </row>
    <row r="98" spans="1:47" x14ac:dyDescent="0.25">
      <c r="A98">
        <v>2</v>
      </c>
      <c r="B98" t="s">
        <v>27</v>
      </c>
      <c r="C98" t="s">
        <v>10</v>
      </c>
      <c r="D98" s="1" t="s">
        <v>266</v>
      </c>
      <c r="E98">
        <v>17.489999999999998</v>
      </c>
      <c r="F98">
        <v>25.2</v>
      </c>
      <c r="G98">
        <v>6.82</v>
      </c>
      <c r="H98">
        <v>9.19</v>
      </c>
      <c r="I98">
        <v>16.010000000000002</v>
      </c>
      <c r="J98" t="s">
        <v>353</v>
      </c>
      <c r="K98" t="str">
        <f t="shared" si="6"/>
        <v>breanna2</v>
      </c>
      <c r="L98">
        <f t="shared" si="7"/>
        <v>84.456099999999992</v>
      </c>
      <c r="AR98">
        <v>6</v>
      </c>
      <c r="AS98">
        <v>8</v>
      </c>
      <c r="AT98">
        <v>3</v>
      </c>
      <c r="AU98" t="str">
        <f t="shared" si="8"/>
        <v>6-8</v>
      </c>
    </row>
    <row r="99" spans="1:47" x14ac:dyDescent="0.25">
      <c r="A99">
        <v>2</v>
      </c>
      <c r="B99" t="s">
        <v>219</v>
      </c>
      <c r="C99" t="s">
        <v>10</v>
      </c>
      <c r="D99" s="1" t="s">
        <v>337</v>
      </c>
      <c r="E99">
        <v>14</v>
      </c>
      <c r="F99">
        <v>20.68</v>
      </c>
      <c r="G99">
        <v>4.72</v>
      </c>
      <c r="H99">
        <v>7.98</v>
      </c>
      <c r="I99">
        <v>12.7</v>
      </c>
      <c r="J99" t="s">
        <v>353</v>
      </c>
      <c r="K99" t="str">
        <f t="shared" si="6"/>
        <v>breanna2</v>
      </c>
      <c r="L99">
        <f t="shared" si="7"/>
        <v>63.680400000000006</v>
      </c>
      <c r="AR99">
        <v>7</v>
      </c>
      <c r="AS99">
        <v>8</v>
      </c>
      <c r="AT99">
        <v>5</v>
      </c>
      <c r="AU99" t="str">
        <f t="shared" si="8"/>
        <v>7-8</v>
      </c>
    </row>
    <row r="100" spans="1:47" x14ac:dyDescent="0.25">
      <c r="A100">
        <v>2</v>
      </c>
      <c r="B100" t="s">
        <v>22</v>
      </c>
      <c r="C100" t="s">
        <v>10</v>
      </c>
      <c r="D100" s="1" t="s">
        <v>504</v>
      </c>
      <c r="E100">
        <v>8.33</v>
      </c>
      <c r="F100">
        <v>11.94</v>
      </c>
      <c r="G100">
        <v>2.9</v>
      </c>
      <c r="H100">
        <v>4.5199999999999996</v>
      </c>
      <c r="I100">
        <v>7.42</v>
      </c>
      <c r="J100" t="s">
        <v>353</v>
      </c>
      <c r="K100" t="str">
        <f t="shared" si="6"/>
        <v>breanna2</v>
      </c>
      <c r="L100">
        <f t="shared" si="7"/>
        <v>20.430399999999995</v>
      </c>
      <c r="AR100">
        <v>8</v>
      </c>
      <c r="AS100">
        <v>8</v>
      </c>
      <c r="AT100">
        <v>1</v>
      </c>
      <c r="AU100" t="str">
        <f t="shared" si="8"/>
        <v>8-8</v>
      </c>
    </row>
    <row r="101" spans="1:47" x14ac:dyDescent="0.25">
      <c r="A101">
        <v>2</v>
      </c>
      <c r="B101" t="s">
        <v>216</v>
      </c>
      <c r="C101" t="s">
        <v>10</v>
      </c>
      <c r="D101" s="1" t="s">
        <v>422</v>
      </c>
      <c r="E101">
        <v>15.61</v>
      </c>
      <c r="F101">
        <v>20.239999999999998</v>
      </c>
      <c r="G101">
        <v>6.32</v>
      </c>
      <c r="H101">
        <v>6.96</v>
      </c>
      <c r="I101">
        <v>13.28</v>
      </c>
      <c r="J101" t="s">
        <v>354</v>
      </c>
      <c r="K101" t="str">
        <f t="shared" si="6"/>
        <v>joseph2</v>
      </c>
      <c r="L101">
        <f t="shared" si="7"/>
        <v>48.441600000000001</v>
      </c>
      <c r="AR101">
        <v>9</v>
      </c>
      <c r="AS101">
        <v>8</v>
      </c>
      <c r="AT101">
        <v>2</v>
      </c>
      <c r="AU101" t="str">
        <f t="shared" si="8"/>
        <v>9-8</v>
      </c>
    </row>
    <row r="102" spans="1:47" x14ac:dyDescent="0.25">
      <c r="A102">
        <v>2</v>
      </c>
      <c r="B102" t="s">
        <v>77</v>
      </c>
      <c r="C102" t="s">
        <v>10</v>
      </c>
      <c r="D102" s="1" t="s">
        <v>505</v>
      </c>
      <c r="E102">
        <v>14.94</v>
      </c>
      <c r="F102">
        <v>21.03</v>
      </c>
      <c r="G102">
        <v>4.6100000000000003</v>
      </c>
      <c r="H102">
        <v>8.2100000000000009</v>
      </c>
      <c r="I102">
        <v>12.82</v>
      </c>
      <c r="J102" t="s">
        <v>354</v>
      </c>
      <c r="K102" t="str">
        <f t="shared" si="6"/>
        <v>joseph2</v>
      </c>
      <c r="L102">
        <f t="shared" si="7"/>
        <v>67.404100000000014</v>
      </c>
      <c r="AR102">
        <v>10</v>
      </c>
      <c r="AS102">
        <v>8</v>
      </c>
      <c r="AT102">
        <v>9</v>
      </c>
      <c r="AU102" t="str">
        <f t="shared" si="8"/>
        <v>10-8</v>
      </c>
    </row>
    <row r="103" spans="1:47" x14ac:dyDescent="0.25">
      <c r="A103">
        <v>2</v>
      </c>
      <c r="B103" t="s">
        <v>16</v>
      </c>
      <c r="C103" t="s">
        <v>10</v>
      </c>
      <c r="D103" s="1" t="s">
        <v>506</v>
      </c>
      <c r="E103">
        <v>10.92</v>
      </c>
      <c r="F103">
        <v>16.77</v>
      </c>
      <c r="G103">
        <v>3.71</v>
      </c>
      <c r="H103">
        <v>6.53</v>
      </c>
      <c r="I103">
        <v>10.24</v>
      </c>
      <c r="J103" t="s">
        <v>354</v>
      </c>
      <c r="K103" t="str">
        <f t="shared" si="6"/>
        <v>joseph2</v>
      </c>
      <c r="L103">
        <f t="shared" si="7"/>
        <v>42.640900000000002</v>
      </c>
      <c r="AR103">
        <v>11</v>
      </c>
      <c r="AS103">
        <v>8</v>
      </c>
      <c r="AT103">
        <v>6</v>
      </c>
      <c r="AU103" t="str">
        <f t="shared" si="8"/>
        <v>11-8</v>
      </c>
    </row>
    <row r="104" spans="1:47" x14ac:dyDescent="0.25">
      <c r="A104">
        <v>2</v>
      </c>
      <c r="B104" t="s">
        <v>75</v>
      </c>
      <c r="C104" t="s">
        <v>10</v>
      </c>
      <c r="D104" s="1" t="s">
        <v>423</v>
      </c>
      <c r="E104">
        <v>18.149999999999999</v>
      </c>
      <c r="F104">
        <v>24.87</v>
      </c>
      <c r="G104">
        <v>9.07</v>
      </c>
      <c r="H104">
        <v>7.9</v>
      </c>
      <c r="I104">
        <v>16.97</v>
      </c>
      <c r="J104" t="s">
        <v>355</v>
      </c>
      <c r="K104" t="str">
        <f t="shared" si="6"/>
        <v>alyssa2</v>
      </c>
      <c r="L104">
        <f t="shared" si="7"/>
        <v>62.410000000000004</v>
      </c>
      <c r="AR104">
        <v>12</v>
      </c>
      <c r="AS104">
        <v>8</v>
      </c>
      <c r="AT104">
        <v>7</v>
      </c>
      <c r="AU104" t="str">
        <f t="shared" si="8"/>
        <v>12-8</v>
      </c>
    </row>
    <row r="105" spans="1:47" x14ac:dyDescent="0.25">
      <c r="A105">
        <v>2</v>
      </c>
      <c r="B105" t="s">
        <v>28</v>
      </c>
      <c r="C105" t="s">
        <v>10</v>
      </c>
      <c r="D105" s="1" t="s">
        <v>305</v>
      </c>
      <c r="E105">
        <v>14.69</v>
      </c>
      <c r="F105">
        <v>18.690000000000001</v>
      </c>
      <c r="G105">
        <v>6.01</v>
      </c>
      <c r="H105">
        <v>6.34</v>
      </c>
      <c r="I105">
        <v>12.35</v>
      </c>
      <c r="J105" t="s">
        <v>355</v>
      </c>
      <c r="K105" t="str">
        <f t="shared" si="6"/>
        <v>alyssa2</v>
      </c>
      <c r="L105">
        <f t="shared" si="7"/>
        <v>40.195599999999999</v>
      </c>
      <c r="AR105">
        <v>13</v>
      </c>
      <c r="AS105">
        <v>8</v>
      </c>
      <c r="AT105">
        <v>10</v>
      </c>
      <c r="AU105" t="str">
        <f t="shared" si="8"/>
        <v>13-8</v>
      </c>
    </row>
    <row r="106" spans="1:47" x14ac:dyDescent="0.25">
      <c r="A106">
        <v>2</v>
      </c>
      <c r="B106" t="s">
        <v>160</v>
      </c>
      <c r="C106" t="s">
        <v>10</v>
      </c>
      <c r="D106" s="1" t="s">
        <v>424</v>
      </c>
      <c r="E106">
        <v>9.6199999999999992</v>
      </c>
      <c r="F106">
        <v>13.78</v>
      </c>
      <c r="G106">
        <v>2.2999999999999998</v>
      </c>
      <c r="H106">
        <v>5.74</v>
      </c>
      <c r="I106">
        <v>8.0399999999999991</v>
      </c>
      <c r="J106" t="s">
        <v>356</v>
      </c>
      <c r="K106" t="str">
        <f t="shared" si="6"/>
        <v>chris2</v>
      </c>
      <c r="L106">
        <f t="shared" si="7"/>
        <v>32.947600000000001</v>
      </c>
      <c r="AR106">
        <v>1</v>
      </c>
      <c r="AS106">
        <v>9</v>
      </c>
      <c r="AT106">
        <v>10</v>
      </c>
      <c r="AU106" t="str">
        <f t="shared" si="8"/>
        <v>1-9</v>
      </c>
    </row>
    <row r="107" spans="1:47" x14ac:dyDescent="0.25">
      <c r="A107">
        <v>2</v>
      </c>
      <c r="B107" t="s">
        <v>25</v>
      </c>
      <c r="C107" t="s">
        <v>10</v>
      </c>
      <c r="D107" s="1" t="s">
        <v>414</v>
      </c>
      <c r="E107">
        <v>0</v>
      </c>
      <c r="F107">
        <v>0</v>
      </c>
      <c r="G107">
        <v>0</v>
      </c>
      <c r="H107">
        <v>0</v>
      </c>
      <c r="I107">
        <v>0</v>
      </c>
      <c r="J107" t="s">
        <v>356</v>
      </c>
      <c r="K107" t="str">
        <f t="shared" si="6"/>
        <v>chris2</v>
      </c>
      <c r="L107">
        <f t="shared" si="7"/>
        <v>0</v>
      </c>
      <c r="AR107">
        <v>2</v>
      </c>
      <c r="AS107">
        <v>9</v>
      </c>
      <c r="AT107">
        <v>8</v>
      </c>
      <c r="AU107" t="str">
        <f t="shared" si="8"/>
        <v>2-9</v>
      </c>
    </row>
    <row r="108" spans="1:47" x14ac:dyDescent="0.25">
      <c r="A108">
        <v>2</v>
      </c>
      <c r="B108" t="s">
        <v>158</v>
      </c>
      <c r="C108" t="s">
        <v>10</v>
      </c>
      <c r="D108" s="1" t="s">
        <v>425</v>
      </c>
      <c r="E108">
        <v>20.02</v>
      </c>
      <c r="F108">
        <v>26.28</v>
      </c>
      <c r="G108">
        <v>9.14</v>
      </c>
      <c r="H108">
        <v>8.57</v>
      </c>
      <c r="I108">
        <v>17.71</v>
      </c>
      <c r="J108" t="s">
        <v>357</v>
      </c>
      <c r="K108" t="str">
        <f t="shared" si="6"/>
        <v>jordan2</v>
      </c>
      <c r="L108">
        <f t="shared" si="7"/>
        <v>73.444900000000004</v>
      </c>
      <c r="AR108">
        <v>3</v>
      </c>
      <c r="AS108">
        <v>9</v>
      </c>
      <c r="AT108">
        <v>5</v>
      </c>
      <c r="AU108" t="str">
        <f t="shared" si="8"/>
        <v>3-9</v>
      </c>
    </row>
    <row r="109" spans="1:47" x14ac:dyDescent="0.25">
      <c r="A109">
        <v>2</v>
      </c>
      <c r="B109" t="s">
        <v>157</v>
      </c>
      <c r="C109" t="s">
        <v>10</v>
      </c>
      <c r="D109" s="1" t="s">
        <v>426</v>
      </c>
      <c r="E109">
        <v>9.56</v>
      </c>
      <c r="F109">
        <v>14.29</v>
      </c>
      <c r="G109">
        <v>4.03</v>
      </c>
      <c r="H109">
        <v>5.13</v>
      </c>
      <c r="I109">
        <v>9.16</v>
      </c>
      <c r="J109" t="s">
        <v>357</v>
      </c>
      <c r="K109" t="str">
        <f t="shared" si="6"/>
        <v>jordan2</v>
      </c>
      <c r="L109">
        <f t="shared" si="7"/>
        <v>26.3169</v>
      </c>
      <c r="AR109">
        <v>4</v>
      </c>
      <c r="AS109">
        <v>9</v>
      </c>
      <c r="AT109">
        <v>6</v>
      </c>
      <c r="AU109" t="str">
        <f t="shared" si="8"/>
        <v>4-9</v>
      </c>
    </row>
    <row r="110" spans="1:47" x14ac:dyDescent="0.25">
      <c r="A110">
        <v>2</v>
      </c>
      <c r="B110" t="s">
        <v>282</v>
      </c>
      <c r="C110" t="s">
        <v>10</v>
      </c>
      <c r="D110" s="1" t="s">
        <v>427</v>
      </c>
      <c r="E110">
        <v>8.81</v>
      </c>
      <c r="F110">
        <v>13.89</v>
      </c>
      <c r="G110">
        <v>1.97</v>
      </c>
      <c r="H110">
        <v>5.96</v>
      </c>
      <c r="I110">
        <v>7.93</v>
      </c>
      <c r="J110" t="s">
        <v>357</v>
      </c>
      <c r="K110" t="str">
        <f t="shared" si="6"/>
        <v>jordan2</v>
      </c>
      <c r="L110">
        <f t="shared" si="7"/>
        <v>35.521599999999999</v>
      </c>
      <c r="AR110">
        <v>5</v>
      </c>
      <c r="AS110">
        <v>9</v>
      </c>
      <c r="AT110">
        <v>7</v>
      </c>
      <c r="AU110" t="str">
        <f t="shared" si="8"/>
        <v>5-9</v>
      </c>
    </row>
    <row r="111" spans="1:47" x14ac:dyDescent="0.25">
      <c r="A111">
        <v>2</v>
      </c>
      <c r="B111" t="s">
        <v>12</v>
      </c>
      <c r="C111" t="s">
        <v>10</v>
      </c>
      <c r="D111" s="1" t="s">
        <v>428</v>
      </c>
      <c r="E111">
        <v>12.95</v>
      </c>
      <c r="F111">
        <v>18.47</v>
      </c>
      <c r="G111">
        <v>5.25</v>
      </c>
      <c r="H111">
        <v>6.61</v>
      </c>
      <c r="I111">
        <v>11.86</v>
      </c>
      <c r="J111" t="s">
        <v>358</v>
      </c>
      <c r="K111" t="str">
        <f t="shared" si="6"/>
        <v>alex2</v>
      </c>
      <c r="L111">
        <f t="shared" si="7"/>
        <v>43.692100000000003</v>
      </c>
      <c r="AR111">
        <v>6</v>
      </c>
      <c r="AS111">
        <v>9</v>
      </c>
      <c r="AT111">
        <v>1</v>
      </c>
      <c r="AU111" t="str">
        <f t="shared" si="8"/>
        <v>6-9</v>
      </c>
    </row>
    <row r="112" spans="1:47" x14ac:dyDescent="0.25">
      <c r="A112">
        <v>2</v>
      </c>
      <c r="B112" t="s">
        <v>14</v>
      </c>
      <c r="C112" t="s">
        <v>10</v>
      </c>
      <c r="D112" s="1" t="s">
        <v>429</v>
      </c>
      <c r="E112">
        <v>12.92</v>
      </c>
      <c r="F112">
        <v>17.600000000000001</v>
      </c>
      <c r="G112">
        <v>4.9800000000000004</v>
      </c>
      <c r="H112">
        <v>6.31</v>
      </c>
      <c r="I112">
        <v>11.29</v>
      </c>
      <c r="J112" t="s">
        <v>358</v>
      </c>
      <c r="K112" t="str">
        <f t="shared" si="6"/>
        <v>alex2</v>
      </c>
      <c r="L112">
        <f t="shared" si="7"/>
        <v>39.816099999999992</v>
      </c>
      <c r="AR112">
        <v>7</v>
      </c>
      <c r="AS112">
        <v>9</v>
      </c>
      <c r="AT112">
        <v>2</v>
      </c>
      <c r="AU112" t="str">
        <f t="shared" si="8"/>
        <v>7-9</v>
      </c>
    </row>
    <row r="113" spans="1:47" x14ac:dyDescent="0.25">
      <c r="A113">
        <v>2</v>
      </c>
      <c r="B113" t="s">
        <v>152</v>
      </c>
      <c r="C113" t="s">
        <v>10</v>
      </c>
      <c r="D113" s="1" t="s">
        <v>263</v>
      </c>
      <c r="E113">
        <v>20.72</v>
      </c>
      <c r="F113">
        <v>27.01</v>
      </c>
      <c r="G113">
        <v>9.9700000000000006</v>
      </c>
      <c r="H113">
        <v>8.52</v>
      </c>
      <c r="I113">
        <v>18.489999999999998</v>
      </c>
      <c r="J113" t="s">
        <v>359</v>
      </c>
      <c r="K113" t="str">
        <f t="shared" si="6"/>
        <v>colin2</v>
      </c>
      <c r="L113">
        <f t="shared" si="7"/>
        <v>72.590399999999988</v>
      </c>
      <c r="AR113">
        <v>8</v>
      </c>
      <c r="AS113">
        <v>9</v>
      </c>
      <c r="AT113">
        <v>4</v>
      </c>
      <c r="AU113" t="str">
        <f t="shared" si="8"/>
        <v>8-9</v>
      </c>
    </row>
    <row r="114" spans="1:47" x14ac:dyDescent="0.25">
      <c r="A114">
        <v>2</v>
      </c>
      <c r="B114" t="s">
        <v>264</v>
      </c>
      <c r="C114" t="s">
        <v>10</v>
      </c>
      <c r="D114" s="1" t="s">
        <v>380</v>
      </c>
      <c r="E114">
        <v>9.5500000000000007</v>
      </c>
      <c r="F114">
        <v>15.43</v>
      </c>
      <c r="G114">
        <v>0.53</v>
      </c>
      <c r="H114">
        <v>7.45</v>
      </c>
      <c r="I114">
        <v>7.98</v>
      </c>
      <c r="J114" t="s">
        <v>359</v>
      </c>
      <c r="K114" t="str">
        <f t="shared" si="6"/>
        <v>colin2</v>
      </c>
      <c r="L114">
        <f t="shared" si="7"/>
        <v>55.502500000000005</v>
      </c>
      <c r="AR114">
        <v>9</v>
      </c>
      <c r="AS114">
        <v>9</v>
      </c>
      <c r="AT114">
        <v>10</v>
      </c>
      <c r="AU114" t="str">
        <f t="shared" si="8"/>
        <v>9-9</v>
      </c>
    </row>
    <row r="115" spans="1:47" x14ac:dyDescent="0.25">
      <c r="A115">
        <v>2</v>
      </c>
      <c r="B115" t="s">
        <v>265</v>
      </c>
      <c r="C115" t="s">
        <v>10</v>
      </c>
      <c r="D115" s="1" t="s">
        <v>430</v>
      </c>
      <c r="E115">
        <v>8.6999999999999993</v>
      </c>
      <c r="F115">
        <v>12.18</v>
      </c>
      <c r="G115">
        <v>3.4</v>
      </c>
      <c r="H115">
        <v>4.3899999999999997</v>
      </c>
      <c r="I115">
        <v>7.79</v>
      </c>
      <c r="J115" t="s">
        <v>359</v>
      </c>
      <c r="K115" t="str">
        <f t="shared" si="6"/>
        <v>colin2</v>
      </c>
      <c r="L115">
        <f t="shared" si="7"/>
        <v>19.272099999999998</v>
      </c>
      <c r="AR115">
        <v>10</v>
      </c>
      <c r="AS115">
        <v>9</v>
      </c>
      <c r="AT115">
        <v>8</v>
      </c>
      <c r="AU115" t="str">
        <f t="shared" si="8"/>
        <v>10-9</v>
      </c>
    </row>
    <row r="116" spans="1:47" x14ac:dyDescent="0.25">
      <c r="A116">
        <v>2</v>
      </c>
      <c r="B116" t="s">
        <v>13</v>
      </c>
      <c r="C116" t="s">
        <v>10</v>
      </c>
      <c r="D116" s="1" t="s">
        <v>507</v>
      </c>
      <c r="E116">
        <v>14.15</v>
      </c>
      <c r="F116">
        <v>21.54</v>
      </c>
      <c r="G116">
        <v>4.08</v>
      </c>
      <c r="H116">
        <v>8.73</v>
      </c>
      <c r="I116">
        <v>12.81</v>
      </c>
      <c r="J116" t="s">
        <v>360</v>
      </c>
      <c r="K116" t="str">
        <f t="shared" si="6"/>
        <v>paul2</v>
      </c>
      <c r="L116">
        <f t="shared" si="7"/>
        <v>76.212900000000005</v>
      </c>
      <c r="AR116">
        <v>11</v>
      </c>
      <c r="AS116">
        <v>9</v>
      </c>
      <c r="AT116">
        <v>3</v>
      </c>
      <c r="AU116" t="str">
        <f t="shared" si="8"/>
        <v>11-9</v>
      </c>
    </row>
    <row r="117" spans="1:47" x14ac:dyDescent="0.25">
      <c r="A117">
        <v>2</v>
      </c>
      <c r="B117" t="s">
        <v>115</v>
      </c>
      <c r="C117" t="s">
        <v>10</v>
      </c>
      <c r="D117" s="1" t="s">
        <v>431</v>
      </c>
      <c r="E117">
        <v>11.81</v>
      </c>
      <c r="F117">
        <v>17.760000000000002</v>
      </c>
      <c r="G117">
        <v>3.28</v>
      </c>
      <c r="H117">
        <v>7.24</v>
      </c>
      <c r="I117">
        <v>10.52</v>
      </c>
      <c r="J117" t="s">
        <v>360</v>
      </c>
      <c r="K117" t="str">
        <f t="shared" si="6"/>
        <v>paul2</v>
      </c>
      <c r="L117">
        <f t="shared" si="7"/>
        <v>52.4176</v>
      </c>
      <c r="AR117">
        <v>12</v>
      </c>
      <c r="AS117">
        <v>9</v>
      </c>
      <c r="AT117">
        <v>6</v>
      </c>
      <c r="AU117" t="str">
        <f t="shared" si="8"/>
        <v>12-9</v>
      </c>
    </row>
    <row r="118" spans="1:47" x14ac:dyDescent="0.25">
      <c r="A118">
        <v>2</v>
      </c>
      <c r="B118" t="s">
        <v>185</v>
      </c>
      <c r="C118" t="s">
        <v>10</v>
      </c>
      <c r="D118" s="1" t="s">
        <v>432</v>
      </c>
      <c r="E118">
        <v>11.1</v>
      </c>
      <c r="F118">
        <v>15.65</v>
      </c>
      <c r="G118">
        <v>4.3499999999999996</v>
      </c>
      <c r="H118">
        <v>5.65</v>
      </c>
      <c r="I118">
        <v>10</v>
      </c>
      <c r="J118" t="s">
        <v>360</v>
      </c>
      <c r="K118" t="str">
        <f t="shared" si="6"/>
        <v>paul2</v>
      </c>
      <c r="L118">
        <f t="shared" si="7"/>
        <v>31.922500000000003</v>
      </c>
      <c r="AR118">
        <v>13</v>
      </c>
      <c r="AS118">
        <v>9</v>
      </c>
      <c r="AT118">
        <v>7</v>
      </c>
      <c r="AU118" t="str">
        <f t="shared" si="8"/>
        <v>13-9</v>
      </c>
    </row>
    <row r="119" spans="1:47" x14ac:dyDescent="0.25">
      <c r="A119">
        <v>2</v>
      </c>
      <c r="B119" t="s">
        <v>41</v>
      </c>
      <c r="C119" t="s">
        <v>32</v>
      </c>
      <c r="D119" s="1" t="s">
        <v>508</v>
      </c>
      <c r="E119">
        <v>18.11</v>
      </c>
      <c r="F119">
        <v>22.7</v>
      </c>
      <c r="G119">
        <v>6.6</v>
      </c>
      <c r="H119">
        <v>8.0500000000000007</v>
      </c>
      <c r="I119">
        <v>14.65</v>
      </c>
      <c r="J119" t="s">
        <v>351</v>
      </c>
      <c r="K119" t="str">
        <f t="shared" si="6"/>
        <v>andrew2</v>
      </c>
      <c r="L119">
        <f t="shared" si="7"/>
        <v>64.802500000000009</v>
      </c>
      <c r="AR119">
        <v>1</v>
      </c>
      <c r="AS119">
        <v>10</v>
      </c>
      <c r="AT119">
        <v>9</v>
      </c>
      <c r="AU119" t="str">
        <f t="shared" si="8"/>
        <v>1-10</v>
      </c>
    </row>
    <row r="120" spans="1:47" x14ac:dyDescent="0.25">
      <c r="A120">
        <v>2</v>
      </c>
      <c r="B120" t="s">
        <v>72</v>
      </c>
      <c r="C120" t="s">
        <v>32</v>
      </c>
      <c r="D120" s="1" t="s">
        <v>433</v>
      </c>
      <c r="E120">
        <v>12.05</v>
      </c>
      <c r="F120">
        <v>15.14</v>
      </c>
      <c r="G120">
        <v>4.28</v>
      </c>
      <c r="H120">
        <v>5.43</v>
      </c>
      <c r="I120">
        <v>9.7100000000000009</v>
      </c>
      <c r="J120" t="s">
        <v>351</v>
      </c>
      <c r="K120" t="str">
        <f t="shared" si="6"/>
        <v>andrew2</v>
      </c>
      <c r="L120">
        <f t="shared" si="7"/>
        <v>29.484899999999996</v>
      </c>
      <c r="AR120">
        <v>2</v>
      </c>
      <c r="AS120">
        <v>10</v>
      </c>
      <c r="AT120">
        <v>6</v>
      </c>
      <c r="AU120" t="str">
        <f t="shared" si="8"/>
        <v>2-10</v>
      </c>
    </row>
    <row r="121" spans="1:47" x14ac:dyDescent="0.25">
      <c r="A121">
        <v>2</v>
      </c>
      <c r="B121" t="s">
        <v>33</v>
      </c>
      <c r="C121" t="s">
        <v>32</v>
      </c>
      <c r="D121" s="1" t="s">
        <v>271</v>
      </c>
      <c r="E121">
        <v>13.27</v>
      </c>
      <c r="F121">
        <v>16.62</v>
      </c>
      <c r="G121">
        <v>4.22</v>
      </c>
      <c r="H121">
        <v>6.2</v>
      </c>
      <c r="I121">
        <v>10.42</v>
      </c>
      <c r="J121" t="s">
        <v>352</v>
      </c>
      <c r="K121" t="str">
        <f t="shared" si="6"/>
        <v>jake2</v>
      </c>
      <c r="L121">
        <f t="shared" si="7"/>
        <v>38.440000000000005</v>
      </c>
      <c r="AR121">
        <v>3</v>
      </c>
      <c r="AS121">
        <v>10</v>
      </c>
      <c r="AT121">
        <v>7</v>
      </c>
      <c r="AU121" t="str">
        <f t="shared" si="8"/>
        <v>3-10</v>
      </c>
    </row>
    <row r="122" spans="1:47" x14ac:dyDescent="0.25">
      <c r="A122">
        <v>2</v>
      </c>
      <c r="B122" t="s">
        <v>39</v>
      </c>
      <c r="C122" t="s">
        <v>32</v>
      </c>
      <c r="D122" s="1" t="s">
        <v>434</v>
      </c>
      <c r="E122">
        <v>12.14</v>
      </c>
      <c r="F122">
        <v>15.5</v>
      </c>
      <c r="G122">
        <v>3.22</v>
      </c>
      <c r="H122">
        <v>6.14</v>
      </c>
      <c r="I122">
        <v>9.36</v>
      </c>
      <c r="J122" t="s">
        <v>352</v>
      </c>
      <c r="K122" t="str">
        <f t="shared" si="6"/>
        <v>jake2</v>
      </c>
      <c r="L122">
        <f t="shared" si="7"/>
        <v>37.699599999999997</v>
      </c>
      <c r="AR122">
        <v>4</v>
      </c>
      <c r="AS122">
        <v>10</v>
      </c>
      <c r="AT122">
        <v>1</v>
      </c>
      <c r="AU122" t="str">
        <f t="shared" si="8"/>
        <v>4-10</v>
      </c>
    </row>
    <row r="123" spans="1:47" x14ac:dyDescent="0.25">
      <c r="A123">
        <v>2</v>
      </c>
      <c r="B123" t="s">
        <v>48</v>
      </c>
      <c r="C123" t="s">
        <v>32</v>
      </c>
      <c r="D123" s="1" t="s">
        <v>273</v>
      </c>
      <c r="E123">
        <v>11.8</v>
      </c>
      <c r="F123">
        <v>16.59</v>
      </c>
      <c r="G123">
        <v>2.95</v>
      </c>
      <c r="H123">
        <v>6.82</v>
      </c>
      <c r="I123">
        <v>9.77</v>
      </c>
      <c r="J123" t="s">
        <v>353</v>
      </c>
      <c r="K123" t="str">
        <f t="shared" si="6"/>
        <v>breanna2</v>
      </c>
      <c r="L123">
        <f t="shared" si="7"/>
        <v>46.512400000000007</v>
      </c>
      <c r="AR123">
        <v>5</v>
      </c>
      <c r="AS123">
        <v>10</v>
      </c>
      <c r="AT123">
        <v>8</v>
      </c>
      <c r="AU123" t="str">
        <f t="shared" si="8"/>
        <v>5-10</v>
      </c>
    </row>
    <row r="124" spans="1:47" x14ac:dyDescent="0.25">
      <c r="A124">
        <v>2</v>
      </c>
      <c r="B124" t="s">
        <v>165</v>
      </c>
      <c r="C124" t="s">
        <v>32</v>
      </c>
      <c r="D124" s="1" t="s">
        <v>509</v>
      </c>
      <c r="E124">
        <v>9.74</v>
      </c>
      <c r="F124">
        <v>12.79</v>
      </c>
      <c r="G124">
        <v>2.59</v>
      </c>
      <c r="H124">
        <v>5.0999999999999996</v>
      </c>
      <c r="I124">
        <v>7.69</v>
      </c>
      <c r="J124" t="s">
        <v>353</v>
      </c>
      <c r="K124" t="str">
        <f t="shared" si="6"/>
        <v>breanna2</v>
      </c>
      <c r="L124">
        <f t="shared" si="7"/>
        <v>26.009999999999998</v>
      </c>
      <c r="AR124">
        <v>6</v>
      </c>
      <c r="AS124">
        <v>10</v>
      </c>
      <c r="AT124">
        <v>2</v>
      </c>
      <c r="AU124" t="str">
        <f t="shared" si="8"/>
        <v>6-10</v>
      </c>
    </row>
    <row r="125" spans="1:47" x14ac:dyDescent="0.25">
      <c r="A125">
        <v>2</v>
      </c>
      <c r="B125" t="s">
        <v>42</v>
      </c>
      <c r="C125" t="s">
        <v>32</v>
      </c>
      <c r="D125" s="1" t="s">
        <v>269</v>
      </c>
      <c r="E125">
        <v>15.34</v>
      </c>
      <c r="F125">
        <v>19.47</v>
      </c>
      <c r="G125">
        <v>5.33</v>
      </c>
      <c r="H125">
        <v>7.07</v>
      </c>
      <c r="I125">
        <v>12.4</v>
      </c>
      <c r="J125" t="s">
        <v>354</v>
      </c>
      <c r="K125" t="str">
        <f t="shared" si="6"/>
        <v>joseph2</v>
      </c>
      <c r="L125">
        <f t="shared" si="7"/>
        <v>49.984900000000003</v>
      </c>
      <c r="AR125">
        <v>7</v>
      </c>
      <c r="AS125">
        <v>10</v>
      </c>
      <c r="AT125">
        <v>4</v>
      </c>
      <c r="AU125" t="str">
        <f t="shared" si="8"/>
        <v>7-10</v>
      </c>
    </row>
    <row r="126" spans="1:47" x14ac:dyDescent="0.25">
      <c r="A126">
        <v>2</v>
      </c>
      <c r="B126" t="s">
        <v>43</v>
      </c>
      <c r="C126" t="s">
        <v>32</v>
      </c>
      <c r="D126" s="1" t="s">
        <v>435</v>
      </c>
      <c r="E126">
        <v>13.32</v>
      </c>
      <c r="F126">
        <v>17.18</v>
      </c>
      <c r="G126">
        <v>4.16</v>
      </c>
      <c r="H126">
        <v>6.51</v>
      </c>
      <c r="I126">
        <v>10.67</v>
      </c>
      <c r="J126" t="s">
        <v>354</v>
      </c>
      <c r="K126" t="str">
        <f t="shared" si="6"/>
        <v>joseph2</v>
      </c>
      <c r="L126">
        <f t="shared" si="7"/>
        <v>42.380099999999999</v>
      </c>
      <c r="AR126">
        <v>8</v>
      </c>
      <c r="AS126">
        <v>10</v>
      </c>
      <c r="AT126">
        <v>3</v>
      </c>
      <c r="AU126" t="str">
        <f t="shared" si="8"/>
        <v>8-10</v>
      </c>
    </row>
    <row r="127" spans="1:47" x14ac:dyDescent="0.25">
      <c r="A127">
        <v>2</v>
      </c>
      <c r="B127" t="s">
        <v>69</v>
      </c>
      <c r="C127" t="s">
        <v>32</v>
      </c>
      <c r="D127" s="1" t="s">
        <v>267</v>
      </c>
      <c r="E127">
        <v>16.43</v>
      </c>
      <c r="F127">
        <v>19.149999999999999</v>
      </c>
      <c r="G127">
        <v>6.79</v>
      </c>
      <c r="H127">
        <v>6.18</v>
      </c>
      <c r="I127">
        <v>12.97</v>
      </c>
      <c r="J127" t="s">
        <v>355</v>
      </c>
      <c r="K127" t="str">
        <f t="shared" si="6"/>
        <v>alyssa2</v>
      </c>
      <c r="L127">
        <f t="shared" si="7"/>
        <v>38.192399999999999</v>
      </c>
      <c r="AR127">
        <v>9</v>
      </c>
      <c r="AS127">
        <v>10</v>
      </c>
      <c r="AT127">
        <v>9</v>
      </c>
      <c r="AU127" t="str">
        <f t="shared" si="8"/>
        <v>9-10</v>
      </c>
    </row>
    <row r="128" spans="1:47" x14ac:dyDescent="0.25">
      <c r="A128">
        <v>2</v>
      </c>
      <c r="B128" t="s">
        <v>71</v>
      </c>
      <c r="C128" t="s">
        <v>32</v>
      </c>
      <c r="D128" s="1" t="s">
        <v>274</v>
      </c>
      <c r="E128">
        <v>12.67</v>
      </c>
      <c r="F128">
        <v>17.579999999999998</v>
      </c>
      <c r="G128">
        <v>2.48</v>
      </c>
      <c r="H128">
        <v>7.55</v>
      </c>
      <c r="I128">
        <v>10.029999999999999</v>
      </c>
      <c r="J128" t="s">
        <v>355</v>
      </c>
      <c r="K128" t="str">
        <f t="shared" si="6"/>
        <v>alyssa2</v>
      </c>
      <c r="L128">
        <f t="shared" si="7"/>
        <v>57.002499999999998</v>
      </c>
      <c r="AR128">
        <v>10</v>
      </c>
      <c r="AS128">
        <v>10</v>
      </c>
      <c r="AT128">
        <v>6</v>
      </c>
      <c r="AU128" t="str">
        <f t="shared" si="8"/>
        <v>10-10</v>
      </c>
    </row>
    <row r="129" spans="1:47" x14ac:dyDescent="0.25">
      <c r="A129">
        <v>2</v>
      </c>
      <c r="B129" t="s">
        <v>76</v>
      </c>
      <c r="C129" t="s">
        <v>32</v>
      </c>
      <c r="D129" s="1" t="s">
        <v>436</v>
      </c>
      <c r="E129">
        <v>11.65</v>
      </c>
      <c r="F129">
        <v>16.420000000000002</v>
      </c>
      <c r="G129">
        <v>2.68</v>
      </c>
      <c r="H129">
        <v>6.87</v>
      </c>
      <c r="I129">
        <v>9.5500000000000007</v>
      </c>
      <c r="J129" t="s">
        <v>355</v>
      </c>
      <c r="K129" t="str">
        <f t="shared" si="6"/>
        <v>alyssa2</v>
      </c>
      <c r="L129">
        <f t="shared" si="7"/>
        <v>47.196899999999999</v>
      </c>
      <c r="AR129">
        <v>11</v>
      </c>
      <c r="AS129">
        <v>10</v>
      </c>
      <c r="AT129">
        <v>7</v>
      </c>
      <c r="AU129" t="str">
        <f t="shared" si="8"/>
        <v>11-10</v>
      </c>
    </row>
    <row r="130" spans="1:47" x14ac:dyDescent="0.25">
      <c r="A130">
        <v>2</v>
      </c>
      <c r="B130" t="s">
        <v>47</v>
      </c>
      <c r="C130" t="s">
        <v>32</v>
      </c>
      <c r="D130" s="1" t="s">
        <v>510</v>
      </c>
      <c r="E130">
        <v>13.6</v>
      </c>
      <c r="F130">
        <v>18.010000000000002</v>
      </c>
      <c r="G130">
        <v>3.37</v>
      </c>
      <c r="H130">
        <v>7.32</v>
      </c>
      <c r="I130">
        <v>10.69</v>
      </c>
      <c r="J130" t="s">
        <v>356</v>
      </c>
      <c r="K130" t="str">
        <f t="shared" si="6"/>
        <v>chris2</v>
      </c>
      <c r="L130">
        <f t="shared" si="7"/>
        <v>53.582400000000007</v>
      </c>
      <c r="AR130">
        <v>12</v>
      </c>
      <c r="AS130">
        <v>10</v>
      </c>
      <c r="AT130">
        <v>5</v>
      </c>
      <c r="AU130" t="str">
        <f t="shared" si="8"/>
        <v>12-10</v>
      </c>
    </row>
    <row r="131" spans="1:47" x14ac:dyDescent="0.25">
      <c r="A131">
        <v>2</v>
      </c>
      <c r="B131" t="s">
        <v>46</v>
      </c>
      <c r="C131" t="s">
        <v>32</v>
      </c>
      <c r="D131" s="1" t="s">
        <v>270</v>
      </c>
      <c r="E131">
        <v>12.42</v>
      </c>
      <c r="F131">
        <v>14.38</v>
      </c>
      <c r="G131">
        <v>5.0999999999999996</v>
      </c>
      <c r="H131">
        <v>4.6399999999999997</v>
      </c>
      <c r="I131">
        <v>9.74</v>
      </c>
      <c r="J131" t="s">
        <v>356</v>
      </c>
      <c r="K131" t="str">
        <f t="shared" ref="K131:K194" si="9">J131&amp;A131</f>
        <v>chris2</v>
      </c>
      <c r="L131">
        <f t="shared" ref="L131:L194" si="10">H131^2</f>
        <v>21.529599999999999</v>
      </c>
      <c r="AR131">
        <v>13</v>
      </c>
      <c r="AS131">
        <v>10</v>
      </c>
      <c r="AT131">
        <v>8</v>
      </c>
      <c r="AU131" t="str">
        <f>AR131&amp;"-"&amp;AS131</f>
        <v>13-10</v>
      </c>
    </row>
    <row r="132" spans="1:47" x14ac:dyDescent="0.25">
      <c r="A132">
        <v>2</v>
      </c>
      <c r="B132" t="s">
        <v>224</v>
      </c>
      <c r="C132" t="s">
        <v>32</v>
      </c>
      <c r="D132" s="1" t="s">
        <v>511</v>
      </c>
      <c r="E132">
        <v>11.2</v>
      </c>
      <c r="F132">
        <v>15.42</v>
      </c>
      <c r="G132">
        <v>1.6</v>
      </c>
      <c r="H132">
        <v>6.91</v>
      </c>
      <c r="I132">
        <v>8.51</v>
      </c>
      <c r="J132" t="s">
        <v>356</v>
      </c>
      <c r="K132" t="str">
        <f t="shared" si="9"/>
        <v>chris2</v>
      </c>
      <c r="L132">
        <f t="shared" si="10"/>
        <v>47.748100000000001</v>
      </c>
    </row>
    <row r="133" spans="1:47" x14ac:dyDescent="0.25">
      <c r="A133">
        <v>2</v>
      </c>
      <c r="B133" t="s">
        <v>35</v>
      </c>
      <c r="C133" t="s">
        <v>32</v>
      </c>
      <c r="D133" s="1" t="s">
        <v>512</v>
      </c>
      <c r="E133">
        <v>14.58</v>
      </c>
      <c r="F133">
        <v>17.66</v>
      </c>
      <c r="G133">
        <v>3.82</v>
      </c>
      <c r="H133">
        <v>6.92</v>
      </c>
      <c r="I133">
        <v>10.74</v>
      </c>
      <c r="J133" t="s">
        <v>357</v>
      </c>
      <c r="K133" t="str">
        <f t="shared" si="9"/>
        <v>jordan2</v>
      </c>
      <c r="L133">
        <f t="shared" si="10"/>
        <v>47.886400000000002</v>
      </c>
    </row>
    <row r="134" spans="1:47" x14ac:dyDescent="0.25">
      <c r="A134">
        <v>2</v>
      </c>
      <c r="B134" t="s">
        <v>50</v>
      </c>
      <c r="C134" t="s">
        <v>32</v>
      </c>
      <c r="D134" s="1" t="s">
        <v>437</v>
      </c>
      <c r="E134">
        <v>9.44</v>
      </c>
      <c r="F134">
        <v>11.03</v>
      </c>
      <c r="G134">
        <v>2.85</v>
      </c>
      <c r="H134">
        <v>4.09</v>
      </c>
      <c r="I134">
        <v>6.94</v>
      </c>
      <c r="J134" t="s">
        <v>357</v>
      </c>
      <c r="K134" t="str">
        <f t="shared" si="9"/>
        <v>jordan2</v>
      </c>
      <c r="L134">
        <f t="shared" si="10"/>
        <v>16.728099999999998</v>
      </c>
    </row>
    <row r="135" spans="1:47" x14ac:dyDescent="0.25">
      <c r="A135">
        <v>2</v>
      </c>
      <c r="B135" t="s">
        <v>184</v>
      </c>
      <c r="C135" t="s">
        <v>32</v>
      </c>
      <c r="D135" s="1" t="s">
        <v>513</v>
      </c>
      <c r="E135">
        <v>14.72</v>
      </c>
      <c r="F135">
        <v>19.670000000000002</v>
      </c>
      <c r="G135">
        <v>4.37</v>
      </c>
      <c r="H135">
        <v>7.65</v>
      </c>
      <c r="I135">
        <v>12.02</v>
      </c>
      <c r="J135" t="s">
        <v>358</v>
      </c>
      <c r="K135" t="str">
        <f t="shared" si="9"/>
        <v>alex2</v>
      </c>
      <c r="L135">
        <f t="shared" si="10"/>
        <v>58.522500000000008</v>
      </c>
    </row>
    <row r="136" spans="1:47" x14ac:dyDescent="0.25">
      <c r="A136">
        <v>2</v>
      </c>
      <c r="B136" t="s">
        <v>34</v>
      </c>
      <c r="C136" t="s">
        <v>32</v>
      </c>
      <c r="D136" s="1" t="s">
        <v>268</v>
      </c>
      <c r="E136">
        <v>14.82</v>
      </c>
      <c r="F136">
        <v>20.61</v>
      </c>
      <c r="G136">
        <v>2.93</v>
      </c>
      <c r="H136">
        <v>8.84</v>
      </c>
      <c r="I136">
        <v>11.77</v>
      </c>
      <c r="J136" t="s">
        <v>358</v>
      </c>
      <c r="K136" t="str">
        <f t="shared" si="9"/>
        <v>alex2</v>
      </c>
      <c r="L136">
        <f t="shared" si="10"/>
        <v>78.145600000000002</v>
      </c>
    </row>
    <row r="137" spans="1:47" x14ac:dyDescent="0.25">
      <c r="A137">
        <v>2</v>
      </c>
      <c r="B137" t="s">
        <v>36</v>
      </c>
      <c r="C137" t="s">
        <v>32</v>
      </c>
      <c r="D137" s="1" t="s">
        <v>438</v>
      </c>
      <c r="E137">
        <v>11.91</v>
      </c>
      <c r="F137">
        <v>15.96</v>
      </c>
      <c r="G137">
        <v>3.34</v>
      </c>
      <c r="H137">
        <v>6.31</v>
      </c>
      <c r="I137">
        <v>9.65</v>
      </c>
      <c r="J137" t="s">
        <v>358</v>
      </c>
      <c r="K137" t="str">
        <f t="shared" si="9"/>
        <v>alex2</v>
      </c>
      <c r="L137">
        <f t="shared" si="10"/>
        <v>39.816099999999992</v>
      </c>
    </row>
    <row r="138" spans="1:47" x14ac:dyDescent="0.25">
      <c r="A138">
        <v>2</v>
      </c>
      <c r="B138" t="s">
        <v>183</v>
      </c>
      <c r="C138" t="s">
        <v>32</v>
      </c>
      <c r="D138" s="1" t="s">
        <v>439</v>
      </c>
      <c r="E138">
        <v>10.92</v>
      </c>
      <c r="F138">
        <v>15.19</v>
      </c>
      <c r="G138">
        <v>2.0099999999999998</v>
      </c>
      <c r="H138">
        <v>6.59</v>
      </c>
      <c r="I138">
        <v>8.6</v>
      </c>
      <c r="J138" t="s">
        <v>359</v>
      </c>
      <c r="K138" t="str">
        <f t="shared" si="9"/>
        <v>colin2</v>
      </c>
      <c r="L138">
        <f t="shared" si="10"/>
        <v>43.428100000000001</v>
      </c>
    </row>
    <row r="139" spans="1:47" x14ac:dyDescent="0.25">
      <c r="A139">
        <v>2</v>
      </c>
      <c r="B139" t="s">
        <v>234</v>
      </c>
      <c r="C139" t="s">
        <v>32</v>
      </c>
      <c r="D139" s="1" t="s">
        <v>272</v>
      </c>
      <c r="E139">
        <v>10.64</v>
      </c>
      <c r="F139">
        <v>14.03</v>
      </c>
      <c r="G139">
        <v>2.89</v>
      </c>
      <c r="H139">
        <v>5.57</v>
      </c>
      <c r="I139">
        <v>8.4600000000000009</v>
      </c>
      <c r="J139" t="s">
        <v>359</v>
      </c>
      <c r="K139" t="str">
        <f t="shared" si="9"/>
        <v>colin2</v>
      </c>
      <c r="L139">
        <f t="shared" si="10"/>
        <v>31.024900000000002</v>
      </c>
    </row>
    <row r="140" spans="1:47" x14ac:dyDescent="0.25">
      <c r="A140">
        <v>2</v>
      </c>
      <c r="B140" t="s">
        <v>49</v>
      </c>
      <c r="C140" t="s">
        <v>32</v>
      </c>
      <c r="D140" s="1" t="s">
        <v>514</v>
      </c>
      <c r="E140">
        <v>13.62</v>
      </c>
      <c r="F140">
        <v>16.88</v>
      </c>
      <c r="G140">
        <v>4.8</v>
      </c>
      <c r="H140">
        <v>6.04</v>
      </c>
      <c r="I140">
        <v>10.84</v>
      </c>
      <c r="J140" t="s">
        <v>360</v>
      </c>
      <c r="K140" t="str">
        <f t="shared" si="9"/>
        <v>paul2</v>
      </c>
      <c r="L140">
        <f t="shared" si="10"/>
        <v>36.4816</v>
      </c>
    </row>
    <row r="141" spans="1:47" x14ac:dyDescent="0.25">
      <c r="A141">
        <v>2</v>
      </c>
      <c r="B141" t="s">
        <v>38</v>
      </c>
      <c r="C141" t="s">
        <v>32</v>
      </c>
      <c r="D141" s="1" t="s">
        <v>440</v>
      </c>
      <c r="E141">
        <v>12.07</v>
      </c>
      <c r="F141">
        <v>15.81</v>
      </c>
      <c r="G141">
        <v>3.75</v>
      </c>
      <c r="H141">
        <v>6.03</v>
      </c>
      <c r="I141">
        <v>9.7799999999999994</v>
      </c>
      <c r="J141" t="s">
        <v>360</v>
      </c>
      <c r="K141" t="str">
        <f t="shared" si="9"/>
        <v>paul2</v>
      </c>
      <c r="L141">
        <f t="shared" si="10"/>
        <v>36.360900000000001</v>
      </c>
    </row>
    <row r="142" spans="1:47" x14ac:dyDescent="0.25">
      <c r="A142">
        <v>2</v>
      </c>
      <c r="B142" t="s">
        <v>246</v>
      </c>
      <c r="C142" t="s">
        <v>53</v>
      </c>
      <c r="D142" s="1" t="s">
        <v>441</v>
      </c>
      <c r="E142">
        <v>19.809999999999999</v>
      </c>
      <c r="F142">
        <v>25.61</v>
      </c>
      <c r="G142">
        <v>12.29</v>
      </c>
      <c r="H142">
        <v>6.66</v>
      </c>
      <c r="I142">
        <v>18.95</v>
      </c>
      <c r="J142" t="s">
        <v>351</v>
      </c>
      <c r="K142" t="str">
        <f t="shared" si="9"/>
        <v>andrew2</v>
      </c>
      <c r="L142">
        <f t="shared" si="10"/>
        <v>44.355600000000003</v>
      </c>
    </row>
    <row r="143" spans="1:47" x14ac:dyDescent="0.25">
      <c r="A143">
        <v>2</v>
      </c>
      <c r="B143" t="s">
        <v>204</v>
      </c>
      <c r="C143" t="s">
        <v>53</v>
      </c>
      <c r="D143" s="1" t="s">
        <v>442</v>
      </c>
      <c r="E143">
        <v>19.48</v>
      </c>
      <c r="F143">
        <v>27.05</v>
      </c>
      <c r="G143">
        <v>10.23</v>
      </c>
      <c r="H143">
        <v>8.41</v>
      </c>
      <c r="I143">
        <v>18.64</v>
      </c>
      <c r="J143" t="s">
        <v>352</v>
      </c>
      <c r="K143" t="str">
        <f t="shared" si="9"/>
        <v>jake2</v>
      </c>
      <c r="L143">
        <f t="shared" si="10"/>
        <v>70.728099999999998</v>
      </c>
    </row>
    <row r="144" spans="1:47" x14ac:dyDescent="0.25">
      <c r="A144">
        <v>2</v>
      </c>
      <c r="B144" t="s">
        <v>148</v>
      </c>
      <c r="C144" t="s">
        <v>53</v>
      </c>
      <c r="D144" s="1" t="s">
        <v>443</v>
      </c>
      <c r="E144">
        <v>20.71</v>
      </c>
      <c r="F144">
        <v>26.95</v>
      </c>
      <c r="G144">
        <v>13.53</v>
      </c>
      <c r="H144">
        <v>6.71</v>
      </c>
      <c r="I144">
        <v>20.239999999999998</v>
      </c>
      <c r="J144" t="s">
        <v>353</v>
      </c>
      <c r="K144" t="str">
        <f t="shared" si="9"/>
        <v>breanna2</v>
      </c>
      <c r="L144">
        <f t="shared" si="10"/>
        <v>45.024099999999997</v>
      </c>
    </row>
    <row r="145" spans="1:12" x14ac:dyDescent="0.25">
      <c r="A145">
        <v>2</v>
      </c>
      <c r="B145" t="s">
        <v>364</v>
      </c>
      <c r="C145" t="s">
        <v>53</v>
      </c>
      <c r="D145" s="1" t="s">
        <v>381</v>
      </c>
      <c r="E145">
        <v>18.97</v>
      </c>
      <c r="F145">
        <v>24.62</v>
      </c>
      <c r="G145">
        <v>12.02</v>
      </c>
      <c r="H145">
        <v>6.3</v>
      </c>
      <c r="I145">
        <v>18.32</v>
      </c>
      <c r="J145" t="s">
        <v>354</v>
      </c>
      <c r="K145" t="str">
        <f t="shared" si="9"/>
        <v>joseph2</v>
      </c>
      <c r="L145">
        <f t="shared" si="10"/>
        <v>39.69</v>
      </c>
    </row>
    <row r="146" spans="1:12" x14ac:dyDescent="0.25">
      <c r="A146">
        <v>2</v>
      </c>
      <c r="B146" t="s">
        <v>386</v>
      </c>
      <c r="C146" t="s">
        <v>53</v>
      </c>
      <c r="D146" s="1" t="s">
        <v>444</v>
      </c>
      <c r="E146">
        <v>16.21</v>
      </c>
      <c r="F146">
        <v>21.06</v>
      </c>
      <c r="G146">
        <v>9.6999999999999993</v>
      </c>
      <c r="H146">
        <v>5.68</v>
      </c>
      <c r="I146">
        <v>15.38</v>
      </c>
      <c r="J146" t="s">
        <v>355</v>
      </c>
      <c r="K146" t="str">
        <f t="shared" si="9"/>
        <v>alyssa2</v>
      </c>
      <c r="L146">
        <f t="shared" si="10"/>
        <v>32.2624</v>
      </c>
    </row>
    <row r="147" spans="1:12" x14ac:dyDescent="0.25">
      <c r="A147">
        <v>2</v>
      </c>
      <c r="B147" t="s">
        <v>55</v>
      </c>
      <c r="C147" t="s">
        <v>53</v>
      </c>
      <c r="D147" s="1" t="s">
        <v>445</v>
      </c>
      <c r="E147">
        <v>19.04</v>
      </c>
      <c r="F147">
        <v>25.29</v>
      </c>
      <c r="G147">
        <v>11.15</v>
      </c>
      <c r="H147">
        <v>7.07</v>
      </c>
      <c r="I147">
        <v>18.22</v>
      </c>
      <c r="J147" t="s">
        <v>356</v>
      </c>
      <c r="K147" t="str">
        <f t="shared" si="9"/>
        <v>chris2</v>
      </c>
      <c r="L147">
        <f t="shared" si="10"/>
        <v>49.984900000000003</v>
      </c>
    </row>
    <row r="148" spans="1:12" x14ac:dyDescent="0.25">
      <c r="A148">
        <v>2</v>
      </c>
      <c r="B148" t="s">
        <v>56</v>
      </c>
      <c r="C148" t="s">
        <v>53</v>
      </c>
      <c r="D148" s="1" t="s">
        <v>446</v>
      </c>
      <c r="E148">
        <v>24.42</v>
      </c>
      <c r="F148">
        <v>30.25</v>
      </c>
      <c r="G148">
        <v>17.59</v>
      </c>
      <c r="H148">
        <v>6.33</v>
      </c>
      <c r="I148">
        <v>23.92</v>
      </c>
      <c r="J148" t="s">
        <v>357</v>
      </c>
      <c r="K148" t="str">
        <f t="shared" si="9"/>
        <v>jordan2</v>
      </c>
      <c r="L148">
        <f t="shared" si="10"/>
        <v>40.068899999999999</v>
      </c>
    </row>
    <row r="149" spans="1:12" x14ac:dyDescent="0.25">
      <c r="A149">
        <v>2</v>
      </c>
      <c r="B149" t="s">
        <v>280</v>
      </c>
      <c r="C149" t="s">
        <v>53</v>
      </c>
      <c r="D149" s="1" t="s">
        <v>515</v>
      </c>
      <c r="E149">
        <v>19.73</v>
      </c>
      <c r="F149">
        <v>26.22</v>
      </c>
      <c r="G149">
        <v>11.08</v>
      </c>
      <c r="H149">
        <v>7.57</v>
      </c>
      <c r="I149">
        <v>18.649999999999999</v>
      </c>
      <c r="J149" t="s">
        <v>358</v>
      </c>
      <c r="K149" t="str">
        <f t="shared" si="9"/>
        <v>alex2</v>
      </c>
      <c r="L149">
        <f t="shared" si="10"/>
        <v>57.304900000000004</v>
      </c>
    </row>
    <row r="150" spans="1:12" x14ac:dyDescent="0.25">
      <c r="A150">
        <v>2</v>
      </c>
      <c r="B150" t="s">
        <v>52</v>
      </c>
      <c r="C150" t="s">
        <v>53</v>
      </c>
      <c r="D150" s="1" t="s">
        <v>275</v>
      </c>
      <c r="E150">
        <v>19.46</v>
      </c>
      <c r="F150">
        <v>25.97</v>
      </c>
      <c r="G150">
        <v>10.99</v>
      </c>
      <c r="H150">
        <v>7.49</v>
      </c>
      <c r="I150">
        <v>18.48</v>
      </c>
      <c r="J150" t="s">
        <v>359</v>
      </c>
      <c r="K150" t="str">
        <f t="shared" si="9"/>
        <v>colin2</v>
      </c>
      <c r="L150">
        <f t="shared" si="10"/>
        <v>56.100100000000005</v>
      </c>
    </row>
    <row r="151" spans="1:12" x14ac:dyDescent="0.25">
      <c r="A151">
        <v>2</v>
      </c>
      <c r="B151" t="s">
        <v>194</v>
      </c>
      <c r="C151" t="s">
        <v>53</v>
      </c>
      <c r="D151" s="1" t="s">
        <v>516</v>
      </c>
      <c r="E151">
        <v>20.58</v>
      </c>
      <c r="F151">
        <v>28.31</v>
      </c>
      <c r="G151">
        <v>10.73</v>
      </c>
      <c r="H151">
        <v>8.7899999999999991</v>
      </c>
      <c r="I151">
        <v>19.52</v>
      </c>
      <c r="J151" t="s">
        <v>360</v>
      </c>
      <c r="K151" t="str">
        <f t="shared" si="9"/>
        <v>paul2</v>
      </c>
      <c r="L151">
        <f t="shared" si="10"/>
        <v>77.264099999999985</v>
      </c>
    </row>
    <row r="152" spans="1:12" x14ac:dyDescent="0.25">
      <c r="A152">
        <v>2</v>
      </c>
      <c r="B152" t="s">
        <v>497</v>
      </c>
      <c r="C152" t="s">
        <v>57</v>
      </c>
      <c r="D152" s="1" t="s">
        <v>517</v>
      </c>
      <c r="E152">
        <v>7.17</v>
      </c>
      <c r="F152">
        <v>10.65</v>
      </c>
      <c r="G152">
        <v>0.27</v>
      </c>
      <c r="H152">
        <v>5.19</v>
      </c>
      <c r="I152">
        <v>5.46</v>
      </c>
      <c r="J152" t="s">
        <v>351</v>
      </c>
      <c r="K152" t="str">
        <f t="shared" si="9"/>
        <v>andrew2</v>
      </c>
      <c r="L152">
        <f t="shared" si="10"/>
        <v>26.936100000000003</v>
      </c>
    </row>
    <row r="153" spans="1:12" x14ac:dyDescent="0.25">
      <c r="A153">
        <v>2</v>
      </c>
      <c r="B153" t="s">
        <v>518</v>
      </c>
      <c r="C153" t="s">
        <v>57</v>
      </c>
      <c r="D153" s="1" t="s">
        <v>519</v>
      </c>
      <c r="E153">
        <v>9.42</v>
      </c>
      <c r="F153">
        <v>13.52</v>
      </c>
      <c r="G153">
        <v>0.94</v>
      </c>
      <c r="H153">
        <v>6.29</v>
      </c>
      <c r="I153">
        <v>7.23</v>
      </c>
      <c r="J153" t="s">
        <v>352</v>
      </c>
      <c r="K153" t="str">
        <f t="shared" si="9"/>
        <v>jake2</v>
      </c>
      <c r="L153">
        <f t="shared" si="10"/>
        <v>39.564100000000003</v>
      </c>
    </row>
    <row r="154" spans="1:12" x14ac:dyDescent="0.25">
      <c r="A154">
        <v>2</v>
      </c>
      <c r="B154" t="s">
        <v>368</v>
      </c>
      <c r="C154" t="s">
        <v>57</v>
      </c>
      <c r="D154" s="1" t="s">
        <v>382</v>
      </c>
      <c r="E154">
        <v>6.18</v>
      </c>
      <c r="F154">
        <v>8.89</v>
      </c>
      <c r="G154">
        <v>0.53</v>
      </c>
      <c r="H154">
        <v>4.18</v>
      </c>
      <c r="I154">
        <v>4.71</v>
      </c>
      <c r="J154" t="s">
        <v>353</v>
      </c>
      <c r="K154" t="str">
        <f t="shared" si="9"/>
        <v>breanna2</v>
      </c>
      <c r="L154">
        <f t="shared" si="10"/>
        <v>17.472399999999997</v>
      </c>
    </row>
    <row r="155" spans="1:12" x14ac:dyDescent="0.25">
      <c r="A155">
        <v>2</v>
      </c>
      <c r="B155" t="s">
        <v>61</v>
      </c>
      <c r="C155" t="s">
        <v>57</v>
      </c>
      <c r="D155" s="1" t="s">
        <v>520</v>
      </c>
      <c r="E155">
        <v>11.22</v>
      </c>
      <c r="F155">
        <v>14.38</v>
      </c>
      <c r="G155">
        <v>2.48</v>
      </c>
      <c r="H155">
        <v>5.95</v>
      </c>
      <c r="I155">
        <v>8.43</v>
      </c>
      <c r="J155" t="s">
        <v>354</v>
      </c>
      <c r="K155" t="str">
        <f t="shared" si="9"/>
        <v>joseph2</v>
      </c>
      <c r="L155">
        <f t="shared" si="10"/>
        <v>35.402500000000003</v>
      </c>
    </row>
    <row r="156" spans="1:12" x14ac:dyDescent="0.25">
      <c r="A156">
        <v>2</v>
      </c>
      <c r="B156" t="s">
        <v>521</v>
      </c>
      <c r="C156" t="s">
        <v>57</v>
      </c>
      <c r="D156" s="1" t="s">
        <v>522</v>
      </c>
      <c r="E156">
        <v>3.62</v>
      </c>
      <c r="F156">
        <v>6.02</v>
      </c>
      <c r="G156">
        <v>-0.2</v>
      </c>
      <c r="H156">
        <v>3.11</v>
      </c>
      <c r="I156">
        <v>2.91</v>
      </c>
      <c r="J156" t="s">
        <v>355</v>
      </c>
      <c r="K156" t="str">
        <f t="shared" si="9"/>
        <v>alyssa2</v>
      </c>
      <c r="L156">
        <f t="shared" si="10"/>
        <v>9.6720999999999986</v>
      </c>
    </row>
    <row r="157" spans="1:12" x14ac:dyDescent="0.25">
      <c r="A157">
        <v>2</v>
      </c>
      <c r="B157" t="s">
        <v>283</v>
      </c>
      <c r="C157" t="s">
        <v>57</v>
      </c>
      <c r="D157" s="1" t="s">
        <v>383</v>
      </c>
      <c r="E157">
        <v>8.4</v>
      </c>
      <c r="F157">
        <v>11.95</v>
      </c>
      <c r="G157">
        <v>1.03</v>
      </c>
      <c r="H157">
        <v>5.46</v>
      </c>
      <c r="I157">
        <v>6.49</v>
      </c>
      <c r="J157" t="s">
        <v>356</v>
      </c>
      <c r="K157" t="str">
        <f t="shared" si="9"/>
        <v>chris2</v>
      </c>
      <c r="L157">
        <f t="shared" si="10"/>
        <v>29.811599999999999</v>
      </c>
    </row>
    <row r="158" spans="1:12" x14ac:dyDescent="0.25">
      <c r="A158">
        <v>2</v>
      </c>
      <c r="B158" t="s">
        <v>62</v>
      </c>
      <c r="C158" t="s">
        <v>57</v>
      </c>
      <c r="D158" s="1" t="s">
        <v>276</v>
      </c>
      <c r="E158">
        <v>11.15</v>
      </c>
      <c r="F158">
        <v>14.94</v>
      </c>
      <c r="G158">
        <v>3</v>
      </c>
      <c r="H158">
        <v>5.97</v>
      </c>
      <c r="I158">
        <v>8.9700000000000006</v>
      </c>
      <c r="J158" t="s">
        <v>357</v>
      </c>
      <c r="K158" t="str">
        <f t="shared" si="9"/>
        <v>jordan2</v>
      </c>
      <c r="L158">
        <f t="shared" si="10"/>
        <v>35.640899999999995</v>
      </c>
    </row>
    <row r="159" spans="1:12" x14ac:dyDescent="0.25">
      <c r="A159">
        <v>2</v>
      </c>
      <c r="B159" t="s">
        <v>150</v>
      </c>
      <c r="C159" t="s">
        <v>57</v>
      </c>
      <c r="D159" s="1" t="s">
        <v>384</v>
      </c>
      <c r="E159">
        <v>8.9</v>
      </c>
      <c r="F159">
        <v>11.87</v>
      </c>
      <c r="G159">
        <v>1.25</v>
      </c>
      <c r="H159">
        <v>5.31</v>
      </c>
      <c r="I159">
        <v>6.56</v>
      </c>
      <c r="J159" t="s">
        <v>358</v>
      </c>
      <c r="K159" t="str">
        <f t="shared" si="9"/>
        <v>alex2</v>
      </c>
      <c r="L159">
        <f t="shared" si="10"/>
        <v>28.196099999999994</v>
      </c>
    </row>
    <row r="160" spans="1:12" x14ac:dyDescent="0.25">
      <c r="A160">
        <v>2</v>
      </c>
      <c r="B160" t="s">
        <v>73</v>
      </c>
      <c r="C160" t="s">
        <v>57</v>
      </c>
      <c r="D160" s="1" t="s">
        <v>306</v>
      </c>
      <c r="E160">
        <v>11.66</v>
      </c>
      <c r="F160">
        <v>14.06</v>
      </c>
      <c r="G160">
        <v>3.72</v>
      </c>
      <c r="H160">
        <v>5.17</v>
      </c>
      <c r="I160">
        <v>8.89</v>
      </c>
      <c r="J160" t="s">
        <v>359</v>
      </c>
      <c r="K160" t="str">
        <f t="shared" si="9"/>
        <v>colin2</v>
      </c>
      <c r="L160">
        <f t="shared" si="10"/>
        <v>26.728899999999999</v>
      </c>
    </row>
    <row r="161" spans="1:12" x14ac:dyDescent="0.25">
      <c r="A161">
        <v>2</v>
      </c>
      <c r="B161" t="s">
        <v>59</v>
      </c>
      <c r="C161" t="s">
        <v>57</v>
      </c>
      <c r="D161" s="1" t="s">
        <v>307</v>
      </c>
      <c r="E161">
        <v>9.33</v>
      </c>
      <c r="F161">
        <v>13.07</v>
      </c>
      <c r="G161">
        <v>1.1299999999999999</v>
      </c>
      <c r="H161">
        <v>5.97</v>
      </c>
      <c r="I161">
        <v>7.1</v>
      </c>
      <c r="J161" t="s">
        <v>360</v>
      </c>
      <c r="K161" t="str">
        <f t="shared" si="9"/>
        <v>paul2</v>
      </c>
      <c r="L161">
        <f t="shared" si="10"/>
        <v>35.640899999999995</v>
      </c>
    </row>
    <row r="162" spans="1:12" x14ac:dyDescent="0.25">
      <c r="A162">
        <v>2</v>
      </c>
      <c r="B162" t="s">
        <v>196</v>
      </c>
      <c r="C162" t="s">
        <v>63</v>
      </c>
      <c r="D162" s="1" t="s">
        <v>279</v>
      </c>
      <c r="E162">
        <v>9.5418000000000003</v>
      </c>
      <c r="F162">
        <v>16.13</v>
      </c>
      <c r="G162">
        <v>2.99</v>
      </c>
      <c r="H162">
        <v>6.57</v>
      </c>
      <c r="I162">
        <v>9.5418000000000003</v>
      </c>
      <c r="J162" t="s">
        <v>351</v>
      </c>
      <c r="K162" t="str">
        <f t="shared" si="9"/>
        <v>andrew2</v>
      </c>
      <c r="L162">
        <f t="shared" si="10"/>
        <v>43.164900000000003</v>
      </c>
    </row>
    <row r="163" spans="1:12" x14ac:dyDescent="0.25">
      <c r="A163">
        <v>2</v>
      </c>
      <c r="B163" t="s">
        <v>318</v>
      </c>
      <c r="C163" t="s">
        <v>63</v>
      </c>
      <c r="D163" s="1" t="s">
        <v>327</v>
      </c>
      <c r="E163">
        <v>9.1758000000000006</v>
      </c>
      <c r="F163">
        <v>15.64</v>
      </c>
      <c r="G163">
        <v>2.72</v>
      </c>
      <c r="H163">
        <v>6.46</v>
      </c>
      <c r="I163">
        <v>9.1758000000000006</v>
      </c>
      <c r="J163" t="s">
        <v>352</v>
      </c>
      <c r="K163" t="str">
        <f t="shared" si="9"/>
        <v>jake2</v>
      </c>
      <c r="L163">
        <f t="shared" si="10"/>
        <v>41.7316</v>
      </c>
    </row>
    <row r="164" spans="1:12" x14ac:dyDescent="0.25">
      <c r="A164">
        <v>2</v>
      </c>
      <c r="B164" t="s">
        <v>335</v>
      </c>
      <c r="C164" t="s">
        <v>63</v>
      </c>
      <c r="D164" s="1" t="s">
        <v>447</v>
      </c>
      <c r="E164">
        <v>9.4916999999999998</v>
      </c>
      <c r="F164">
        <v>15.35</v>
      </c>
      <c r="G164">
        <v>3.61</v>
      </c>
      <c r="H164">
        <v>5.87</v>
      </c>
      <c r="I164">
        <v>9.4916999999999998</v>
      </c>
      <c r="J164" t="s">
        <v>353</v>
      </c>
      <c r="K164" t="str">
        <f t="shared" si="9"/>
        <v>breanna2</v>
      </c>
      <c r="L164">
        <f t="shared" si="10"/>
        <v>34.456900000000005</v>
      </c>
    </row>
    <row r="165" spans="1:12" x14ac:dyDescent="0.25">
      <c r="A165">
        <v>2</v>
      </c>
      <c r="B165" t="s">
        <v>372</v>
      </c>
      <c r="C165" t="s">
        <v>63</v>
      </c>
      <c r="D165" s="1" t="s">
        <v>385</v>
      </c>
      <c r="E165">
        <v>5.5818000000000003</v>
      </c>
      <c r="F165">
        <v>10.59</v>
      </c>
      <c r="G165">
        <v>0.56999999999999995</v>
      </c>
      <c r="H165">
        <v>5.01</v>
      </c>
      <c r="I165">
        <v>5.5818000000000003</v>
      </c>
      <c r="J165" t="s">
        <v>354</v>
      </c>
      <c r="K165" t="str">
        <f t="shared" si="9"/>
        <v>joseph2</v>
      </c>
      <c r="L165">
        <f t="shared" si="10"/>
        <v>25.100099999999998</v>
      </c>
    </row>
    <row r="166" spans="1:12" x14ac:dyDescent="0.25">
      <c r="A166">
        <v>2</v>
      </c>
      <c r="B166" t="s">
        <v>374</v>
      </c>
      <c r="C166" t="s">
        <v>63</v>
      </c>
      <c r="D166" s="1" t="s">
        <v>448</v>
      </c>
      <c r="E166">
        <v>9.7596000000000007</v>
      </c>
      <c r="F166">
        <v>16.23</v>
      </c>
      <c r="G166">
        <v>2.99</v>
      </c>
      <c r="H166">
        <v>6.62</v>
      </c>
      <c r="I166">
        <v>9.7596000000000007</v>
      </c>
      <c r="J166" t="s">
        <v>355</v>
      </c>
      <c r="K166" t="str">
        <f t="shared" si="9"/>
        <v>alyssa2</v>
      </c>
      <c r="L166">
        <f t="shared" si="10"/>
        <v>43.824400000000004</v>
      </c>
    </row>
    <row r="167" spans="1:12" x14ac:dyDescent="0.25">
      <c r="A167">
        <v>2</v>
      </c>
      <c r="B167" t="s">
        <v>177</v>
      </c>
      <c r="C167" t="s">
        <v>63</v>
      </c>
      <c r="D167" s="1" t="s">
        <v>449</v>
      </c>
      <c r="E167">
        <v>9.5642999999999994</v>
      </c>
      <c r="F167">
        <v>17.850000000000001</v>
      </c>
      <c r="G167">
        <v>1.37</v>
      </c>
      <c r="H167">
        <v>8.24</v>
      </c>
      <c r="I167">
        <v>9.5642999999999994</v>
      </c>
      <c r="J167" t="s">
        <v>356</v>
      </c>
      <c r="K167" t="str">
        <f t="shared" si="9"/>
        <v>chris2</v>
      </c>
      <c r="L167">
        <f t="shared" si="10"/>
        <v>67.897599999999997</v>
      </c>
    </row>
    <row r="168" spans="1:12" x14ac:dyDescent="0.25">
      <c r="A168">
        <v>2</v>
      </c>
      <c r="B168" t="s">
        <v>166</v>
      </c>
      <c r="C168" t="s">
        <v>63</v>
      </c>
      <c r="D168" s="1" t="s">
        <v>277</v>
      </c>
      <c r="E168">
        <v>13.3819</v>
      </c>
      <c r="F168">
        <v>19.84</v>
      </c>
      <c r="G168">
        <v>6.96</v>
      </c>
      <c r="H168">
        <v>6.44</v>
      </c>
      <c r="I168">
        <v>13.3819</v>
      </c>
      <c r="J168" t="s">
        <v>357</v>
      </c>
      <c r="K168" t="str">
        <f t="shared" si="9"/>
        <v>jordan2</v>
      </c>
      <c r="L168">
        <f t="shared" si="10"/>
        <v>41.473600000000005</v>
      </c>
    </row>
    <row r="169" spans="1:12" x14ac:dyDescent="0.25">
      <c r="A169">
        <v>2</v>
      </c>
      <c r="B169" t="s">
        <v>499</v>
      </c>
      <c r="C169" t="s">
        <v>63</v>
      </c>
      <c r="D169" s="1" t="s">
        <v>523</v>
      </c>
      <c r="E169">
        <v>8.9991000000000003</v>
      </c>
      <c r="F169">
        <v>16.079999999999998</v>
      </c>
      <c r="G169">
        <v>1.92</v>
      </c>
      <c r="H169">
        <v>7.08</v>
      </c>
      <c r="I169">
        <v>8.9991000000000003</v>
      </c>
      <c r="J169" t="s">
        <v>358</v>
      </c>
      <c r="K169" t="str">
        <f t="shared" si="9"/>
        <v>alex2</v>
      </c>
      <c r="L169">
        <f t="shared" si="10"/>
        <v>50.126400000000004</v>
      </c>
    </row>
    <row r="170" spans="1:12" x14ac:dyDescent="0.25">
      <c r="A170">
        <v>2</v>
      </c>
      <c r="B170" t="s">
        <v>257</v>
      </c>
      <c r="C170" t="s">
        <v>63</v>
      </c>
      <c r="D170" s="1" t="s">
        <v>450</v>
      </c>
      <c r="E170">
        <v>9.3376999999999999</v>
      </c>
      <c r="F170">
        <v>15.96</v>
      </c>
      <c r="G170">
        <v>2.66</v>
      </c>
      <c r="H170">
        <v>6.65</v>
      </c>
      <c r="I170">
        <v>9.3376999999999999</v>
      </c>
      <c r="J170" t="s">
        <v>359</v>
      </c>
      <c r="K170" t="str">
        <f t="shared" si="9"/>
        <v>colin2</v>
      </c>
      <c r="L170">
        <f t="shared" si="10"/>
        <v>44.222500000000004</v>
      </c>
    </row>
    <row r="171" spans="1:12" x14ac:dyDescent="0.25">
      <c r="A171">
        <v>2</v>
      </c>
      <c r="B171" t="s">
        <v>255</v>
      </c>
      <c r="C171" t="s">
        <v>63</v>
      </c>
      <c r="D171" s="1" t="s">
        <v>278</v>
      </c>
      <c r="E171">
        <v>8.6745999999999999</v>
      </c>
      <c r="F171">
        <v>14.68</v>
      </c>
      <c r="G171">
        <v>2.66</v>
      </c>
      <c r="H171">
        <v>6.01</v>
      </c>
      <c r="I171">
        <v>8.6745999999999999</v>
      </c>
      <c r="J171" t="s">
        <v>360</v>
      </c>
      <c r="K171" t="str">
        <f t="shared" si="9"/>
        <v>paul2</v>
      </c>
      <c r="L171">
        <f t="shared" si="10"/>
        <v>36.120100000000001</v>
      </c>
    </row>
    <row r="172" spans="1:12" x14ac:dyDescent="0.25">
      <c r="A172">
        <v>2</v>
      </c>
      <c r="B172" t="s">
        <v>159</v>
      </c>
      <c r="C172" t="s">
        <v>64</v>
      </c>
      <c r="D172" s="1" t="s">
        <v>524</v>
      </c>
      <c r="E172">
        <v>7.98</v>
      </c>
      <c r="F172">
        <v>11.82</v>
      </c>
      <c r="G172">
        <v>4.2</v>
      </c>
      <c r="H172">
        <v>3.81</v>
      </c>
      <c r="I172">
        <v>8.01</v>
      </c>
      <c r="J172" t="s">
        <v>351</v>
      </c>
      <c r="K172" t="str">
        <f t="shared" si="9"/>
        <v>andrew2</v>
      </c>
      <c r="L172">
        <f t="shared" si="10"/>
        <v>14.5161</v>
      </c>
    </row>
    <row r="173" spans="1:12" x14ac:dyDescent="0.25">
      <c r="A173">
        <v>2</v>
      </c>
      <c r="B173" t="s">
        <v>155</v>
      </c>
      <c r="C173" t="s">
        <v>64</v>
      </c>
      <c r="D173" s="1" t="s">
        <v>525</v>
      </c>
      <c r="E173">
        <v>10</v>
      </c>
      <c r="F173">
        <v>14.42</v>
      </c>
      <c r="G173">
        <v>5.68</v>
      </c>
      <c r="H173">
        <v>4.37</v>
      </c>
      <c r="I173">
        <v>10.050000000000001</v>
      </c>
      <c r="J173" t="s">
        <v>352</v>
      </c>
      <c r="K173" t="str">
        <f t="shared" si="9"/>
        <v>jake2</v>
      </c>
      <c r="L173">
        <f t="shared" si="10"/>
        <v>19.096900000000002</v>
      </c>
    </row>
    <row r="174" spans="1:12" x14ac:dyDescent="0.25">
      <c r="A174">
        <v>2</v>
      </c>
      <c r="B174" t="s">
        <v>149</v>
      </c>
      <c r="C174" t="s">
        <v>64</v>
      </c>
      <c r="D174" s="1" t="s">
        <v>526</v>
      </c>
      <c r="E174">
        <v>10.63</v>
      </c>
      <c r="F174">
        <v>16.37</v>
      </c>
      <c r="G174">
        <v>4.93</v>
      </c>
      <c r="H174">
        <v>5.72</v>
      </c>
      <c r="I174">
        <v>10.65</v>
      </c>
      <c r="J174" t="s">
        <v>353</v>
      </c>
      <c r="K174" t="str">
        <f t="shared" si="9"/>
        <v>breanna2</v>
      </c>
      <c r="L174">
        <f t="shared" si="10"/>
        <v>32.718399999999995</v>
      </c>
    </row>
    <row r="175" spans="1:12" x14ac:dyDescent="0.25">
      <c r="A175">
        <v>2</v>
      </c>
      <c r="B175" t="s">
        <v>376</v>
      </c>
      <c r="C175" t="s">
        <v>64</v>
      </c>
      <c r="D175" s="1" t="s">
        <v>527</v>
      </c>
      <c r="E175">
        <v>8.81</v>
      </c>
      <c r="F175">
        <v>13.19</v>
      </c>
      <c r="G175">
        <v>4.53</v>
      </c>
      <c r="H175">
        <v>4.33</v>
      </c>
      <c r="I175">
        <v>8.86</v>
      </c>
      <c r="J175" t="s">
        <v>354</v>
      </c>
      <c r="K175" t="str">
        <f t="shared" si="9"/>
        <v>joseph2</v>
      </c>
      <c r="L175">
        <f t="shared" si="10"/>
        <v>18.748899999999999</v>
      </c>
    </row>
    <row r="176" spans="1:12" x14ac:dyDescent="0.25">
      <c r="A176">
        <v>2</v>
      </c>
      <c r="B176" t="s">
        <v>65</v>
      </c>
      <c r="C176" t="s">
        <v>64</v>
      </c>
      <c r="D176" s="1" t="s">
        <v>528</v>
      </c>
      <c r="E176">
        <v>9.2200000000000006</v>
      </c>
      <c r="F176">
        <v>13.31</v>
      </c>
      <c r="G176">
        <v>5.13</v>
      </c>
      <c r="H176">
        <v>4.09</v>
      </c>
      <c r="I176">
        <v>9.2200000000000006</v>
      </c>
      <c r="J176" t="s">
        <v>355</v>
      </c>
      <c r="K176" t="str">
        <f t="shared" si="9"/>
        <v>alyssa2</v>
      </c>
      <c r="L176">
        <f t="shared" si="10"/>
        <v>16.728099999999998</v>
      </c>
    </row>
    <row r="177" spans="1:12" x14ac:dyDescent="0.25">
      <c r="A177">
        <v>2</v>
      </c>
      <c r="B177" t="s">
        <v>67</v>
      </c>
      <c r="C177" t="s">
        <v>64</v>
      </c>
      <c r="D177" s="1" t="s">
        <v>529</v>
      </c>
      <c r="E177">
        <v>9.35</v>
      </c>
      <c r="F177">
        <v>14.67</v>
      </c>
      <c r="G177">
        <v>4.01</v>
      </c>
      <c r="H177">
        <v>5.33</v>
      </c>
      <c r="I177">
        <v>9.34</v>
      </c>
      <c r="J177" t="s">
        <v>356</v>
      </c>
      <c r="K177" t="str">
        <f t="shared" si="9"/>
        <v>chris2</v>
      </c>
      <c r="L177">
        <f t="shared" si="10"/>
        <v>28.408899999999999</v>
      </c>
    </row>
    <row r="178" spans="1:12" x14ac:dyDescent="0.25">
      <c r="A178">
        <v>2</v>
      </c>
      <c r="B178" t="s">
        <v>66</v>
      </c>
      <c r="C178" t="s">
        <v>64</v>
      </c>
      <c r="D178" s="1" t="s">
        <v>530</v>
      </c>
      <c r="E178">
        <v>8.7899999999999991</v>
      </c>
      <c r="F178">
        <v>13.14</v>
      </c>
      <c r="G178">
        <v>4.4000000000000004</v>
      </c>
      <c r="H178">
        <v>4.37</v>
      </c>
      <c r="I178">
        <v>8.77</v>
      </c>
      <c r="J178" t="s">
        <v>357</v>
      </c>
      <c r="K178" t="str">
        <f t="shared" si="9"/>
        <v>jordan2</v>
      </c>
      <c r="L178">
        <f t="shared" si="10"/>
        <v>19.096900000000002</v>
      </c>
    </row>
    <row r="179" spans="1:12" x14ac:dyDescent="0.25">
      <c r="A179">
        <v>2</v>
      </c>
      <c r="B179" t="s">
        <v>378</v>
      </c>
      <c r="C179" t="s">
        <v>64</v>
      </c>
      <c r="D179" s="1" t="s">
        <v>531</v>
      </c>
      <c r="E179">
        <v>7.83</v>
      </c>
      <c r="F179">
        <v>11.17</v>
      </c>
      <c r="G179">
        <v>4.49</v>
      </c>
      <c r="H179">
        <v>3.34</v>
      </c>
      <c r="I179">
        <v>7.83</v>
      </c>
      <c r="J179" t="s">
        <v>358</v>
      </c>
      <c r="K179" t="str">
        <f t="shared" si="9"/>
        <v>alex2</v>
      </c>
      <c r="L179">
        <f t="shared" si="10"/>
        <v>11.1556</v>
      </c>
    </row>
    <row r="180" spans="1:12" x14ac:dyDescent="0.25">
      <c r="A180">
        <v>2</v>
      </c>
      <c r="B180" t="s">
        <v>261</v>
      </c>
      <c r="C180" t="s">
        <v>64</v>
      </c>
      <c r="D180" s="1" t="s">
        <v>532</v>
      </c>
      <c r="E180">
        <v>9.7200000000000006</v>
      </c>
      <c r="F180">
        <v>15.43</v>
      </c>
      <c r="G180">
        <v>3.99</v>
      </c>
      <c r="H180">
        <v>5.72</v>
      </c>
      <c r="I180">
        <v>9.7100000000000009</v>
      </c>
      <c r="J180" t="s">
        <v>359</v>
      </c>
      <c r="K180" t="str">
        <f t="shared" si="9"/>
        <v>colin2</v>
      </c>
      <c r="L180">
        <f t="shared" si="10"/>
        <v>32.718399999999995</v>
      </c>
    </row>
    <row r="181" spans="1:12" x14ac:dyDescent="0.25">
      <c r="A181">
        <v>2</v>
      </c>
      <c r="B181" t="s">
        <v>167</v>
      </c>
      <c r="C181" t="s">
        <v>64</v>
      </c>
      <c r="D181" s="1" t="s">
        <v>533</v>
      </c>
      <c r="E181">
        <v>9.3000000000000007</v>
      </c>
      <c r="F181">
        <v>13.44</v>
      </c>
      <c r="G181">
        <v>5.2</v>
      </c>
      <c r="H181">
        <v>4.12</v>
      </c>
      <c r="I181">
        <v>9.32</v>
      </c>
      <c r="J181" t="s">
        <v>360</v>
      </c>
      <c r="K181" t="str">
        <f t="shared" si="9"/>
        <v>paul2</v>
      </c>
      <c r="L181">
        <f t="shared" si="10"/>
        <v>16.974399999999999</v>
      </c>
    </row>
    <row r="182" spans="1:12" x14ac:dyDescent="0.25">
      <c r="A182">
        <v>3</v>
      </c>
      <c r="B182" t="s">
        <v>30</v>
      </c>
      <c r="C182" t="s">
        <v>10</v>
      </c>
      <c r="D182" s="1" t="s">
        <v>534</v>
      </c>
      <c r="E182">
        <v>12.67</v>
      </c>
      <c r="F182">
        <v>16.850000000000001</v>
      </c>
      <c r="G182">
        <v>5.63</v>
      </c>
      <c r="H182">
        <v>5.61</v>
      </c>
      <c r="I182">
        <v>11.24</v>
      </c>
      <c r="J182" t="s">
        <v>351</v>
      </c>
      <c r="K182" t="str">
        <f t="shared" si="9"/>
        <v>andrew3</v>
      </c>
      <c r="L182">
        <f t="shared" si="10"/>
        <v>31.472100000000005</v>
      </c>
    </row>
    <row r="183" spans="1:12" x14ac:dyDescent="0.25">
      <c r="A183">
        <v>3</v>
      </c>
      <c r="B183" t="s">
        <v>391</v>
      </c>
      <c r="C183" t="s">
        <v>10</v>
      </c>
      <c r="D183" s="1" t="s">
        <v>535</v>
      </c>
      <c r="E183">
        <v>10.64</v>
      </c>
      <c r="F183">
        <v>16.22</v>
      </c>
      <c r="G183">
        <v>2.48</v>
      </c>
      <c r="H183">
        <v>6.87</v>
      </c>
      <c r="I183">
        <v>9.35</v>
      </c>
      <c r="J183" t="s">
        <v>351</v>
      </c>
      <c r="K183" t="str">
        <f t="shared" si="9"/>
        <v>andrew3</v>
      </c>
      <c r="L183">
        <f t="shared" si="10"/>
        <v>47.196899999999999</v>
      </c>
    </row>
    <row r="184" spans="1:12" x14ac:dyDescent="0.25">
      <c r="A184">
        <v>3</v>
      </c>
      <c r="B184" t="s">
        <v>181</v>
      </c>
      <c r="C184" t="s">
        <v>10</v>
      </c>
      <c r="D184" s="1" t="s">
        <v>536</v>
      </c>
      <c r="E184">
        <v>13.61</v>
      </c>
      <c r="F184">
        <v>17.18</v>
      </c>
      <c r="G184">
        <v>5.52</v>
      </c>
      <c r="H184">
        <v>5.83</v>
      </c>
      <c r="I184">
        <v>11.35</v>
      </c>
      <c r="J184" t="s">
        <v>352</v>
      </c>
      <c r="K184" t="str">
        <f t="shared" si="9"/>
        <v>jake3</v>
      </c>
      <c r="L184">
        <f t="shared" si="10"/>
        <v>33.988900000000001</v>
      </c>
    </row>
    <row r="185" spans="1:12" x14ac:dyDescent="0.25">
      <c r="A185">
        <v>3</v>
      </c>
      <c r="B185" t="s">
        <v>502</v>
      </c>
      <c r="C185" t="s">
        <v>10</v>
      </c>
      <c r="D185" s="1" t="s">
        <v>537</v>
      </c>
      <c r="E185">
        <v>10.29</v>
      </c>
      <c r="F185">
        <v>15.54</v>
      </c>
      <c r="G185">
        <v>2.02</v>
      </c>
      <c r="H185">
        <v>6.76</v>
      </c>
      <c r="I185">
        <v>8.7799999999999994</v>
      </c>
      <c r="J185" t="s">
        <v>352</v>
      </c>
      <c r="K185" t="str">
        <f t="shared" si="9"/>
        <v>jake3</v>
      </c>
      <c r="L185">
        <f t="shared" si="10"/>
        <v>45.697599999999994</v>
      </c>
    </row>
    <row r="186" spans="1:12" x14ac:dyDescent="0.25">
      <c r="A186">
        <v>3</v>
      </c>
      <c r="B186" t="s">
        <v>27</v>
      </c>
      <c r="C186" t="s">
        <v>10</v>
      </c>
      <c r="D186" s="1" t="s">
        <v>538</v>
      </c>
      <c r="E186">
        <v>17.670000000000002</v>
      </c>
      <c r="F186">
        <v>23.33</v>
      </c>
      <c r="G186">
        <v>7.61</v>
      </c>
      <c r="H186">
        <v>7.86</v>
      </c>
      <c r="I186">
        <v>15.47</v>
      </c>
      <c r="J186" t="s">
        <v>353</v>
      </c>
      <c r="K186" t="str">
        <f t="shared" si="9"/>
        <v>breanna3</v>
      </c>
      <c r="L186">
        <f t="shared" si="10"/>
        <v>61.779600000000002</v>
      </c>
    </row>
    <row r="187" spans="1:12" x14ac:dyDescent="0.25">
      <c r="A187">
        <v>3</v>
      </c>
      <c r="B187" t="s">
        <v>219</v>
      </c>
      <c r="C187" t="s">
        <v>10</v>
      </c>
      <c r="D187" s="1" t="s">
        <v>539</v>
      </c>
      <c r="E187">
        <v>15.35</v>
      </c>
      <c r="F187">
        <v>22</v>
      </c>
      <c r="G187">
        <v>6.34</v>
      </c>
      <c r="H187">
        <v>7.83</v>
      </c>
      <c r="I187">
        <v>14.17</v>
      </c>
      <c r="J187" t="s">
        <v>353</v>
      </c>
      <c r="K187" t="str">
        <f t="shared" si="9"/>
        <v>breanna3</v>
      </c>
      <c r="L187">
        <f t="shared" si="10"/>
        <v>61.308900000000001</v>
      </c>
    </row>
    <row r="188" spans="1:12" x14ac:dyDescent="0.25">
      <c r="A188">
        <v>3</v>
      </c>
      <c r="B188" t="s">
        <v>22</v>
      </c>
      <c r="C188" t="s">
        <v>10</v>
      </c>
      <c r="D188" s="1" t="s">
        <v>540</v>
      </c>
      <c r="E188">
        <v>8.57</v>
      </c>
      <c r="F188">
        <v>14.23</v>
      </c>
      <c r="G188">
        <v>0.73</v>
      </c>
      <c r="H188">
        <v>6.75</v>
      </c>
      <c r="I188">
        <v>7.48</v>
      </c>
      <c r="J188" t="s">
        <v>353</v>
      </c>
      <c r="K188" t="str">
        <f t="shared" si="9"/>
        <v>breanna3</v>
      </c>
      <c r="L188">
        <f t="shared" si="10"/>
        <v>45.5625</v>
      </c>
    </row>
    <row r="189" spans="1:12" x14ac:dyDescent="0.25">
      <c r="A189">
        <v>3</v>
      </c>
      <c r="B189" t="s">
        <v>216</v>
      </c>
      <c r="C189" t="s">
        <v>10</v>
      </c>
      <c r="D189" s="1" t="s">
        <v>541</v>
      </c>
      <c r="E189">
        <v>16.21</v>
      </c>
      <c r="F189">
        <v>22.39</v>
      </c>
      <c r="G189">
        <v>5.45</v>
      </c>
      <c r="H189">
        <v>8.4700000000000006</v>
      </c>
      <c r="I189">
        <v>13.92</v>
      </c>
      <c r="J189" t="s">
        <v>354</v>
      </c>
      <c r="K189" t="str">
        <f t="shared" si="9"/>
        <v>joseph3</v>
      </c>
      <c r="L189">
        <f t="shared" si="10"/>
        <v>71.740900000000011</v>
      </c>
    </row>
    <row r="190" spans="1:12" x14ac:dyDescent="0.25">
      <c r="A190">
        <v>3</v>
      </c>
      <c r="B190" t="s">
        <v>16</v>
      </c>
      <c r="C190" t="s">
        <v>10</v>
      </c>
      <c r="D190" s="1" t="s">
        <v>542</v>
      </c>
      <c r="E190">
        <v>14.41</v>
      </c>
      <c r="F190">
        <v>18.3</v>
      </c>
      <c r="G190">
        <v>8.6999999999999993</v>
      </c>
      <c r="H190">
        <v>4.8</v>
      </c>
      <c r="I190">
        <v>13.5</v>
      </c>
      <c r="J190" t="s">
        <v>354</v>
      </c>
      <c r="K190" t="str">
        <f t="shared" si="9"/>
        <v>joseph3</v>
      </c>
      <c r="L190">
        <f t="shared" si="10"/>
        <v>23.04</v>
      </c>
    </row>
    <row r="191" spans="1:12" x14ac:dyDescent="0.25">
      <c r="A191">
        <v>3</v>
      </c>
      <c r="B191" t="s">
        <v>77</v>
      </c>
      <c r="C191" t="s">
        <v>10</v>
      </c>
      <c r="D191" s="1" t="s">
        <v>543</v>
      </c>
      <c r="E191">
        <v>14.67</v>
      </c>
      <c r="F191">
        <v>21.77</v>
      </c>
      <c r="G191">
        <v>4.6100000000000003</v>
      </c>
      <c r="H191">
        <v>8.58</v>
      </c>
      <c r="I191">
        <v>13.19</v>
      </c>
      <c r="J191" t="s">
        <v>354</v>
      </c>
      <c r="K191" t="str">
        <f t="shared" si="9"/>
        <v>joseph3</v>
      </c>
      <c r="L191">
        <f t="shared" si="10"/>
        <v>73.616399999999999</v>
      </c>
    </row>
    <row r="192" spans="1:12" x14ac:dyDescent="0.25">
      <c r="A192">
        <v>3</v>
      </c>
      <c r="B192" t="s">
        <v>75</v>
      </c>
      <c r="C192" t="s">
        <v>10</v>
      </c>
      <c r="D192" s="1" t="s">
        <v>544</v>
      </c>
      <c r="E192">
        <v>19.420000000000002</v>
      </c>
      <c r="F192">
        <v>28</v>
      </c>
      <c r="G192">
        <v>7.14</v>
      </c>
      <c r="H192">
        <v>10.43</v>
      </c>
      <c r="I192">
        <v>17.57</v>
      </c>
      <c r="J192" t="s">
        <v>355</v>
      </c>
      <c r="K192" t="str">
        <f t="shared" si="9"/>
        <v>alyssa3</v>
      </c>
      <c r="L192">
        <f t="shared" si="10"/>
        <v>108.78489999999999</v>
      </c>
    </row>
    <row r="193" spans="1:12" x14ac:dyDescent="0.25">
      <c r="A193">
        <v>3</v>
      </c>
      <c r="B193" t="s">
        <v>28</v>
      </c>
      <c r="C193" t="s">
        <v>10</v>
      </c>
      <c r="D193" s="1" t="s">
        <v>545</v>
      </c>
      <c r="E193">
        <v>15.93</v>
      </c>
      <c r="F193">
        <v>19.920000000000002</v>
      </c>
      <c r="G193">
        <v>6.3</v>
      </c>
      <c r="H193">
        <v>6.81</v>
      </c>
      <c r="I193">
        <v>13.11</v>
      </c>
      <c r="J193" t="s">
        <v>355</v>
      </c>
      <c r="K193" t="str">
        <f t="shared" si="9"/>
        <v>alyssa3</v>
      </c>
      <c r="L193">
        <f t="shared" si="10"/>
        <v>46.376099999999994</v>
      </c>
    </row>
    <row r="194" spans="1:12" x14ac:dyDescent="0.25">
      <c r="A194">
        <v>3</v>
      </c>
      <c r="B194" t="s">
        <v>160</v>
      </c>
      <c r="C194" t="s">
        <v>10</v>
      </c>
      <c r="D194" s="1" t="s">
        <v>546</v>
      </c>
      <c r="E194">
        <v>10.74</v>
      </c>
      <c r="F194">
        <v>13.16</v>
      </c>
      <c r="G194">
        <v>4.62</v>
      </c>
      <c r="H194">
        <v>4.2699999999999996</v>
      </c>
      <c r="I194">
        <v>8.89</v>
      </c>
      <c r="J194" t="s">
        <v>356</v>
      </c>
      <c r="K194" t="str">
        <f t="shared" si="9"/>
        <v>chris3</v>
      </c>
      <c r="L194">
        <f t="shared" si="10"/>
        <v>18.232899999999997</v>
      </c>
    </row>
    <row r="195" spans="1:12" x14ac:dyDescent="0.25">
      <c r="A195">
        <v>3</v>
      </c>
      <c r="B195" t="s">
        <v>547</v>
      </c>
      <c r="C195" t="s">
        <v>10</v>
      </c>
      <c r="D195" s="1" t="s">
        <v>548</v>
      </c>
      <c r="E195">
        <v>8.76</v>
      </c>
      <c r="F195">
        <v>15.26</v>
      </c>
      <c r="G195">
        <v>-0.57999999999999996</v>
      </c>
      <c r="H195">
        <v>7.92</v>
      </c>
      <c r="I195">
        <v>7.34</v>
      </c>
      <c r="J195" t="s">
        <v>356</v>
      </c>
      <c r="K195" t="str">
        <f t="shared" ref="K195:K258" si="11">J195&amp;A195</f>
        <v>chris3</v>
      </c>
      <c r="L195">
        <f t="shared" ref="L195:L258" si="12">H195^2</f>
        <v>62.726399999999998</v>
      </c>
    </row>
    <row r="196" spans="1:12" x14ac:dyDescent="0.25">
      <c r="A196">
        <v>3</v>
      </c>
      <c r="B196" t="s">
        <v>158</v>
      </c>
      <c r="C196" t="s">
        <v>10</v>
      </c>
      <c r="D196" s="1" t="s">
        <v>549</v>
      </c>
      <c r="E196">
        <v>21.88</v>
      </c>
      <c r="F196">
        <v>29.06</v>
      </c>
      <c r="G196">
        <v>10.68</v>
      </c>
      <c r="H196">
        <v>9.19</v>
      </c>
      <c r="I196">
        <v>19.87</v>
      </c>
      <c r="J196" t="s">
        <v>357</v>
      </c>
      <c r="K196" t="str">
        <f t="shared" si="11"/>
        <v>jordan3</v>
      </c>
      <c r="L196">
        <f t="shared" si="12"/>
        <v>84.456099999999992</v>
      </c>
    </row>
    <row r="197" spans="1:12" x14ac:dyDescent="0.25">
      <c r="A197">
        <v>3</v>
      </c>
      <c r="B197" t="s">
        <v>157</v>
      </c>
      <c r="C197" t="s">
        <v>10</v>
      </c>
      <c r="D197" s="1" t="s">
        <v>550</v>
      </c>
      <c r="E197">
        <v>9.39</v>
      </c>
      <c r="F197">
        <v>16.82</v>
      </c>
      <c r="G197">
        <v>1.1599999999999999</v>
      </c>
      <c r="H197">
        <v>7.83</v>
      </c>
      <c r="I197">
        <v>8.99</v>
      </c>
      <c r="J197" t="s">
        <v>357</v>
      </c>
      <c r="K197" t="str">
        <f t="shared" si="11"/>
        <v>jordan3</v>
      </c>
      <c r="L197">
        <f t="shared" si="12"/>
        <v>61.308900000000001</v>
      </c>
    </row>
    <row r="198" spans="1:12" x14ac:dyDescent="0.25">
      <c r="A198">
        <v>3</v>
      </c>
      <c r="B198" t="s">
        <v>547</v>
      </c>
      <c r="C198" t="s">
        <v>10</v>
      </c>
      <c r="D198" s="1" t="s">
        <v>548</v>
      </c>
      <c r="E198">
        <v>8.76</v>
      </c>
      <c r="F198">
        <v>15.26</v>
      </c>
      <c r="G198">
        <v>-0.57999999999999996</v>
      </c>
      <c r="H198">
        <v>7.92</v>
      </c>
      <c r="I198">
        <v>7.34</v>
      </c>
      <c r="J198" t="s">
        <v>357</v>
      </c>
      <c r="K198" t="str">
        <f t="shared" si="11"/>
        <v>jordan3</v>
      </c>
      <c r="L198">
        <f t="shared" si="12"/>
        <v>62.726399999999998</v>
      </c>
    </row>
    <row r="199" spans="1:12" x14ac:dyDescent="0.25">
      <c r="A199">
        <v>3</v>
      </c>
      <c r="B199" t="s">
        <v>12</v>
      </c>
      <c r="C199" t="s">
        <v>10</v>
      </c>
      <c r="D199" s="1" t="s">
        <v>551</v>
      </c>
      <c r="E199">
        <v>13.51</v>
      </c>
      <c r="F199">
        <v>18.440000000000001</v>
      </c>
      <c r="G199">
        <v>5.62</v>
      </c>
      <c r="H199">
        <v>6.41</v>
      </c>
      <c r="I199">
        <v>12.03</v>
      </c>
      <c r="J199" t="s">
        <v>358</v>
      </c>
      <c r="K199" t="str">
        <f t="shared" si="11"/>
        <v>alex3</v>
      </c>
      <c r="L199">
        <f t="shared" si="12"/>
        <v>41.088100000000004</v>
      </c>
    </row>
    <row r="200" spans="1:12" x14ac:dyDescent="0.25">
      <c r="A200">
        <v>3</v>
      </c>
      <c r="B200" t="s">
        <v>14</v>
      </c>
      <c r="C200" t="s">
        <v>10</v>
      </c>
      <c r="D200" s="1" t="s">
        <v>552</v>
      </c>
      <c r="E200">
        <v>12.96</v>
      </c>
      <c r="F200">
        <v>18.170000000000002</v>
      </c>
      <c r="G200">
        <v>4.57</v>
      </c>
      <c r="H200">
        <v>6.8</v>
      </c>
      <c r="I200">
        <v>11.37</v>
      </c>
      <c r="J200" t="s">
        <v>358</v>
      </c>
      <c r="K200" t="str">
        <f t="shared" si="11"/>
        <v>alex3</v>
      </c>
      <c r="L200">
        <f t="shared" si="12"/>
        <v>46.239999999999995</v>
      </c>
    </row>
    <row r="201" spans="1:12" x14ac:dyDescent="0.25">
      <c r="A201">
        <v>3</v>
      </c>
      <c r="B201" t="s">
        <v>152</v>
      </c>
      <c r="C201" t="s">
        <v>10</v>
      </c>
      <c r="D201" s="1" t="s">
        <v>553</v>
      </c>
      <c r="E201">
        <v>18.87</v>
      </c>
      <c r="F201">
        <v>24.79</v>
      </c>
      <c r="G201">
        <v>7.33</v>
      </c>
      <c r="H201">
        <v>8.73</v>
      </c>
      <c r="I201">
        <v>16.059999999999999</v>
      </c>
      <c r="J201" t="s">
        <v>359</v>
      </c>
      <c r="K201" t="str">
        <f t="shared" si="11"/>
        <v>colin3</v>
      </c>
      <c r="L201">
        <f t="shared" si="12"/>
        <v>76.212900000000005</v>
      </c>
    </row>
    <row r="202" spans="1:12" x14ac:dyDescent="0.25">
      <c r="A202">
        <v>3</v>
      </c>
      <c r="B202" t="s">
        <v>264</v>
      </c>
      <c r="C202" t="s">
        <v>10</v>
      </c>
      <c r="D202" s="1" t="s">
        <v>554</v>
      </c>
      <c r="E202">
        <v>6.59</v>
      </c>
      <c r="F202">
        <v>10.94</v>
      </c>
      <c r="G202">
        <v>1.06</v>
      </c>
      <c r="H202">
        <v>4.9400000000000004</v>
      </c>
      <c r="I202">
        <v>6</v>
      </c>
      <c r="J202" t="s">
        <v>359</v>
      </c>
      <c r="K202" t="str">
        <f t="shared" si="11"/>
        <v>colin3</v>
      </c>
      <c r="L202">
        <f t="shared" si="12"/>
        <v>24.403600000000004</v>
      </c>
    </row>
    <row r="203" spans="1:12" x14ac:dyDescent="0.25">
      <c r="A203">
        <v>3</v>
      </c>
      <c r="B203" t="s">
        <v>13</v>
      </c>
      <c r="C203" t="s">
        <v>10</v>
      </c>
      <c r="D203" s="1" t="s">
        <v>555</v>
      </c>
      <c r="E203">
        <v>16.190000000000001</v>
      </c>
      <c r="F203">
        <v>21.91</v>
      </c>
      <c r="G203">
        <v>7.29</v>
      </c>
      <c r="H203">
        <v>7.31</v>
      </c>
      <c r="I203">
        <v>14.6</v>
      </c>
      <c r="J203" t="s">
        <v>360</v>
      </c>
      <c r="K203" t="str">
        <f t="shared" si="11"/>
        <v>paul3</v>
      </c>
      <c r="L203">
        <f t="shared" si="12"/>
        <v>53.436099999999996</v>
      </c>
    </row>
    <row r="204" spans="1:12" x14ac:dyDescent="0.25">
      <c r="A204">
        <v>3</v>
      </c>
      <c r="B204" t="s">
        <v>186</v>
      </c>
      <c r="C204" t="s">
        <v>10</v>
      </c>
      <c r="D204" s="1" t="s">
        <v>556</v>
      </c>
      <c r="E204">
        <v>11.72</v>
      </c>
      <c r="F204">
        <v>16.37</v>
      </c>
      <c r="G204">
        <v>3.49</v>
      </c>
      <c r="H204">
        <v>6.44</v>
      </c>
      <c r="I204">
        <v>9.93</v>
      </c>
      <c r="J204" t="s">
        <v>360</v>
      </c>
      <c r="K204" t="str">
        <f t="shared" si="11"/>
        <v>paul3</v>
      </c>
      <c r="L204">
        <f t="shared" si="12"/>
        <v>41.473600000000005</v>
      </c>
    </row>
    <row r="205" spans="1:12" x14ac:dyDescent="0.25">
      <c r="A205">
        <v>3</v>
      </c>
      <c r="B205" t="s">
        <v>41</v>
      </c>
      <c r="C205" t="s">
        <v>32</v>
      </c>
      <c r="D205" s="1" t="s">
        <v>557</v>
      </c>
      <c r="E205">
        <v>19.010000000000002</v>
      </c>
      <c r="F205">
        <v>24</v>
      </c>
      <c r="G205">
        <v>6.7</v>
      </c>
      <c r="H205">
        <v>8.65</v>
      </c>
      <c r="I205">
        <v>15.35</v>
      </c>
      <c r="J205" t="s">
        <v>351</v>
      </c>
      <c r="K205" t="str">
        <f t="shared" si="11"/>
        <v>andrew3</v>
      </c>
      <c r="L205">
        <f t="shared" si="12"/>
        <v>74.822500000000005</v>
      </c>
    </row>
    <row r="206" spans="1:12" x14ac:dyDescent="0.25">
      <c r="A206">
        <v>3</v>
      </c>
      <c r="B206" t="s">
        <v>72</v>
      </c>
      <c r="C206" t="s">
        <v>32</v>
      </c>
      <c r="D206" s="1" t="s">
        <v>558</v>
      </c>
      <c r="E206">
        <v>14.2</v>
      </c>
      <c r="F206">
        <v>18.48</v>
      </c>
      <c r="G206">
        <v>4.22</v>
      </c>
      <c r="H206">
        <v>7.13</v>
      </c>
      <c r="I206">
        <v>11.35</v>
      </c>
      <c r="J206" t="s">
        <v>351</v>
      </c>
      <c r="K206" t="str">
        <f t="shared" si="11"/>
        <v>andrew3</v>
      </c>
      <c r="L206">
        <f t="shared" si="12"/>
        <v>50.8369</v>
      </c>
    </row>
    <row r="207" spans="1:12" x14ac:dyDescent="0.25">
      <c r="A207">
        <v>3</v>
      </c>
      <c r="B207" t="s">
        <v>162</v>
      </c>
      <c r="C207" t="s">
        <v>32</v>
      </c>
      <c r="D207" s="1" t="s">
        <v>559</v>
      </c>
      <c r="E207">
        <v>12.79</v>
      </c>
      <c r="F207">
        <v>16.399999999999999</v>
      </c>
      <c r="G207">
        <v>4.2</v>
      </c>
      <c r="H207">
        <v>6.1</v>
      </c>
      <c r="I207">
        <v>10.3</v>
      </c>
      <c r="J207" t="s">
        <v>351</v>
      </c>
      <c r="K207" t="str">
        <f t="shared" si="11"/>
        <v>andrew3</v>
      </c>
      <c r="L207">
        <f t="shared" si="12"/>
        <v>37.209999999999994</v>
      </c>
    </row>
    <row r="208" spans="1:12" x14ac:dyDescent="0.25">
      <c r="A208">
        <v>3</v>
      </c>
      <c r="B208" t="s">
        <v>33</v>
      </c>
      <c r="C208" t="s">
        <v>32</v>
      </c>
      <c r="D208" s="1" t="s">
        <v>560</v>
      </c>
      <c r="E208">
        <v>15.13</v>
      </c>
      <c r="F208">
        <v>20.37</v>
      </c>
      <c r="G208">
        <v>3.87</v>
      </c>
      <c r="H208">
        <v>8.25</v>
      </c>
      <c r="I208">
        <v>12.12</v>
      </c>
      <c r="J208" t="s">
        <v>352</v>
      </c>
      <c r="K208" t="str">
        <f t="shared" si="11"/>
        <v>jake3</v>
      </c>
      <c r="L208">
        <f t="shared" si="12"/>
        <v>68.0625</v>
      </c>
    </row>
    <row r="209" spans="1:12" x14ac:dyDescent="0.25">
      <c r="A209">
        <v>3</v>
      </c>
      <c r="B209" t="s">
        <v>39</v>
      </c>
      <c r="C209" t="s">
        <v>32</v>
      </c>
      <c r="D209" s="1" t="s">
        <v>561</v>
      </c>
      <c r="E209">
        <v>13.94</v>
      </c>
      <c r="F209">
        <v>16.989999999999998</v>
      </c>
      <c r="G209">
        <v>4.75</v>
      </c>
      <c r="H209">
        <v>6.12</v>
      </c>
      <c r="I209">
        <v>10.87</v>
      </c>
      <c r="J209" t="s">
        <v>352</v>
      </c>
      <c r="K209" t="str">
        <f t="shared" si="11"/>
        <v>jake3</v>
      </c>
      <c r="L209">
        <f t="shared" si="12"/>
        <v>37.4544</v>
      </c>
    </row>
    <row r="210" spans="1:12" x14ac:dyDescent="0.25">
      <c r="A210">
        <v>3</v>
      </c>
      <c r="B210" t="s">
        <v>562</v>
      </c>
      <c r="C210" t="s">
        <v>32</v>
      </c>
      <c r="D210" s="1" t="s">
        <v>563</v>
      </c>
      <c r="E210">
        <v>10.66</v>
      </c>
      <c r="F210">
        <v>13.38</v>
      </c>
      <c r="G210">
        <v>2.46</v>
      </c>
      <c r="H210">
        <v>5.46</v>
      </c>
      <c r="I210">
        <v>7.92</v>
      </c>
      <c r="J210" t="s">
        <v>352</v>
      </c>
      <c r="K210" t="str">
        <f t="shared" si="11"/>
        <v>jake3</v>
      </c>
      <c r="L210">
        <f t="shared" si="12"/>
        <v>29.811599999999999</v>
      </c>
    </row>
    <row r="211" spans="1:12" x14ac:dyDescent="0.25">
      <c r="A211">
        <v>3</v>
      </c>
      <c r="B211" t="s">
        <v>48</v>
      </c>
      <c r="C211" t="s">
        <v>32</v>
      </c>
      <c r="D211" s="1" t="s">
        <v>564</v>
      </c>
      <c r="E211">
        <v>12.1</v>
      </c>
      <c r="F211">
        <v>15.23</v>
      </c>
      <c r="G211">
        <v>4.6900000000000004</v>
      </c>
      <c r="H211">
        <v>5.27</v>
      </c>
      <c r="I211">
        <v>9.9600000000000009</v>
      </c>
      <c r="J211" t="s">
        <v>353</v>
      </c>
      <c r="K211" t="str">
        <f t="shared" si="11"/>
        <v>breanna3</v>
      </c>
      <c r="L211">
        <f t="shared" si="12"/>
        <v>27.772899999999996</v>
      </c>
    </row>
    <row r="212" spans="1:12" x14ac:dyDescent="0.25">
      <c r="A212">
        <v>3</v>
      </c>
      <c r="B212" t="s">
        <v>165</v>
      </c>
      <c r="C212" t="s">
        <v>32</v>
      </c>
      <c r="D212" s="1" t="s">
        <v>565</v>
      </c>
      <c r="E212">
        <v>9.49</v>
      </c>
      <c r="F212">
        <v>13.28</v>
      </c>
      <c r="G212">
        <v>1.8</v>
      </c>
      <c r="H212">
        <v>5.74</v>
      </c>
      <c r="I212">
        <v>7.54</v>
      </c>
      <c r="J212" t="s">
        <v>353</v>
      </c>
      <c r="K212" t="str">
        <f t="shared" si="11"/>
        <v>breanna3</v>
      </c>
      <c r="L212">
        <f t="shared" si="12"/>
        <v>32.947600000000001</v>
      </c>
    </row>
    <row r="213" spans="1:12" x14ac:dyDescent="0.25">
      <c r="A213">
        <v>3</v>
      </c>
      <c r="B213" t="s">
        <v>43</v>
      </c>
      <c r="C213" t="s">
        <v>32</v>
      </c>
      <c r="D213" s="1" t="s">
        <v>566</v>
      </c>
      <c r="E213">
        <v>16.5</v>
      </c>
      <c r="F213">
        <v>22.38</v>
      </c>
      <c r="G213">
        <v>4.7</v>
      </c>
      <c r="H213">
        <v>8.84</v>
      </c>
      <c r="I213">
        <v>13.54</v>
      </c>
      <c r="J213" t="s">
        <v>354</v>
      </c>
      <c r="K213" t="str">
        <f t="shared" si="11"/>
        <v>joseph3</v>
      </c>
      <c r="L213">
        <f t="shared" si="12"/>
        <v>78.145600000000002</v>
      </c>
    </row>
    <row r="214" spans="1:12" x14ac:dyDescent="0.25">
      <c r="A214">
        <v>3</v>
      </c>
      <c r="B214" t="s">
        <v>42</v>
      </c>
      <c r="C214" t="s">
        <v>32</v>
      </c>
      <c r="D214" s="1" t="s">
        <v>567</v>
      </c>
      <c r="E214">
        <v>15.75</v>
      </c>
      <c r="F214">
        <v>21.01</v>
      </c>
      <c r="G214">
        <v>5.01</v>
      </c>
      <c r="H214">
        <v>8</v>
      </c>
      <c r="I214">
        <v>13.01</v>
      </c>
      <c r="J214" t="s">
        <v>354</v>
      </c>
      <c r="K214" t="str">
        <f t="shared" si="11"/>
        <v>joseph3</v>
      </c>
      <c r="L214">
        <f t="shared" si="12"/>
        <v>64</v>
      </c>
    </row>
    <row r="215" spans="1:12" x14ac:dyDescent="0.25">
      <c r="A215">
        <v>3</v>
      </c>
      <c r="B215" t="s">
        <v>69</v>
      </c>
      <c r="C215" t="s">
        <v>32</v>
      </c>
      <c r="D215" s="1" t="s">
        <v>568</v>
      </c>
      <c r="E215">
        <v>17.32</v>
      </c>
      <c r="F215">
        <v>21.25</v>
      </c>
      <c r="G215">
        <v>6.21</v>
      </c>
      <c r="H215">
        <v>7.52</v>
      </c>
      <c r="I215">
        <v>13.73</v>
      </c>
      <c r="J215" t="s">
        <v>355</v>
      </c>
      <c r="K215" t="str">
        <f t="shared" si="11"/>
        <v>alyssa3</v>
      </c>
      <c r="L215">
        <f t="shared" si="12"/>
        <v>56.550399999999996</v>
      </c>
    </row>
    <row r="216" spans="1:12" x14ac:dyDescent="0.25">
      <c r="A216">
        <v>3</v>
      </c>
      <c r="B216" t="s">
        <v>71</v>
      </c>
      <c r="C216" t="s">
        <v>32</v>
      </c>
      <c r="D216" s="1" t="s">
        <v>569</v>
      </c>
      <c r="E216">
        <v>14.26</v>
      </c>
      <c r="F216">
        <v>17.86</v>
      </c>
      <c r="G216">
        <v>4.84</v>
      </c>
      <c r="H216">
        <v>6.51</v>
      </c>
      <c r="I216">
        <v>11.35</v>
      </c>
      <c r="J216" t="s">
        <v>355</v>
      </c>
      <c r="K216" t="str">
        <f t="shared" si="11"/>
        <v>alyssa3</v>
      </c>
      <c r="L216">
        <f t="shared" si="12"/>
        <v>42.380099999999999</v>
      </c>
    </row>
    <row r="217" spans="1:12" x14ac:dyDescent="0.25">
      <c r="A217">
        <v>3</v>
      </c>
      <c r="B217" t="s">
        <v>51</v>
      </c>
      <c r="C217" t="s">
        <v>32</v>
      </c>
      <c r="D217" s="1" t="s">
        <v>570</v>
      </c>
      <c r="E217">
        <v>11.68</v>
      </c>
      <c r="F217">
        <v>15.08</v>
      </c>
      <c r="G217">
        <v>2.2599999999999998</v>
      </c>
      <c r="H217">
        <v>6.41</v>
      </c>
      <c r="I217">
        <v>8.67</v>
      </c>
      <c r="J217" t="s">
        <v>355</v>
      </c>
      <c r="K217" t="str">
        <f t="shared" si="11"/>
        <v>alyssa3</v>
      </c>
      <c r="L217">
        <f t="shared" si="12"/>
        <v>41.088100000000004</v>
      </c>
    </row>
    <row r="218" spans="1:12" x14ac:dyDescent="0.25">
      <c r="A218">
        <v>3</v>
      </c>
      <c r="B218" t="s">
        <v>47</v>
      </c>
      <c r="C218" t="s">
        <v>32</v>
      </c>
      <c r="D218" s="1" t="s">
        <v>571</v>
      </c>
      <c r="E218">
        <v>14.64</v>
      </c>
      <c r="F218">
        <v>18.57</v>
      </c>
      <c r="G218">
        <v>5.35</v>
      </c>
      <c r="H218">
        <v>6.61</v>
      </c>
      <c r="I218">
        <v>11.96</v>
      </c>
      <c r="J218" t="s">
        <v>356</v>
      </c>
      <c r="K218" t="str">
        <f t="shared" si="11"/>
        <v>chris3</v>
      </c>
      <c r="L218">
        <f t="shared" si="12"/>
        <v>43.692100000000003</v>
      </c>
    </row>
    <row r="219" spans="1:12" x14ac:dyDescent="0.25">
      <c r="A219">
        <v>3</v>
      </c>
      <c r="B219" t="s">
        <v>46</v>
      </c>
      <c r="C219" t="s">
        <v>32</v>
      </c>
      <c r="D219" s="1" t="s">
        <v>572</v>
      </c>
      <c r="E219">
        <v>11.37</v>
      </c>
      <c r="F219">
        <v>13.58</v>
      </c>
      <c r="G219">
        <v>3.44</v>
      </c>
      <c r="H219">
        <v>5.07</v>
      </c>
      <c r="I219">
        <v>8.51</v>
      </c>
      <c r="J219" t="s">
        <v>356</v>
      </c>
      <c r="K219" t="str">
        <f t="shared" si="11"/>
        <v>chris3</v>
      </c>
      <c r="L219">
        <f t="shared" si="12"/>
        <v>25.704900000000002</v>
      </c>
    </row>
    <row r="220" spans="1:12" x14ac:dyDescent="0.25">
      <c r="A220">
        <v>3</v>
      </c>
      <c r="B220" t="s">
        <v>224</v>
      </c>
      <c r="C220" t="s">
        <v>32</v>
      </c>
      <c r="D220" s="1" t="s">
        <v>573</v>
      </c>
      <c r="E220">
        <v>8.64</v>
      </c>
      <c r="F220">
        <v>11.87</v>
      </c>
      <c r="G220">
        <v>1.43</v>
      </c>
      <c r="H220">
        <v>5.22</v>
      </c>
      <c r="I220">
        <v>6.65</v>
      </c>
      <c r="J220" t="s">
        <v>356</v>
      </c>
      <c r="K220" t="str">
        <f t="shared" si="11"/>
        <v>chris3</v>
      </c>
      <c r="L220">
        <f t="shared" si="12"/>
        <v>27.248399999999997</v>
      </c>
    </row>
    <row r="221" spans="1:12" x14ac:dyDescent="0.25">
      <c r="A221">
        <v>3</v>
      </c>
      <c r="B221" t="s">
        <v>35</v>
      </c>
      <c r="C221" t="s">
        <v>32</v>
      </c>
      <c r="D221" s="1" t="s">
        <v>574</v>
      </c>
      <c r="E221">
        <v>12.88</v>
      </c>
      <c r="F221">
        <v>15.41</v>
      </c>
      <c r="G221">
        <v>3.71</v>
      </c>
      <c r="H221">
        <v>5.85</v>
      </c>
      <c r="I221">
        <v>9.56</v>
      </c>
      <c r="J221" t="s">
        <v>357</v>
      </c>
      <c r="K221" t="str">
        <f t="shared" si="11"/>
        <v>jordan3</v>
      </c>
      <c r="L221">
        <f t="shared" si="12"/>
        <v>34.222499999999997</v>
      </c>
    </row>
    <row r="222" spans="1:12" x14ac:dyDescent="0.25">
      <c r="A222">
        <v>3</v>
      </c>
      <c r="B222" t="s">
        <v>222</v>
      </c>
      <c r="C222" t="s">
        <v>32</v>
      </c>
      <c r="D222" s="1" t="s">
        <v>575</v>
      </c>
      <c r="E222">
        <v>9.41</v>
      </c>
      <c r="F222">
        <v>13.43</v>
      </c>
      <c r="G222">
        <v>1.81</v>
      </c>
      <c r="H222">
        <v>5.81</v>
      </c>
      <c r="I222">
        <v>7.62</v>
      </c>
      <c r="J222" t="s">
        <v>357</v>
      </c>
      <c r="K222" t="str">
        <f t="shared" si="11"/>
        <v>jordan3</v>
      </c>
      <c r="L222">
        <f t="shared" si="12"/>
        <v>33.756099999999996</v>
      </c>
    </row>
    <row r="223" spans="1:12" x14ac:dyDescent="0.25">
      <c r="A223">
        <v>3</v>
      </c>
      <c r="B223" t="s">
        <v>184</v>
      </c>
      <c r="C223" t="s">
        <v>32</v>
      </c>
      <c r="D223" s="1" t="s">
        <v>576</v>
      </c>
      <c r="E223">
        <v>17.78</v>
      </c>
      <c r="F223">
        <v>23.27</v>
      </c>
      <c r="G223">
        <v>5.51</v>
      </c>
      <c r="H223">
        <v>8.8800000000000008</v>
      </c>
      <c r="I223">
        <v>14.39</v>
      </c>
      <c r="J223" t="s">
        <v>358</v>
      </c>
      <c r="K223" t="str">
        <f t="shared" si="11"/>
        <v>alex3</v>
      </c>
      <c r="L223">
        <f t="shared" si="12"/>
        <v>78.854400000000012</v>
      </c>
    </row>
    <row r="224" spans="1:12" x14ac:dyDescent="0.25">
      <c r="A224">
        <v>3</v>
      </c>
      <c r="B224" t="s">
        <v>34</v>
      </c>
      <c r="C224" t="s">
        <v>32</v>
      </c>
      <c r="D224" s="1" t="s">
        <v>577</v>
      </c>
      <c r="E224">
        <v>17.18</v>
      </c>
      <c r="F224">
        <v>22.23</v>
      </c>
      <c r="G224">
        <v>6.31</v>
      </c>
      <c r="H224">
        <v>7.96</v>
      </c>
      <c r="I224">
        <v>14.27</v>
      </c>
      <c r="J224" t="s">
        <v>358</v>
      </c>
      <c r="K224" t="str">
        <f t="shared" si="11"/>
        <v>alex3</v>
      </c>
      <c r="L224">
        <f t="shared" si="12"/>
        <v>63.361600000000003</v>
      </c>
    </row>
    <row r="225" spans="1:12" x14ac:dyDescent="0.25">
      <c r="A225">
        <v>3</v>
      </c>
      <c r="B225" t="s">
        <v>36</v>
      </c>
      <c r="C225" t="s">
        <v>32</v>
      </c>
      <c r="D225" s="1" t="s">
        <v>578</v>
      </c>
      <c r="E225">
        <v>13.65</v>
      </c>
      <c r="F225">
        <v>18.39</v>
      </c>
      <c r="G225">
        <v>3.51</v>
      </c>
      <c r="H225">
        <v>7.44</v>
      </c>
      <c r="I225">
        <v>10.95</v>
      </c>
      <c r="J225" t="s">
        <v>358</v>
      </c>
      <c r="K225" t="str">
        <f t="shared" si="11"/>
        <v>alex3</v>
      </c>
      <c r="L225">
        <f t="shared" si="12"/>
        <v>55.353600000000007</v>
      </c>
    </row>
    <row r="226" spans="1:12" x14ac:dyDescent="0.25">
      <c r="A226">
        <v>3</v>
      </c>
      <c r="B226" t="s">
        <v>234</v>
      </c>
      <c r="C226" t="s">
        <v>32</v>
      </c>
      <c r="D226" s="1" t="s">
        <v>579</v>
      </c>
      <c r="E226">
        <v>10.64</v>
      </c>
      <c r="F226">
        <v>14.3</v>
      </c>
      <c r="G226">
        <v>2.5</v>
      </c>
      <c r="H226">
        <v>5.9</v>
      </c>
      <c r="I226">
        <v>8.4</v>
      </c>
      <c r="J226" t="s">
        <v>359</v>
      </c>
      <c r="K226" t="str">
        <f t="shared" si="11"/>
        <v>colin3</v>
      </c>
      <c r="L226">
        <f t="shared" si="12"/>
        <v>34.81</v>
      </c>
    </row>
    <row r="227" spans="1:12" x14ac:dyDescent="0.25">
      <c r="A227">
        <v>3</v>
      </c>
      <c r="B227" t="s">
        <v>183</v>
      </c>
      <c r="C227" t="s">
        <v>32</v>
      </c>
      <c r="D227" s="1" t="s">
        <v>580</v>
      </c>
      <c r="E227">
        <v>10.1</v>
      </c>
      <c r="F227">
        <v>14.03</v>
      </c>
      <c r="G227">
        <v>1.65</v>
      </c>
      <c r="H227">
        <v>6.19</v>
      </c>
      <c r="I227">
        <v>7.84</v>
      </c>
      <c r="J227" t="s">
        <v>359</v>
      </c>
      <c r="K227" t="str">
        <f t="shared" si="11"/>
        <v>colin3</v>
      </c>
      <c r="L227">
        <f t="shared" si="12"/>
        <v>38.316100000000006</v>
      </c>
    </row>
    <row r="228" spans="1:12" x14ac:dyDescent="0.25">
      <c r="A228">
        <v>3</v>
      </c>
      <c r="B228" t="s">
        <v>151</v>
      </c>
      <c r="C228" t="s">
        <v>32</v>
      </c>
      <c r="D228" s="1" t="s">
        <v>581</v>
      </c>
      <c r="E228">
        <v>7.89</v>
      </c>
      <c r="F228">
        <v>10.69</v>
      </c>
      <c r="G228">
        <v>1.39</v>
      </c>
      <c r="H228">
        <v>4.6500000000000004</v>
      </c>
      <c r="I228">
        <v>6.04</v>
      </c>
      <c r="J228" t="s">
        <v>359</v>
      </c>
      <c r="K228" t="str">
        <f t="shared" si="11"/>
        <v>colin3</v>
      </c>
      <c r="L228">
        <f t="shared" si="12"/>
        <v>21.622500000000002</v>
      </c>
    </row>
    <row r="229" spans="1:12" x14ac:dyDescent="0.25">
      <c r="A229">
        <v>3</v>
      </c>
      <c r="B229" t="s">
        <v>49</v>
      </c>
      <c r="C229" t="s">
        <v>32</v>
      </c>
      <c r="D229" s="1" t="s">
        <v>582</v>
      </c>
      <c r="E229">
        <v>16.55</v>
      </c>
      <c r="F229">
        <v>22.15</v>
      </c>
      <c r="G229">
        <v>5.61</v>
      </c>
      <c r="H229">
        <v>8.27</v>
      </c>
      <c r="I229">
        <v>13.88</v>
      </c>
      <c r="J229" t="s">
        <v>360</v>
      </c>
      <c r="K229" t="str">
        <f t="shared" si="11"/>
        <v>paul3</v>
      </c>
      <c r="L229">
        <f t="shared" si="12"/>
        <v>68.392899999999997</v>
      </c>
    </row>
    <row r="230" spans="1:12" x14ac:dyDescent="0.25">
      <c r="A230">
        <v>3</v>
      </c>
      <c r="B230" t="s">
        <v>38</v>
      </c>
      <c r="C230" t="s">
        <v>32</v>
      </c>
      <c r="D230" s="1" t="s">
        <v>583</v>
      </c>
      <c r="E230">
        <v>12.29</v>
      </c>
      <c r="F230">
        <v>17.63</v>
      </c>
      <c r="G230">
        <v>2.31</v>
      </c>
      <c r="H230">
        <v>7.66</v>
      </c>
      <c r="I230">
        <v>9.9700000000000006</v>
      </c>
      <c r="J230" t="s">
        <v>360</v>
      </c>
      <c r="K230" t="str">
        <f t="shared" si="11"/>
        <v>paul3</v>
      </c>
      <c r="L230">
        <f t="shared" si="12"/>
        <v>58.675600000000003</v>
      </c>
    </row>
    <row r="231" spans="1:12" x14ac:dyDescent="0.25">
      <c r="A231">
        <v>3</v>
      </c>
      <c r="B231" t="s">
        <v>147</v>
      </c>
      <c r="C231" t="s">
        <v>32</v>
      </c>
      <c r="D231" s="1" t="s">
        <v>584</v>
      </c>
      <c r="E231">
        <v>11.86</v>
      </c>
      <c r="F231">
        <v>15.2</v>
      </c>
      <c r="G231">
        <v>4.0599999999999996</v>
      </c>
      <c r="H231">
        <v>5.57</v>
      </c>
      <c r="I231">
        <v>9.6300000000000008</v>
      </c>
      <c r="J231" t="s">
        <v>360</v>
      </c>
      <c r="K231" t="str">
        <f t="shared" si="11"/>
        <v>paul3</v>
      </c>
      <c r="L231">
        <f t="shared" si="12"/>
        <v>31.024900000000002</v>
      </c>
    </row>
    <row r="232" spans="1:12" x14ac:dyDescent="0.25">
      <c r="A232">
        <v>3</v>
      </c>
      <c r="B232" t="s">
        <v>248</v>
      </c>
      <c r="C232" t="s">
        <v>53</v>
      </c>
      <c r="D232" s="1" t="s">
        <v>585</v>
      </c>
      <c r="E232">
        <v>20.65</v>
      </c>
      <c r="F232">
        <v>26.31</v>
      </c>
      <c r="G232">
        <v>13.21</v>
      </c>
      <c r="H232">
        <v>6.55</v>
      </c>
      <c r="I232">
        <v>19.760000000000002</v>
      </c>
      <c r="J232" t="s">
        <v>351</v>
      </c>
      <c r="K232" t="str">
        <f t="shared" si="11"/>
        <v>andrew3</v>
      </c>
      <c r="L232">
        <f t="shared" si="12"/>
        <v>42.902499999999996</v>
      </c>
    </row>
    <row r="233" spans="1:12" x14ac:dyDescent="0.25">
      <c r="A233">
        <v>3</v>
      </c>
      <c r="B233" t="s">
        <v>204</v>
      </c>
      <c r="C233" t="s">
        <v>53</v>
      </c>
      <c r="D233" s="1" t="s">
        <v>586</v>
      </c>
      <c r="E233">
        <v>17.86</v>
      </c>
      <c r="F233">
        <v>24.38</v>
      </c>
      <c r="G233">
        <v>9.44</v>
      </c>
      <c r="H233">
        <v>7.47</v>
      </c>
      <c r="I233">
        <v>16.91</v>
      </c>
      <c r="J233" t="s">
        <v>352</v>
      </c>
      <c r="K233" t="str">
        <f t="shared" si="11"/>
        <v>jake3</v>
      </c>
      <c r="L233">
        <f t="shared" si="12"/>
        <v>55.800899999999999</v>
      </c>
    </row>
    <row r="234" spans="1:12" x14ac:dyDescent="0.25">
      <c r="A234">
        <v>3</v>
      </c>
      <c r="B234" t="s">
        <v>290</v>
      </c>
      <c r="C234" t="s">
        <v>53</v>
      </c>
      <c r="D234" s="1" t="s">
        <v>587</v>
      </c>
      <c r="E234">
        <v>22.05</v>
      </c>
      <c r="F234">
        <v>29.02</v>
      </c>
      <c r="G234">
        <v>13.68</v>
      </c>
      <c r="H234">
        <v>7.67</v>
      </c>
      <c r="I234">
        <v>21.35</v>
      </c>
      <c r="J234" t="s">
        <v>353</v>
      </c>
      <c r="K234" t="str">
        <f t="shared" si="11"/>
        <v>breanna3</v>
      </c>
      <c r="L234">
        <f t="shared" si="12"/>
        <v>58.828899999999997</v>
      </c>
    </row>
    <row r="235" spans="1:12" x14ac:dyDescent="0.25">
      <c r="A235">
        <v>3</v>
      </c>
      <c r="B235" t="s">
        <v>364</v>
      </c>
      <c r="C235" t="s">
        <v>53</v>
      </c>
      <c r="D235" s="1" t="s">
        <v>588</v>
      </c>
      <c r="E235">
        <v>18.46</v>
      </c>
      <c r="F235">
        <v>24.2</v>
      </c>
      <c r="G235">
        <v>10.88</v>
      </c>
      <c r="H235">
        <v>6.66</v>
      </c>
      <c r="I235">
        <v>17.54</v>
      </c>
      <c r="J235" t="s">
        <v>354</v>
      </c>
      <c r="K235" t="str">
        <f t="shared" si="11"/>
        <v>joseph3</v>
      </c>
      <c r="L235">
        <f t="shared" si="12"/>
        <v>44.355600000000003</v>
      </c>
    </row>
    <row r="236" spans="1:12" x14ac:dyDescent="0.25">
      <c r="A236">
        <v>3</v>
      </c>
      <c r="B236" t="s">
        <v>386</v>
      </c>
      <c r="C236" t="s">
        <v>53</v>
      </c>
      <c r="D236" s="1" t="s">
        <v>589</v>
      </c>
      <c r="E236">
        <v>20.11</v>
      </c>
      <c r="F236">
        <v>26.03</v>
      </c>
      <c r="G236">
        <v>12.47</v>
      </c>
      <c r="H236">
        <v>6.78</v>
      </c>
      <c r="I236">
        <v>19.25</v>
      </c>
      <c r="J236" t="s">
        <v>355</v>
      </c>
      <c r="K236" t="str">
        <f t="shared" si="11"/>
        <v>alyssa3</v>
      </c>
      <c r="L236">
        <f t="shared" si="12"/>
        <v>45.968400000000003</v>
      </c>
    </row>
    <row r="237" spans="1:12" x14ac:dyDescent="0.25">
      <c r="A237">
        <v>3</v>
      </c>
      <c r="B237" t="s">
        <v>55</v>
      </c>
      <c r="C237" t="s">
        <v>53</v>
      </c>
      <c r="D237" s="1" t="s">
        <v>590</v>
      </c>
      <c r="E237">
        <v>20.86</v>
      </c>
      <c r="F237">
        <v>28.28</v>
      </c>
      <c r="G237">
        <v>12.08</v>
      </c>
      <c r="H237">
        <v>8.1</v>
      </c>
      <c r="I237">
        <v>20.18</v>
      </c>
      <c r="J237" t="s">
        <v>356</v>
      </c>
      <c r="K237" t="str">
        <f t="shared" si="11"/>
        <v>chris3</v>
      </c>
      <c r="L237">
        <f t="shared" si="12"/>
        <v>65.61</v>
      </c>
    </row>
    <row r="238" spans="1:12" x14ac:dyDescent="0.25">
      <c r="A238">
        <v>3</v>
      </c>
      <c r="B238" t="s">
        <v>56</v>
      </c>
      <c r="C238" t="s">
        <v>53</v>
      </c>
      <c r="D238" s="1" t="s">
        <v>591</v>
      </c>
      <c r="E238">
        <v>20.91</v>
      </c>
      <c r="F238">
        <v>27.62</v>
      </c>
      <c r="G238">
        <v>12.32</v>
      </c>
      <c r="H238">
        <v>7.65</v>
      </c>
      <c r="I238">
        <v>19.97</v>
      </c>
      <c r="J238" t="s">
        <v>357</v>
      </c>
      <c r="K238" t="str">
        <f t="shared" si="11"/>
        <v>jordan3</v>
      </c>
      <c r="L238">
        <f t="shared" si="12"/>
        <v>58.522500000000008</v>
      </c>
    </row>
    <row r="239" spans="1:12" x14ac:dyDescent="0.25">
      <c r="A239">
        <v>3</v>
      </c>
      <c r="B239" t="s">
        <v>280</v>
      </c>
      <c r="C239" t="s">
        <v>53</v>
      </c>
      <c r="D239" s="1" t="s">
        <v>592</v>
      </c>
      <c r="E239">
        <v>20.77</v>
      </c>
      <c r="F239">
        <v>26.24</v>
      </c>
      <c r="G239">
        <v>14.2</v>
      </c>
      <c r="H239">
        <v>6.02</v>
      </c>
      <c r="I239">
        <v>20.22</v>
      </c>
      <c r="J239" t="s">
        <v>358</v>
      </c>
      <c r="K239" t="str">
        <f t="shared" si="11"/>
        <v>alex3</v>
      </c>
      <c r="L239">
        <f t="shared" si="12"/>
        <v>36.240399999999994</v>
      </c>
    </row>
    <row r="240" spans="1:12" x14ac:dyDescent="0.25">
      <c r="A240">
        <v>3</v>
      </c>
      <c r="B240" t="s">
        <v>52</v>
      </c>
      <c r="C240" t="s">
        <v>53</v>
      </c>
      <c r="D240" s="1" t="s">
        <v>593</v>
      </c>
      <c r="E240">
        <v>20.99</v>
      </c>
      <c r="F240">
        <v>26.73</v>
      </c>
      <c r="G240">
        <v>14.09</v>
      </c>
      <c r="H240">
        <v>6.32</v>
      </c>
      <c r="I240">
        <v>20.41</v>
      </c>
      <c r="J240" t="s">
        <v>359</v>
      </c>
      <c r="K240" t="str">
        <f t="shared" si="11"/>
        <v>colin3</v>
      </c>
      <c r="L240">
        <f t="shared" si="12"/>
        <v>39.942400000000006</v>
      </c>
    </row>
    <row r="241" spans="1:12" x14ac:dyDescent="0.25">
      <c r="A241">
        <v>3</v>
      </c>
      <c r="B241" t="s">
        <v>194</v>
      </c>
      <c r="C241" t="s">
        <v>53</v>
      </c>
      <c r="D241" s="1" t="s">
        <v>594</v>
      </c>
      <c r="E241">
        <v>21.11</v>
      </c>
      <c r="F241">
        <v>28.64</v>
      </c>
      <c r="G241">
        <v>12.76</v>
      </c>
      <c r="H241">
        <v>7.94</v>
      </c>
      <c r="I241">
        <v>20.7</v>
      </c>
      <c r="J241" t="s">
        <v>360</v>
      </c>
      <c r="K241" t="str">
        <f t="shared" si="11"/>
        <v>paul3</v>
      </c>
      <c r="L241">
        <f t="shared" si="12"/>
        <v>63.043600000000005</v>
      </c>
    </row>
    <row r="242" spans="1:12" x14ac:dyDescent="0.25">
      <c r="A242">
        <v>3</v>
      </c>
      <c r="B242" t="s">
        <v>497</v>
      </c>
      <c r="C242" t="s">
        <v>57</v>
      </c>
      <c r="D242" s="1" t="s">
        <v>595</v>
      </c>
      <c r="E242">
        <v>8.89</v>
      </c>
      <c r="F242">
        <v>11.79</v>
      </c>
      <c r="G242">
        <v>1.73</v>
      </c>
      <c r="H242">
        <v>5.03</v>
      </c>
      <c r="I242">
        <v>6.76</v>
      </c>
      <c r="J242" t="s">
        <v>351</v>
      </c>
      <c r="K242" t="str">
        <f t="shared" si="11"/>
        <v>andrew3</v>
      </c>
      <c r="L242">
        <f t="shared" si="12"/>
        <v>25.300900000000002</v>
      </c>
    </row>
    <row r="243" spans="1:12" x14ac:dyDescent="0.25">
      <c r="A243">
        <v>3</v>
      </c>
      <c r="B243" t="s">
        <v>60</v>
      </c>
      <c r="C243" t="s">
        <v>57</v>
      </c>
      <c r="D243" s="1" t="s">
        <v>596</v>
      </c>
      <c r="E243">
        <v>11.03</v>
      </c>
      <c r="F243">
        <v>14.14</v>
      </c>
      <c r="G243">
        <v>2.16</v>
      </c>
      <c r="H243">
        <v>5.99</v>
      </c>
      <c r="I243">
        <v>8.15</v>
      </c>
      <c r="J243" t="s">
        <v>352</v>
      </c>
      <c r="K243" t="str">
        <f t="shared" si="11"/>
        <v>jake3</v>
      </c>
      <c r="L243">
        <f t="shared" si="12"/>
        <v>35.880100000000006</v>
      </c>
    </row>
    <row r="244" spans="1:12" x14ac:dyDescent="0.25">
      <c r="A244">
        <v>3</v>
      </c>
      <c r="B244" t="s">
        <v>368</v>
      </c>
      <c r="C244" t="s">
        <v>57</v>
      </c>
      <c r="D244" s="1" t="s">
        <v>597</v>
      </c>
      <c r="E244">
        <v>6.51</v>
      </c>
      <c r="F244">
        <v>9.1300000000000008</v>
      </c>
      <c r="G244">
        <v>0.83</v>
      </c>
      <c r="H244">
        <v>4.1500000000000004</v>
      </c>
      <c r="I244">
        <v>4.9800000000000004</v>
      </c>
      <c r="J244" t="s">
        <v>353</v>
      </c>
      <c r="K244" t="str">
        <f t="shared" si="11"/>
        <v>breanna3</v>
      </c>
      <c r="L244">
        <f t="shared" si="12"/>
        <v>17.222500000000004</v>
      </c>
    </row>
    <row r="245" spans="1:12" x14ac:dyDescent="0.25">
      <c r="A245">
        <v>3</v>
      </c>
      <c r="B245" t="s">
        <v>61</v>
      </c>
      <c r="C245" t="s">
        <v>57</v>
      </c>
      <c r="D245" s="1" t="s">
        <v>598</v>
      </c>
      <c r="E245">
        <v>12.74</v>
      </c>
      <c r="F245">
        <v>16.809999999999999</v>
      </c>
      <c r="G245">
        <v>3.53</v>
      </c>
      <c r="H245">
        <v>6.64</v>
      </c>
      <c r="I245">
        <v>10.17</v>
      </c>
      <c r="J245" t="s">
        <v>354</v>
      </c>
      <c r="K245" t="str">
        <f t="shared" si="11"/>
        <v>joseph3</v>
      </c>
      <c r="L245">
        <f t="shared" si="12"/>
        <v>44.089599999999997</v>
      </c>
    </row>
    <row r="246" spans="1:12" x14ac:dyDescent="0.25">
      <c r="A246">
        <v>3</v>
      </c>
      <c r="B246" t="s">
        <v>521</v>
      </c>
      <c r="C246" t="s">
        <v>57</v>
      </c>
      <c r="D246" s="1" t="s">
        <v>599</v>
      </c>
      <c r="E246">
        <v>2.4900000000000002</v>
      </c>
      <c r="F246">
        <v>4</v>
      </c>
      <c r="G246">
        <v>-0.12</v>
      </c>
      <c r="H246">
        <v>2.06</v>
      </c>
      <c r="I246">
        <v>1.94</v>
      </c>
      <c r="J246" t="s">
        <v>355</v>
      </c>
      <c r="K246" t="str">
        <f t="shared" si="11"/>
        <v>alyssa3</v>
      </c>
      <c r="L246">
        <f t="shared" si="12"/>
        <v>4.2435999999999998</v>
      </c>
    </row>
    <row r="247" spans="1:12" x14ac:dyDescent="0.25">
      <c r="A247">
        <v>3</v>
      </c>
      <c r="B247" t="s">
        <v>58</v>
      </c>
      <c r="C247" t="s">
        <v>57</v>
      </c>
      <c r="D247" s="1" t="s">
        <v>600</v>
      </c>
      <c r="E247">
        <v>9.41</v>
      </c>
      <c r="F247">
        <v>11.06</v>
      </c>
      <c r="G247">
        <v>3.22</v>
      </c>
      <c r="H247">
        <v>3.92</v>
      </c>
      <c r="I247">
        <v>7.14</v>
      </c>
      <c r="J247" t="s">
        <v>356</v>
      </c>
      <c r="K247" t="str">
        <f t="shared" si="11"/>
        <v>chris3</v>
      </c>
      <c r="L247">
        <f t="shared" si="12"/>
        <v>15.366399999999999</v>
      </c>
    </row>
    <row r="248" spans="1:12" x14ac:dyDescent="0.25">
      <c r="A248">
        <v>3</v>
      </c>
      <c r="B248" t="s">
        <v>62</v>
      </c>
      <c r="C248" t="s">
        <v>57</v>
      </c>
      <c r="D248" s="1" t="s">
        <v>601</v>
      </c>
      <c r="E248">
        <v>15.22</v>
      </c>
      <c r="F248">
        <v>18.920000000000002</v>
      </c>
      <c r="G248">
        <v>6.12</v>
      </c>
      <c r="H248">
        <v>6.4</v>
      </c>
      <c r="I248">
        <v>12.52</v>
      </c>
      <c r="J248" t="s">
        <v>357</v>
      </c>
      <c r="K248" t="str">
        <f t="shared" si="11"/>
        <v>jordan3</v>
      </c>
      <c r="L248">
        <f t="shared" si="12"/>
        <v>40.960000000000008</v>
      </c>
    </row>
    <row r="249" spans="1:12" x14ac:dyDescent="0.25">
      <c r="A249">
        <v>3</v>
      </c>
      <c r="B249" t="s">
        <v>150</v>
      </c>
      <c r="C249" t="s">
        <v>57</v>
      </c>
      <c r="D249" s="1" t="s">
        <v>602</v>
      </c>
      <c r="E249">
        <v>9.67</v>
      </c>
      <c r="F249">
        <v>11.79</v>
      </c>
      <c r="G249">
        <v>2.71</v>
      </c>
      <c r="H249">
        <v>4.54</v>
      </c>
      <c r="I249">
        <v>7.25</v>
      </c>
      <c r="J249" t="s">
        <v>358</v>
      </c>
      <c r="K249" t="str">
        <f t="shared" si="11"/>
        <v>alex3</v>
      </c>
      <c r="L249">
        <f t="shared" si="12"/>
        <v>20.611599999999999</v>
      </c>
    </row>
    <row r="250" spans="1:12" x14ac:dyDescent="0.25">
      <c r="A250">
        <v>3</v>
      </c>
      <c r="B250" t="s">
        <v>73</v>
      </c>
      <c r="C250" t="s">
        <v>57</v>
      </c>
      <c r="D250" s="1" t="s">
        <v>603</v>
      </c>
      <c r="E250">
        <v>11.89</v>
      </c>
      <c r="F250">
        <v>14.54</v>
      </c>
      <c r="G250">
        <v>3.76</v>
      </c>
      <c r="H250">
        <v>5.39</v>
      </c>
      <c r="I250">
        <v>9.15</v>
      </c>
      <c r="J250" t="s">
        <v>359</v>
      </c>
      <c r="K250" t="str">
        <f t="shared" si="11"/>
        <v>colin3</v>
      </c>
      <c r="L250">
        <f t="shared" si="12"/>
        <v>29.052099999999996</v>
      </c>
    </row>
    <row r="251" spans="1:12" x14ac:dyDescent="0.25">
      <c r="A251">
        <v>3</v>
      </c>
      <c r="B251" t="s">
        <v>59</v>
      </c>
      <c r="C251" t="s">
        <v>57</v>
      </c>
      <c r="D251" s="1" t="s">
        <v>604</v>
      </c>
      <c r="E251">
        <v>8.64</v>
      </c>
      <c r="F251">
        <v>11.01</v>
      </c>
      <c r="G251">
        <v>1.77</v>
      </c>
      <c r="H251">
        <v>4.62</v>
      </c>
      <c r="I251">
        <v>6.39</v>
      </c>
      <c r="J251" t="s">
        <v>360</v>
      </c>
      <c r="K251" t="str">
        <f t="shared" si="11"/>
        <v>paul3</v>
      </c>
      <c r="L251">
        <f t="shared" si="12"/>
        <v>21.3444</v>
      </c>
    </row>
    <row r="252" spans="1:12" x14ac:dyDescent="0.25">
      <c r="A252">
        <v>3</v>
      </c>
      <c r="B252" t="s">
        <v>196</v>
      </c>
      <c r="C252" t="s">
        <v>63</v>
      </c>
      <c r="D252" s="1" t="s">
        <v>605</v>
      </c>
      <c r="E252">
        <v>12.6035</v>
      </c>
      <c r="F252">
        <v>20.100000000000001</v>
      </c>
      <c r="G252">
        <v>5.0599999999999996</v>
      </c>
      <c r="H252">
        <v>7.52</v>
      </c>
      <c r="I252">
        <v>12.6035</v>
      </c>
      <c r="J252" t="s">
        <v>351</v>
      </c>
      <c r="K252" t="str">
        <f t="shared" si="11"/>
        <v>andrew3</v>
      </c>
      <c r="L252">
        <f t="shared" si="12"/>
        <v>56.550399999999996</v>
      </c>
    </row>
    <row r="253" spans="1:12" x14ac:dyDescent="0.25">
      <c r="A253">
        <v>3</v>
      </c>
      <c r="B253" t="s">
        <v>318</v>
      </c>
      <c r="C253" t="s">
        <v>63</v>
      </c>
      <c r="D253" s="1" t="s">
        <v>606</v>
      </c>
      <c r="E253">
        <v>4.0781000000000001</v>
      </c>
      <c r="F253">
        <v>8.8699999999999992</v>
      </c>
      <c r="G253">
        <v>-0.71</v>
      </c>
      <c r="H253">
        <v>4.79</v>
      </c>
      <c r="I253">
        <v>4.0781000000000001</v>
      </c>
      <c r="J253" t="s">
        <v>352</v>
      </c>
      <c r="K253" t="str">
        <f t="shared" si="11"/>
        <v>jake3</v>
      </c>
      <c r="L253">
        <f t="shared" si="12"/>
        <v>22.944099999999999</v>
      </c>
    </row>
    <row r="254" spans="1:12" x14ac:dyDescent="0.25">
      <c r="A254">
        <v>3</v>
      </c>
      <c r="B254" t="s">
        <v>195</v>
      </c>
      <c r="C254" t="s">
        <v>63</v>
      </c>
      <c r="D254" s="1" t="s">
        <v>607</v>
      </c>
      <c r="E254">
        <v>8.7628000000000004</v>
      </c>
      <c r="F254">
        <v>15.42</v>
      </c>
      <c r="G254">
        <v>2.14</v>
      </c>
      <c r="H254">
        <v>6.64</v>
      </c>
      <c r="I254">
        <v>8.7628000000000004</v>
      </c>
      <c r="J254" t="s">
        <v>353</v>
      </c>
      <c r="K254" t="str">
        <f t="shared" si="11"/>
        <v>breanna3</v>
      </c>
      <c r="L254">
        <f t="shared" si="12"/>
        <v>44.089599999999997</v>
      </c>
    </row>
    <row r="255" spans="1:12" x14ac:dyDescent="0.25">
      <c r="A255">
        <v>3</v>
      </c>
      <c r="B255" t="s">
        <v>372</v>
      </c>
      <c r="C255" t="s">
        <v>63</v>
      </c>
      <c r="D255" s="1" t="s">
        <v>608</v>
      </c>
      <c r="E255">
        <v>9.4214000000000002</v>
      </c>
      <c r="F255">
        <v>16.54</v>
      </c>
      <c r="G255">
        <v>2.2799999999999998</v>
      </c>
      <c r="H255">
        <v>7.13</v>
      </c>
      <c r="I255">
        <v>9.4214000000000002</v>
      </c>
      <c r="J255" t="s">
        <v>354</v>
      </c>
      <c r="K255" t="str">
        <f t="shared" si="11"/>
        <v>joseph3</v>
      </c>
      <c r="L255">
        <f t="shared" si="12"/>
        <v>50.8369</v>
      </c>
    </row>
    <row r="256" spans="1:12" x14ac:dyDescent="0.25">
      <c r="A256">
        <v>3</v>
      </c>
      <c r="B256" t="s">
        <v>374</v>
      </c>
      <c r="C256" t="s">
        <v>63</v>
      </c>
      <c r="D256" s="1" t="s">
        <v>609</v>
      </c>
      <c r="E256">
        <v>8.4777000000000005</v>
      </c>
      <c r="F256">
        <v>14.42</v>
      </c>
      <c r="G256">
        <v>2.54</v>
      </c>
      <c r="H256">
        <v>5.94</v>
      </c>
      <c r="I256">
        <v>8.4777000000000005</v>
      </c>
      <c r="J256" t="s">
        <v>355</v>
      </c>
      <c r="K256" t="str">
        <f t="shared" si="11"/>
        <v>alyssa3</v>
      </c>
      <c r="L256">
        <f t="shared" si="12"/>
        <v>35.283600000000007</v>
      </c>
    </row>
    <row r="257" spans="1:12" x14ac:dyDescent="0.25">
      <c r="A257">
        <v>3</v>
      </c>
      <c r="B257" t="s">
        <v>154</v>
      </c>
      <c r="C257" t="s">
        <v>63</v>
      </c>
      <c r="D257" s="1" t="s">
        <v>610</v>
      </c>
      <c r="E257">
        <v>11.478400000000001</v>
      </c>
      <c r="F257">
        <v>17.03</v>
      </c>
      <c r="G257">
        <v>5.93</v>
      </c>
      <c r="H257">
        <v>5.55</v>
      </c>
      <c r="I257">
        <v>11.478400000000001</v>
      </c>
      <c r="J257" t="s">
        <v>356</v>
      </c>
      <c r="K257" t="str">
        <f t="shared" si="11"/>
        <v>chris3</v>
      </c>
      <c r="L257">
        <f t="shared" si="12"/>
        <v>30.802499999999998</v>
      </c>
    </row>
    <row r="258" spans="1:12" x14ac:dyDescent="0.25">
      <c r="A258">
        <v>3</v>
      </c>
      <c r="B258" t="s">
        <v>203</v>
      </c>
      <c r="C258" t="s">
        <v>63</v>
      </c>
      <c r="D258" s="1" t="s">
        <v>611</v>
      </c>
      <c r="E258">
        <v>6.2473999999999998</v>
      </c>
      <c r="F258">
        <v>11.78</v>
      </c>
      <c r="G258">
        <v>0.74</v>
      </c>
      <c r="H258">
        <v>5.52</v>
      </c>
      <c r="I258">
        <v>6.2473999999999998</v>
      </c>
      <c r="J258" t="s">
        <v>357</v>
      </c>
      <c r="K258" t="str">
        <f t="shared" si="11"/>
        <v>jordan3</v>
      </c>
      <c r="L258">
        <f t="shared" si="12"/>
        <v>30.470399999999994</v>
      </c>
    </row>
    <row r="259" spans="1:12" x14ac:dyDescent="0.25">
      <c r="A259">
        <v>3</v>
      </c>
      <c r="B259" t="s">
        <v>499</v>
      </c>
      <c r="C259" t="s">
        <v>63</v>
      </c>
      <c r="D259" s="1" t="s">
        <v>612</v>
      </c>
      <c r="E259">
        <v>10.3742</v>
      </c>
      <c r="F259">
        <v>16.7</v>
      </c>
      <c r="G259">
        <v>4.04</v>
      </c>
      <c r="H259">
        <v>6.33</v>
      </c>
      <c r="I259">
        <v>10.3742</v>
      </c>
      <c r="J259" t="s">
        <v>358</v>
      </c>
      <c r="K259" t="str">
        <f t="shared" ref="K259:K322" si="13">J259&amp;A259</f>
        <v>alex3</v>
      </c>
      <c r="L259">
        <f t="shared" ref="L259:L322" si="14">H259^2</f>
        <v>40.068899999999999</v>
      </c>
    </row>
    <row r="260" spans="1:12" x14ac:dyDescent="0.25">
      <c r="A260">
        <v>3</v>
      </c>
      <c r="B260" t="s">
        <v>257</v>
      </c>
      <c r="C260" t="s">
        <v>63</v>
      </c>
      <c r="D260" s="1" t="s">
        <v>613</v>
      </c>
      <c r="E260">
        <v>10.8405</v>
      </c>
      <c r="F260">
        <v>17.82</v>
      </c>
      <c r="G260">
        <v>3.86</v>
      </c>
      <c r="H260">
        <v>6.98</v>
      </c>
      <c r="I260">
        <v>10.8405</v>
      </c>
      <c r="J260" t="s">
        <v>359</v>
      </c>
      <c r="K260" t="str">
        <f t="shared" si="13"/>
        <v>colin3</v>
      </c>
      <c r="L260">
        <f t="shared" si="14"/>
        <v>48.720400000000005</v>
      </c>
    </row>
    <row r="261" spans="1:12" x14ac:dyDescent="0.25">
      <c r="A261">
        <v>3</v>
      </c>
      <c r="B261" t="s">
        <v>255</v>
      </c>
      <c r="C261" t="s">
        <v>63</v>
      </c>
      <c r="D261" s="1" t="s">
        <v>614</v>
      </c>
      <c r="E261">
        <v>10.98</v>
      </c>
      <c r="F261">
        <v>17.239999999999998</v>
      </c>
      <c r="G261">
        <v>4.76</v>
      </c>
      <c r="H261">
        <v>6.24</v>
      </c>
      <c r="I261">
        <v>10.98</v>
      </c>
      <c r="J261" t="s">
        <v>360</v>
      </c>
      <c r="K261" t="str">
        <f t="shared" si="13"/>
        <v>paul3</v>
      </c>
      <c r="L261">
        <f t="shared" si="14"/>
        <v>38.937600000000003</v>
      </c>
    </row>
    <row r="262" spans="1:12" x14ac:dyDescent="0.25">
      <c r="A262">
        <v>3</v>
      </c>
      <c r="B262" t="s">
        <v>159</v>
      </c>
      <c r="C262" t="s">
        <v>64</v>
      </c>
      <c r="D262" s="1" t="s">
        <v>615</v>
      </c>
      <c r="E262">
        <v>8.2100000000000009</v>
      </c>
      <c r="F262">
        <v>12.41</v>
      </c>
      <c r="G262">
        <v>4.05</v>
      </c>
      <c r="H262">
        <v>4.18</v>
      </c>
      <c r="I262">
        <v>8.23</v>
      </c>
      <c r="J262" t="s">
        <v>351</v>
      </c>
      <c r="K262" t="str">
        <f t="shared" si="13"/>
        <v>andrew3</v>
      </c>
      <c r="L262">
        <f t="shared" si="14"/>
        <v>17.472399999999997</v>
      </c>
    </row>
    <row r="263" spans="1:12" x14ac:dyDescent="0.25">
      <c r="A263">
        <v>3</v>
      </c>
      <c r="B263" t="s">
        <v>155</v>
      </c>
      <c r="C263" t="s">
        <v>64</v>
      </c>
      <c r="D263" s="1" t="s">
        <v>616</v>
      </c>
      <c r="E263">
        <v>8.84</v>
      </c>
      <c r="F263">
        <v>12.68</v>
      </c>
      <c r="G263">
        <v>5.0199999999999996</v>
      </c>
      <c r="H263">
        <v>3.83</v>
      </c>
      <c r="I263">
        <v>8.85</v>
      </c>
      <c r="J263" t="s">
        <v>352</v>
      </c>
      <c r="K263" t="str">
        <f t="shared" si="13"/>
        <v>jake3</v>
      </c>
      <c r="L263">
        <f t="shared" si="14"/>
        <v>14.668900000000001</v>
      </c>
    </row>
    <row r="264" spans="1:12" x14ac:dyDescent="0.25">
      <c r="A264">
        <v>3</v>
      </c>
      <c r="B264" t="s">
        <v>617</v>
      </c>
      <c r="C264" t="s">
        <v>64</v>
      </c>
      <c r="D264" s="1" t="s">
        <v>618</v>
      </c>
      <c r="E264">
        <v>8.7799999999999994</v>
      </c>
      <c r="F264">
        <v>14.03</v>
      </c>
      <c r="G264">
        <v>3.47</v>
      </c>
      <c r="H264">
        <v>5.28</v>
      </c>
      <c r="I264">
        <v>8.75</v>
      </c>
      <c r="J264" t="s">
        <v>353</v>
      </c>
      <c r="K264" t="str">
        <f t="shared" si="13"/>
        <v>breanna3</v>
      </c>
      <c r="L264">
        <f t="shared" si="14"/>
        <v>27.878400000000003</v>
      </c>
    </row>
    <row r="265" spans="1:12" x14ac:dyDescent="0.25">
      <c r="A265">
        <v>3</v>
      </c>
      <c r="B265" t="s">
        <v>376</v>
      </c>
      <c r="C265" t="s">
        <v>64</v>
      </c>
      <c r="D265" s="1" t="s">
        <v>619</v>
      </c>
      <c r="E265">
        <v>9.23</v>
      </c>
      <c r="F265">
        <v>13.87</v>
      </c>
      <c r="G265">
        <v>4.59</v>
      </c>
      <c r="H265">
        <v>4.6399999999999997</v>
      </c>
      <c r="I265">
        <v>9.23</v>
      </c>
      <c r="J265" t="s">
        <v>354</v>
      </c>
      <c r="K265" t="str">
        <f t="shared" si="13"/>
        <v>joseph3</v>
      </c>
      <c r="L265">
        <f t="shared" si="14"/>
        <v>21.529599999999999</v>
      </c>
    </row>
    <row r="266" spans="1:12" x14ac:dyDescent="0.25">
      <c r="A266">
        <v>3</v>
      </c>
      <c r="B266" t="s">
        <v>65</v>
      </c>
      <c r="C266" t="s">
        <v>64</v>
      </c>
      <c r="D266" s="1" t="s">
        <v>620</v>
      </c>
      <c r="E266">
        <v>9.4600000000000009</v>
      </c>
      <c r="F266">
        <v>14.58</v>
      </c>
      <c r="G266">
        <v>4.42</v>
      </c>
      <c r="H266">
        <v>5.08</v>
      </c>
      <c r="I266">
        <v>9.5</v>
      </c>
      <c r="J266" t="s">
        <v>355</v>
      </c>
      <c r="K266" t="str">
        <f t="shared" si="13"/>
        <v>alyssa3</v>
      </c>
      <c r="L266">
        <f t="shared" si="14"/>
        <v>25.8064</v>
      </c>
    </row>
    <row r="267" spans="1:12" x14ac:dyDescent="0.25">
      <c r="A267">
        <v>3</v>
      </c>
      <c r="B267" t="s">
        <v>67</v>
      </c>
      <c r="C267" t="s">
        <v>64</v>
      </c>
      <c r="D267" s="1" t="s">
        <v>621</v>
      </c>
      <c r="E267">
        <v>9.41</v>
      </c>
      <c r="F267">
        <v>14.86</v>
      </c>
      <c r="G267">
        <v>3.96</v>
      </c>
      <c r="H267">
        <v>5.45</v>
      </c>
      <c r="I267">
        <v>9.41</v>
      </c>
      <c r="J267" t="s">
        <v>356</v>
      </c>
      <c r="K267" t="str">
        <f t="shared" si="13"/>
        <v>chris3</v>
      </c>
      <c r="L267">
        <f t="shared" si="14"/>
        <v>29.702500000000001</v>
      </c>
    </row>
    <row r="268" spans="1:12" x14ac:dyDescent="0.25">
      <c r="A268">
        <v>3</v>
      </c>
      <c r="B268" t="s">
        <v>66</v>
      </c>
      <c r="C268" t="s">
        <v>64</v>
      </c>
      <c r="D268" s="1" t="s">
        <v>622</v>
      </c>
      <c r="E268">
        <v>9.49</v>
      </c>
      <c r="F268">
        <v>13.69</v>
      </c>
      <c r="G268">
        <v>5.33</v>
      </c>
      <c r="H268">
        <v>4.18</v>
      </c>
      <c r="I268">
        <v>9.51</v>
      </c>
      <c r="J268" t="s">
        <v>357</v>
      </c>
      <c r="K268" t="str">
        <f t="shared" si="13"/>
        <v>jordan3</v>
      </c>
      <c r="L268">
        <f t="shared" si="14"/>
        <v>17.472399999999997</v>
      </c>
    </row>
    <row r="269" spans="1:12" x14ac:dyDescent="0.25">
      <c r="A269">
        <v>3</v>
      </c>
      <c r="B269" t="s">
        <v>378</v>
      </c>
      <c r="C269" t="s">
        <v>64</v>
      </c>
      <c r="D269" s="1" t="s">
        <v>623</v>
      </c>
      <c r="E269">
        <v>7.76</v>
      </c>
      <c r="F269">
        <v>13.17</v>
      </c>
      <c r="G269">
        <v>2.35</v>
      </c>
      <c r="H269">
        <v>5.41</v>
      </c>
      <c r="I269">
        <v>7.76</v>
      </c>
      <c r="J269" t="s">
        <v>358</v>
      </c>
      <c r="K269" t="str">
        <f t="shared" si="13"/>
        <v>alex3</v>
      </c>
      <c r="L269">
        <f t="shared" si="14"/>
        <v>29.2681</v>
      </c>
    </row>
    <row r="270" spans="1:12" x14ac:dyDescent="0.25">
      <c r="A270">
        <v>3</v>
      </c>
      <c r="B270" t="s">
        <v>261</v>
      </c>
      <c r="C270" t="s">
        <v>64</v>
      </c>
      <c r="D270" s="1" t="s">
        <v>618</v>
      </c>
      <c r="E270">
        <v>8.7799999999999994</v>
      </c>
      <c r="F270">
        <v>14.03</v>
      </c>
      <c r="G270">
        <v>3.47</v>
      </c>
      <c r="H270">
        <v>5.28</v>
      </c>
      <c r="I270">
        <v>8.75</v>
      </c>
      <c r="J270" t="s">
        <v>359</v>
      </c>
      <c r="K270" t="str">
        <f t="shared" si="13"/>
        <v>colin3</v>
      </c>
      <c r="L270">
        <f t="shared" si="14"/>
        <v>27.878400000000003</v>
      </c>
    </row>
    <row r="271" spans="1:12" x14ac:dyDescent="0.25">
      <c r="A271">
        <v>3</v>
      </c>
      <c r="B271" t="s">
        <v>167</v>
      </c>
      <c r="C271" t="s">
        <v>64</v>
      </c>
      <c r="D271" s="1" t="s">
        <v>624</v>
      </c>
      <c r="E271">
        <v>8.8800000000000008</v>
      </c>
      <c r="F271">
        <v>12.41</v>
      </c>
      <c r="G271">
        <v>5.27</v>
      </c>
      <c r="H271">
        <v>3.57</v>
      </c>
      <c r="I271">
        <v>8.84</v>
      </c>
      <c r="J271" t="s">
        <v>360</v>
      </c>
      <c r="K271" t="str">
        <f t="shared" si="13"/>
        <v>paul3</v>
      </c>
      <c r="L271">
        <f t="shared" si="14"/>
        <v>12.744899999999999</v>
      </c>
    </row>
    <row r="272" spans="1:12" x14ac:dyDescent="0.25">
      <c r="A272">
        <v>4</v>
      </c>
      <c r="B272" t="s">
        <v>68</v>
      </c>
      <c r="C272" t="s">
        <v>10</v>
      </c>
      <c r="D272" s="1" t="s">
        <v>625</v>
      </c>
      <c r="E272">
        <v>13.79</v>
      </c>
      <c r="F272">
        <v>18.690000000000001</v>
      </c>
      <c r="G272">
        <v>6.45</v>
      </c>
      <c r="H272">
        <v>6.12</v>
      </c>
      <c r="I272">
        <v>12.57</v>
      </c>
      <c r="J272" t="s">
        <v>351</v>
      </c>
      <c r="K272" t="str">
        <f t="shared" si="13"/>
        <v>andrew4</v>
      </c>
      <c r="L272">
        <f t="shared" si="14"/>
        <v>37.4544</v>
      </c>
    </row>
    <row r="273" spans="1:12" x14ac:dyDescent="0.25">
      <c r="A273">
        <v>4</v>
      </c>
      <c r="B273" t="s">
        <v>30</v>
      </c>
      <c r="C273" t="s">
        <v>10</v>
      </c>
      <c r="D273" s="1" t="s">
        <v>626</v>
      </c>
      <c r="E273">
        <v>13.11</v>
      </c>
      <c r="F273">
        <v>17.21</v>
      </c>
      <c r="G273">
        <v>6.01</v>
      </c>
      <c r="H273">
        <v>5.6</v>
      </c>
      <c r="I273">
        <v>11.61</v>
      </c>
      <c r="J273" t="s">
        <v>351</v>
      </c>
      <c r="K273" t="str">
        <f t="shared" si="13"/>
        <v>andrew4</v>
      </c>
      <c r="L273">
        <f t="shared" si="14"/>
        <v>31.359999999999996</v>
      </c>
    </row>
    <row r="274" spans="1:12" x14ac:dyDescent="0.25">
      <c r="A274">
        <v>4</v>
      </c>
      <c r="B274" t="s">
        <v>181</v>
      </c>
      <c r="C274" t="s">
        <v>10</v>
      </c>
      <c r="D274" s="1" t="s">
        <v>627</v>
      </c>
      <c r="E274">
        <v>13.18</v>
      </c>
      <c r="F274">
        <v>16.68</v>
      </c>
      <c r="G274">
        <v>5.04</v>
      </c>
      <c r="H274">
        <v>5.82</v>
      </c>
      <c r="I274">
        <v>10.86</v>
      </c>
      <c r="J274" t="s">
        <v>352</v>
      </c>
      <c r="K274" t="str">
        <f t="shared" si="13"/>
        <v>jake4</v>
      </c>
      <c r="L274">
        <f t="shared" si="14"/>
        <v>33.872400000000006</v>
      </c>
    </row>
    <row r="275" spans="1:12" x14ac:dyDescent="0.25">
      <c r="A275">
        <v>4</v>
      </c>
      <c r="B275" t="s">
        <v>9</v>
      </c>
      <c r="C275" t="s">
        <v>10</v>
      </c>
      <c r="D275" s="1" t="s">
        <v>628</v>
      </c>
      <c r="E275">
        <v>6.26</v>
      </c>
      <c r="F275">
        <v>9.85</v>
      </c>
      <c r="G275">
        <v>1.49</v>
      </c>
      <c r="H275">
        <v>4.18</v>
      </c>
      <c r="I275">
        <v>5.67</v>
      </c>
      <c r="J275" t="s">
        <v>352</v>
      </c>
      <c r="K275" t="str">
        <f t="shared" si="13"/>
        <v>jake4</v>
      </c>
      <c r="L275">
        <f t="shared" si="14"/>
        <v>17.472399999999997</v>
      </c>
    </row>
    <row r="276" spans="1:12" x14ac:dyDescent="0.25">
      <c r="A276">
        <v>4</v>
      </c>
      <c r="B276" t="s">
        <v>27</v>
      </c>
      <c r="C276" t="s">
        <v>10</v>
      </c>
      <c r="D276" s="1" t="s">
        <v>629</v>
      </c>
      <c r="E276">
        <v>18.29</v>
      </c>
      <c r="F276">
        <v>22.75</v>
      </c>
      <c r="G276">
        <v>8.8699999999999992</v>
      </c>
      <c r="H276">
        <v>6.94</v>
      </c>
      <c r="I276">
        <v>15.81</v>
      </c>
      <c r="J276" t="s">
        <v>353</v>
      </c>
      <c r="K276" t="str">
        <f t="shared" si="13"/>
        <v>breanna4</v>
      </c>
      <c r="L276">
        <f t="shared" si="14"/>
        <v>48.163600000000002</v>
      </c>
    </row>
    <row r="277" spans="1:12" x14ac:dyDescent="0.25">
      <c r="A277">
        <v>4</v>
      </c>
      <c r="B277" t="s">
        <v>219</v>
      </c>
      <c r="C277" t="s">
        <v>10</v>
      </c>
      <c r="D277" s="1" t="s">
        <v>630</v>
      </c>
      <c r="E277">
        <v>16.23</v>
      </c>
      <c r="F277">
        <v>20.86</v>
      </c>
      <c r="G277">
        <v>8.7799999999999994</v>
      </c>
      <c r="H277">
        <v>6.04</v>
      </c>
      <c r="I277">
        <v>14.82</v>
      </c>
      <c r="J277" t="s">
        <v>353</v>
      </c>
      <c r="K277" t="str">
        <f t="shared" si="13"/>
        <v>breanna4</v>
      </c>
      <c r="L277">
        <f t="shared" si="14"/>
        <v>36.4816</v>
      </c>
    </row>
    <row r="278" spans="1:12" x14ac:dyDescent="0.25">
      <c r="A278">
        <v>4</v>
      </c>
      <c r="B278" t="s">
        <v>22</v>
      </c>
      <c r="C278" t="s">
        <v>10</v>
      </c>
      <c r="D278" s="1" t="s">
        <v>631</v>
      </c>
      <c r="E278">
        <v>8.32</v>
      </c>
      <c r="F278">
        <v>12.63</v>
      </c>
      <c r="G278">
        <v>1.33</v>
      </c>
      <c r="H278">
        <v>5.65</v>
      </c>
      <c r="I278">
        <v>6.98</v>
      </c>
      <c r="J278" t="s">
        <v>353</v>
      </c>
      <c r="K278" t="str">
        <f t="shared" si="13"/>
        <v>breanna4</v>
      </c>
      <c r="L278">
        <f t="shared" si="14"/>
        <v>31.922500000000003</v>
      </c>
    </row>
    <row r="279" spans="1:12" x14ac:dyDescent="0.25">
      <c r="A279">
        <v>4</v>
      </c>
      <c r="B279" t="s">
        <v>216</v>
      </c>
      <c r="C279" t="s">
        <v>10</v>
      </c>
      <c r="D279" s="1" t="s">
        <v>632</v>
      </c>
      <c r="E279">
        <v>15.42</v>
      </c>
      <c r="F279">
        <v>21.17</v>
      </c>
      <c r="G279">
        <v>5.19</v>
      </c>
      <c r="H279">
        <v>7.99</v>
      </c>
      <c r="I279">
        <v>13.18</v>
      </c>
      <c r="J279" t="s">
        <v>354</v>
      </c>
      <c r="K279" t="str">
        <f t="shared" si="13"/>
        <v>joseph4</v>
      </c>
      <c r="L279">
        <f t="shared" si="14"/>
        <v>63.840100000000007</v>
      </c>
    </row>
    <row r="280" spans="1:12" x14ac:dyDescent="0.25">
      <c r="A280">
        <v>4</v>
      </c>
      <c r="B280" t="s">
        <v>77</v>
      </c>
      <c r="C280" t="s">
        <v>10</v>
      </c>
      <c r="D280" s="1" t="s">
        <v>633</v>
      </c>
      <c r="E280">
        <v>13.3</v>
      </c>
      <c r="F280">
        <v>19.64</v>
      </c>
      <c r="G280">
        <v>3.88</v>
      </c>
      <c r="H280">
        <v>7.88</v>
      </c>
      <c r="I280">
        <v>11.76</v>
      </c>
      <c r="J280" t="s">
        <v>354</v>
      </c>
      <c r="K280" t="str">
        <f t="shared" si="13"/>
        <v>joseph4</v>
      </c>
      <c r="L280">
        <f t="shared" si="14"/>
        <v>62.0944</v>
      </c>
    </row>
    <row r="281" spans="1:12" x14ac:dyDescent="0.25">
      <c r="A281">
        <v>4</v>
      </c>
      <c r="B281" t="s">
        <v>74</v>
      </c>
      <c r="C281" t="s">
        <v>10</v>
      </c>
      <c r="D281" s="1" t="s">
        <v>634</v>
      </c>
      <c r="E281">
        <v>11.93</v>
      </c>
      <c r="F281">
        <v>19.079999999999998</v>
      </c>
      <c r="G281">
        <v>2.48</v>
      </c>
      <c r="H281">
        <v>8.3000000000000007</v>
      </c>
      <c r="I281">
        <v>10.78</v>
      </c>
      <c r="J281" t="s">
        <v>354</v>
      </c>
      <c r="K281" t="str">
        <f t="shared" si="13"/>
        <v>joseph4</v>
      </c>
      <c r="L281">
        <f t="shared" si="14"/>
        <v>68.890000000000015</v>
      </c>
    </row>
    <row r="282" spans="1:12" x14ac:dyDescent="0.25">
      <c r="A282">
        <v>4</v>
      </c>
      <c r="B282" t="s">
        <v>75</v>
      </c>
      <c r="C282" t="s">
        <v>10</v>
      </c>
      <c r="D282" s="1" t="s">
        <v>635</v>
      </c>
      <c r="E282">
        <v>22.86</v>
      </c>
      <c r="F282">
        <v>33</v>
      </c>
      <c r="G282">
        <v>9.84</v>
      </c>
      <c r="H282">
        <v>11.58</v>
      </c>
      <c r="I282">
        <v>21.42</v>
      </c>
      <c r="J282" t="s">
        <v>355</v>
      </c>
      <c r="K282" t="str">
        <f t="shared" si="13"/>
        <v>alyssa4</v>
      </c>
      <c r="L282">
        <f t="shared" si="14"/>
        <v>134.09639999999999</v>
      </c>
    </row>
    <row r="283" spans="1:12" x14ac:dyDescent="0.25">
      <c r="A283">
        <v>4</v>
      </c>
      <c r="B283" t="s">
        <v>202</v>
      </c>
      <c r="C283" t="s">
        <v>10</v>
      </c>
      <c r="D283" s="1" t="s">
        <v>636</v>
      </c>
      <c r="E283">
        <v>9.4700000000000006</v>
      </c>
      <c r="F283">
        <v>13.84</v>
      </c>
      <c r="G283">
        <v>2.2999999999999998</v>
      </c>
      <c r="H283">
        <v>5.77</v>
      </c>
      <c r="I283">
        <v>8.07</v>
      </c>
      <c r="J283" t="s">
        <v>355</v>
      </c>
      <c r="K283" t="str">
        <f t="shared" si="13"/>
        <v>alyssa4</v>
      </c>
      <c r="L283">
        <f t="shared" si="14"/>
        <v>33.292899999999996</v>
      </c>
    </row>
    <row r="284" spans="1:12" x14ac:dyDescent="0.25">
      <c r="A284">
        <v>4</v>
      </c>
      <c r="B284" t="s">
        <v>160</v>
      </c>
      <c r="C284" t="s">
        <v>10</v>
      </c>
      <c r="D284" s="1" t="s">
        <v>637</v>
      </c>
      <c r="E284">
        <v>12.66</v>
      </c>
      <c r="F284">
        <v>14.71</v>
      </c>
      <c r="G284">
        <v>6.05</v>
      </c>
      <c r="H284">
        <v>4.33</v>
      </c>
      <c r="I284">
        <v>10.38</v>
      </c>
      <c r="J284" t="s">
        <v>356</v>
      </c>
      <c r="K284" t="str">
        <f t="shared" si="13"/>
        <v>chris4</v>
      </c>
      <c r="L284">
        <f t="shared" si="14"/>
        <v>18.748899999999999</v>
      </c>
    </row>
    <row r="285" spans="1:12" x14ac:dyDescent="0.25">
      <c r="A285">
        <v>4</v>
      </c>
      <c r="B285" t="s">
        <v>25</v>
      </c>
      <c r="C285" t="s">
        <v>10</v>
      </c>
      <c r="D285" s="1" t="s">
        <v>638</v>
      </c>
      <c r="E285">
        <v>9.11</v>
      </c>
      <c r="F285">
        <v>12.25</v>
      </c>
      <c r="G285">
        <v>3.99</v>
      </c>
      <c r="H285">
        <v>4.13</v>
      </c>
      <c r="I285">
        <v>8.1199999999999992</v>
      </c>
      <c r="J285" t="s">
        <v>356</v>
      </c>
      <c r="K285" t="str">
        <f t="shared" si="13"/>
        <v>chris4</v>
      </c>
      <c r="L285">
        <f t="shared" si="14"/>
        <v>17.056899999999999</v>
      </c>
    </row>
    <row r="286" spans="1:12" x14ac:dyDescent="0.25">
      <c r="A286">
        <v>4</v>
      </c>
      <c r="B286" t="s">
        <v>158</v>
      </c>
      <c r="C286" t="s">
        <v>10</v>
      </c>
      <c r="D286" s="1" t="s">
        <v>639</v>
      </c>
      <c r="E286">
        <v>20.11</v>
      </c>
      <c r="F286">
        <v>27.47</v>
      </c>
      <c r="G286">
        <v>8.5500000000000007</v>
      </c>
      <c r="H286">
        <v>9.4600000000000009</v>
      </c>
      <c r="I286">
        <v>18.010000000000002</v>
      </c>
      <c r="J286" t="s">
        <v>357</v>
      </c>
      <c r="K286" t="str">
        <f t="shared" si="13"/>
        <v>jordan4</v>
      </c>
      <c r="L286">
        <f t="shared" si="14"/>
        <v>89.49160000000002</v>
      </c>
    </row>
    <row r="287" spans="1:12" x14ac:dyDescent="0.25">
      <c r="A287">
        <v>4</v>
      </c>
      <c r="B287" t="s">
        <v>157</v>
      </c>
      <c r="C287" t="s">
        <v>10</v>
      </c>
      <c r="D287" s="1" t="s">
        <v>640</v>
      </c>
      <c r="E287">
        <v>9.9700000000000006</v>
      </c>
      <c r="F287">
        <v>17.37</v>
      </c>
      <c r="G287">
        <v>1.69</v>
      </c>
      <c r="H287">
        <v>7.84</v>
      </c>
      <c r="I287">
        <v>9.5299999999999994</v>
      </c>
      <c r="J287" t="s">
        <v>357</v>
      </c>
      <c r="K287" t="str">
        <f t="shared" si="13"/>
        <v>jordan4</v>
      </c>
      <c r="L287">
        <f t="shared" si="14"/>
        <v>61.465599999999995</v>
      </c>
    </row>
    <row r="288" spans="1:12" x14ac:dyDescent="0.25">
      <c r="A288">
        <v>4</v>
      </c>
      <c r="B288" t="s">
        <v>282</v>
      </c>
      <c r="C288" t="s">
        <v>10</v>
      </c>
      <c r="D288" s="1" t="s">
        <v>641</v>
      </c>
      <c r="E288">
        <v>10.119999999999999</v>
      </c>
      <c r="F288">
        <v>15.14</v>
      </c>
      <c r="G288">
        <v>2.04</v>
      </c>
      <c r="H288">
        <v>6.55</v>
      </c>
      <c r="I288">
        <v>8.59</v>
      </c>
      <c r="J288" t="s">
        <v>357</v>
      </c>
      <c r="K288" t="str">
        <f t="shared" si="13"/>
        <v>jordan4</v>
      </c>
      <c r="L288">
        <f t="shared" si="14"/>
        <v>42.902499999999996</v>
      </c>
    </row>
    <row r="289" spans="1:12" x14ac:dyDescent="0.25">
      <c r="A289">
        <v>4</v>
      </c>
      <c r="B289" t="s">
        <v>12</v>
      </c>
      <c r="C289" t="s">
        <v>10</v>
      </c>
      <c r="D289" s="1" t="s">
        <v>642</v>
      </c>
      <c r="E289">
        <v>14.92</v>
      </c>
      <c r="F289">
        <v>20.399999999999999</v>
      </c>
      <c r="G289">
        <v>6.62</v>
      </c>
      <c r="H289">
        <v>6.89</v>
      </c>
      <c r="I289">
        <v>13.51</v>
      </c>
      <c r="J289" t="s">
        <v>358</v>
      </c>
      <c r="K289" t="str">
        <f t="shared" si="13"/>
        <v>alex4</v>
      </c>
      <c r="L289">
        <f t="shared" si="14"/>
        <v>47.472099999999998</v>
      </c>
    </row>
    <row r="290" spans="1:12" x14ac:dyDescent="0.25">
      <c r="A290">
        <v>4</v>
      </c>
      <c r="B290" t="s">
        <v>14</v>
      </c>
      <c r="C290" t="s">
        <v>10</v>
      </c>
      <c r="D290" s="1" t="s">
        <v>643</v>
      </c>
      <c r="E290">
        <v>14.81</v>
      </c>
      <c r="F290">
        <v>20.39</v>
      </c>
      <c r="G290">
        <v>6.23</v>
      </c>
      <c r="H290">
        <v>7.08</v>
      </c>
      <c r="I290">
        <v>13.31</v>
      </c>
      <c r="J290" t="s">
        <v>358</v>
      </c>
      <c r="K290" t="str">
        <f t="shared" si="13"/>
        <v>alex4</v>
      </c>
      <c r="L290">
        <f t="shared" si="14"/>
        <v>50.126400000000004</v>
      </c>
    </row>
    <row r="291" spans="1:12" x14ac:dyDescent="0.25">
      <c r="A291">
        <v>4</v>
      </c>
      <c r="B291" t="s">
        <v>152</v>
      </c>
      <c r="C291" t="s">
        <v>10</v>
      </c>
      <c r="D291" s="1" t="s">
        <v>644</v>
      </c>
      <c r="E291">
        <v>19.37</v>
      </c>
      <c r="F291">
        <v>25.24</v>
      </c>
      <c r="G291">
        <v>7.94</v>
      </c>
      <c r="H291">
        <v>8.65</v>
      </c>
      <c r="I291">
        <v>16.59</v>
      </c>
      <c r="J291" t="s">
        <v>359</v>
      </c>
      <c r="K291" t="str">
        <f t="shared" si="13"/>
        <v>colin4</v>
      </c>
      <c r="L291">
        <f t="shared" si="14"/>
        <v>74.822500000000005</v>
      </c>
    </row>
    <row r="292" spans="1:12" x14ac:dyDescent="0.25">
      <c r="A292">
        <v>4</v>
      </c>
      <c r="B292" t="s">
        <v>265</v>
      </c>
      <c r="C292" t="s">
        <v>10</v>
      </c>
      <c r="D292" s="1" t="s">
        <v>645</v>
      </c>
      <c r="E292">
        <v>10.09</v>
      </c>
      <c r="F292">
        <v>14.38</v>
      </c>
      <c r="G292">
        <v>2.3199999999999998</v>
      </c>
      <c r="H292">
        <v>6.03</v>
      </c>
      <c r="I292">
        <v>8.35</v>
      </c>
      <c r="J292" t="s">
        <v>359</v>
      </c>
      <c r="K292" t="str">
        <f t="shared" si="13"/>
        <v>colin4</v>
      </c>
      <c r="L292">
        <f t="shared" si="14"/>
        <v>36.360900000000001</v>
      </c>
    </row>
    <row r="293" spans="1:12" x14ac:dyDescent="0.25">
      <c r="A293">
        <v>4</v>
      </c>
      <c r="B293" t="s">
        <v>13</v>
      </c>
      <c r="C293" t="s">
        <v>10</v>
      </c>
      <c r="D293" s="1" t="s">
        <v>646</v>
      </c>
      <c r="E293">
        <v>12.09</v>
      </c>
      <c r="F293">
        <v>16.149999999999999</v>
      </c>
      <c r="G293">
        <v>4.79</v>
      </c>
      <c r="H293">
        <v>5.68</v>
      </c>
      <c r="I293">
        <v>10.47</v>
      </c>
      <c r="J293" t="s">
        <v>360</v>
      </c>
      <c r="K293" t="str">
        <f t="shared" si="13"/>
        <v>paul4</v>
      </c>
      <c r="L293">
        <f t="shared" si="14"/>
        <v>32.2624</v>
      </c>
    </row>
    <row r="294" spans="1:12" x14ac:dyDescent="0.25">
      <c r="A294">
        <v>4</v>
      </c>
      <c r="B294" t="s">
        <v>115</v>
      </c>
      <c r="C294" t="s">
        <v>10</v>
      </c>
      <c r="D294" s="1" t="s">
        <v>647</v>
      </c>
      <c r="E294">
        <v>11.83</v>
      </c>
      <c r="F294">
        <v>15.9</v>
      </c>
      <c r="G294">
        <v>4.82</v>
      </c>
      <c r="H294">
        <v>5.54</v>
      </c>
      <c r="I294">
        <v>10.36</v>
      </c>
      <c r="J294" t="s">
        <v>360</v>
      </c>
      <c r="K294" t="str">
        <f t="shared" si="13"/>
        <v>paul4</v>
      </c>
      <c r="L294">
        <f t="shared" si="14"/>
        <v>30.691600000000001</v>
      </c>
    </row>
    <row r="295" spans="1:12" x14ac:dyDescent="0.25">
      <c r="A295">
        <v>4</v>
      </c>
      <c r="B295" t="s">
        <v>186</v>
      </c>
      <c r="C295" t="s">
        <v>10</v>
      </c>
      <c r="D295" s="1" t="s">
        <v>648</v>
      </c>
      <c r="E295">
        <v>11.51</v>
      </c>
      <c r="F295">
        <v>17.72</v>
      </c>
      <c r="G295">
        <v>2.2999999999999998</v>
      </c>
      <c r="H295">
        <v>7.71</v>
      </c>
      <c r="I295">
        <v>10.01</v>
      </c>
      <c r="J295" t="s">
        <v>360</v>
      </c>
      <c r="K295" t="str">
        <f t="shared" si="13"/>
        <v>paul4</v>
      </c>
      <c r="L295">
        <f t="shared" si="14"/>
        <v>59.444099999999999</v>
      </c>
    </row>
    <row r="296" spans="1:12" x14ac:dyDescent="0.25">
      <c r="A296">
        <v>4</v>
      </c>
      <c r="B296" t="s">
        <v>41</v>
      </c>
      <c r="C296" t="s">
        <v>32</v>
      </c>
      <c r="D296" s="1" t="s">
        <v>649</v>
      </c>
      <c r="E296">
        <v>18.59</v>
      </c>
      <c r="F296">
        <v>23.71</v>
      </c>
      <c r="G296">
        <v>6.45</v>
      </c>
      <c r="H296">
        <v>8.6300000000000008</v>
      </c>
      <c r="I296">
        <v>15.08</v>
      </c>
      <c r="J296" t="s">
        <v>351</v>
      </c>
      <c r="K296" t="str">
        <f t="shared" si="13"/>
        <v>andrew4</v>
      </c>
      <c r="L296">
        <f t="shared" si="14"/>
        <v>74.476900000000015</v>
      </c>
    </row>
    <row r="297" spans="1:12" x14ac:dyDescent="0.25">
      <c r="A297">
        <v>4</v>
      </c>
      <c r="B297" t="s">
        <v>72</v>
      </c>
      <c r="C297" t="s">
        <v>32</v>
      </c>
      <c r="D297" s="1" t="s">
        <v>650</v>
      </c>
      <c r="E297">
        <v>13.46</v>
      </c>
      <c r="F297">
        <v>17.71</v>
      </c>
      <c r="G297">
        <v>3.71</v>
      </c>
      <c r="H297">
        <v>7</v>
      </c>
      <c r="I297">
        <v>10.71</v>
      </c>
      <c r="J297" t="s">
        <v>351</v>
      </c>
      <c r="K297" t="str">
        <f t="shared" si="13"/>
        <v>andrew4</v>
      </c>
      <c r="L297">
        <f t="shared" si="14"/>
        <v>49</v>
      </c>
    </row>
    <row r="298" spans="1:12" x14ac:dyDescent="0.25">
      <c r="A298">
        <v>4</v>
      </c>
      <c r="B298" t="s">
        <v>37</v>
      </c>
      <c r="C298" t="s">
        <v>32</v>
      </c>
      <c r="D298" s="1" t="s">
        <v>651</v>
      </c>
      <c r="E298">
        <v>11.33</v>
      </c>
      <c r="F298">
        <v>16.399999999999999</v>
      </c>
      <c r="G298">
        <v>1.96</v>
      </c>
      <c r="H298">
        <v>7.22</v>
      </c>
      <c r="I298">
        <v>9.18</v>
      </c>
      <c r="J298" t="s">
        <v>351</v>
      </c>
      <c r="K298" t="str">
        <f t="shared" si="13"/>
        <v>andrew4</v>
      </c>
      <c r="L298">
        <f t="shared" si="14"/>
        <v>52.128399999999999</v>
      </c>
    </row>
    <row r="299" spans="1:12" x14ac:dyDescent="0.25">
      <c r="A299">
        <v>4</v>
      </c>
      <c r="B299" t="s">
        <v>33</v>
      </c>
      <c r="C299" t="s">
        <v>32</v>
      </c>
      <c r="D299" s="1" t="s">
        <v>652</v>
      </c>
      <c r="E299">
        <v>18.760000000000002</v>
      </c>
      <c r="F299">
        <v>24.33</v>
      </c>
      <c r="G299">
        <v>6.49</v>
      </c>
      <c r="H299">
        <v>8.92</v>
      </c>
      <c r="I299">
        <v>15.41</v>
      </c>
      <c r="J299" t="s">
        <v>352</v>
      </c>
      <c r="K299" t="str">
        <f t="shared" si="13"/>
        <v>jake4</v>
      </c>
      <c r="L299">
        <f t="shared" si="14"/>
        <v>79.566400000000002</v>
      </c>
    </row>
    <row r="300" spans="1:12" x14ac:dyDescent="0.25">
      <c r="A300">
        <v>4</v>
      </c>
      <c r="B300" t="s">
        <v>39</v>
      </c>
      <c r="C300" t="s">
        <v>32</v>
      </c>
      <c r="D300" s="1" t="s">
        <v>653</v>
      </c>
      <c r="E300">
        <v>13.61</v>
      </c>
      <c r="F300">
        <v>17.38</v>
      </c>
      <c r="G300">
        <v>3.68</v>
      </c>
      <c r="H300">
        <v>6.85</v>
      </c>
      <c r="I300">
        <v>10.53</v>
      </c>
      <c r="J300" t="s">
        <v>352</v>
      </c>
      <c r="K300" t="str">
        <f t="shared" si="13"/>
        <v>jake4</v>
      </c>
      <c r="L300">
        <f t="shared" si="14"/>
        <v>46.922499999999992</v>
      </c>
    </row>
    <row r="301" spans="1:12" x14ac:dyDescent="0.25">
      <c r="A301">
        <v>4</v>
      </c>
      <c r="B301" t="s">
        <v>45</v>
      </c>
      <c r="C301" t="s">
        <v>32</v>
      </c>
      <c r="D301" s="1" t="s">
        <v>654</v>
      </c>
      <c r="E301">
        <v>12.44</v>
      </c>
      <c r="F301">
        <v>13.93</v>
      </c>
      <c r="G301">
        <v>4.3099999999999996</v>
      </c>
      <c r="H301">
        <v>4.8099999999999996</v>
      </c>
      <c r="I301">
        <v>9.1199999999999992</v>
      </c>
      <c r="J301" t="s">
        <v>352</v>
      </c>
      <c r="K301" t="str">
        <f t="shared" si="13"/>
        <v>jake4</v>
      </c>
      <c r="L301">
        <f t="shared" si="14"/>
        <v>23.136099999999995</v>
      </c>
    </row>
    <row r="302" spans="1:12" x14ac:dyDescent="0.25">
      <c r="A302">
        <v>4</v>
      </c>
      <c r="B302" t="s">
        <v>48</v>
      </c>
      <c r="C302" t="s">
        <v>32</v>
      </c>
      <c r="D302" s="1" t="s">
        <v>655</v>
      </c>
      <c r="E302">
        <v>12.51</v>
      </c>
      <c r="F302">
        <v>16.63</v>
      </c>
      <c r="G302">
        <v>4.03</v>
      </c>
      <c r="H302">
        <v>6.3</v>
      </c>
      <c r="I302">
        <v>10.33</v>
      </c>
      <c r="J302" t="s">
        <v>353</v>
      </c>
      <c r="K302" t="str">
        <f t="shared" si="13"/>
        <v>breanna4</v>
      </c>
      <c r="L302">
        <f t="shared" si="14"/>
        <v>39.69</v>
      </c>
    </row>
    <row r="303" spans="1:12" x14ac:dyDescent="0.25">
      <c r="A303">
        <v>4</v>
      </c>
      <c r="B303" t="s">
        <v>165</v>
      </c>
      <c r="C303" t="s">
        <v>32</v>
      </c>
      <c r="D303" s="1" t="s">
        <v>656</v>
      </c>
      <c r="E303">
        <v>10.35</v>
      </c>
      <c r="F303">
        <v>13.31</v>
      </c>
      <c r="G303">
        <v>3.25</v>
      </c>
      <c r="H303">
        <v>5.03</v>
      </c>
      <c r="I303">
        <v>8.2799999999999994</v>
      </c>
      <c r="J303" t="s">
        <v>353</v>
      </c>
      <c r="K303" t="str">
        <f t="shared" si="13"/>
        <v>breanna4</v>
      </c>
      <c r="L303">
        <f t="shared" si="14"/>
        <v>25.300900000000002</v>
      </c>
    </row>
    <row r="304" spans="1:12" x14ac:dyDescent="0.25">
      <c r="A304">
        <v>4</v>
      </c>
      <c r="B304" t="s">
        <v>42</v>
      </c>
      <c r="C304" t="s">
        <v>32</v>
      </c>
      <c r="D304" s="1" t="s">
        <v>657</v>
      </c>
      <c r="E304">
        <v>18.18</v>
      </c>
      <c r="F304">
        <v>22.64</v>
      </c>
      <c r="G304">
        <v>6.8</v>
      </c>
      <c r="H304">
        <v>7.92</v>
      </c>
      <c r="I304">
        <v>14.72</v>
      </c>
      <c r="J304" t="s">
        <v>354</v>
      </c>
      <c r="K304" t="str">
        <f t="shared" si="13"/>
        <v>joseph4</v>
      </c>
      <c r="L304">
        <f t="shared" si="14"/>
        <v>62.726399999999998</v>
      </c>
    </row>
    <row r="305" spans="1:12" x14ac:dyDescent="0.25">
      <c r="A305">
        <v>4</v>
      </c>
      <c r="B305" t="s">
        <v>40</v>
      </c>
      <c r="C305" t="s">
        <v>32</v>
      </c>
      <c r="D305" s="1" t="s">
        <v>658</v>
      </c>
      <c r="E305">
        <v>14.17</v>
      </c>
      <c r="F305">
        <v>18.45</v>
      </c>
      <c r="G305">
        <v>4.3099999999999996</v>
      </c>
      <c r="H305">
        <v>7.07</v>
      </c>
      <c r="I305">
        <v>11.38</v>
      </c>
      <c r="J305" t="s">
        <v>354</v>
      </c>
      <c r="K305" t="str">
        <f t="shared" si="13"/>
        <v>joseph4</v>
      </c>
      <c r="L305">
        <f t="shared" si="14"/>
        <v>49.984900000000003</v>
      </c>
    </row>
    <row r="306" spans="1:12" x14ac:dyDescent="0.25">
      <c r="A306">
        <v>4</v>
      </c>
      <c r="B306" t="s">
        <v>69</v>
      </c>
      <c r="C306" t="s">
        <v>32</v>
      </c>
      <c r="D306" s="1" t="s">
        <v>659</v>
      </c>
      <c r="E306">
        <v>16.79</v>
      </c>
      <c r="F306">
        <v>20.2</v>
      </c>
      <c r="G306">
        <v>6.2</v>
      </c>
      <c r="H306">
        <v>7</v>
      </c>
      <c r="I306">
        <v>13.2</v>
      </c>
      <c r="J306" t="s">
        <v>355</v>
      </c>
      <c r="K306" t="str">
        <f t="shared" si="13"/>
        <v>alyssa4</v>
      </c>
      <c r="L306">
        <f t="shared" si="14"/>
        <v>49</v>
      </c>
    </row>
    <row r="307" spans="1:12" x14ac:dyDescent="0.25">
      <c r="A307">
        <v>4</v>
      </c>
      <c r="B307" t="s">
        <v>71</v>
      </c>
      <c r="C307" t="s">
        <v>32</v>
      </c>
      <c r="D307" s="1" t="s">
        <v>660</v>
      </c>
      <c r="E307">
        <v>13.1</v>
      </c>
      <c r="F307">
        <v>16.46</v>
      </c>
      <c r="G307">
        <v>4.34</v>
      </c>
      <c r="H307">
        <v>6.06</v>
      </c>
      <c r="I307">
        <v>10.4</v>
      </c>
      <c r="J307" t="s">
        <v>355</v>
      </c>
      <c r="K307" t="str">
        <f t="shared" si="13"/>
        <v>alyssa4</v>
      </c>
      <c r="L307">
        <f t="shared" si="14"/>
        <v>36.723599999999998</v>
      </c>
    </row>
    <row r="308" spans="1:12" x14ac:dyDescent="0.25">
      <c r="A308">
        <v>4</v>
      </c>
      <c r="B308" t="s">
        <v>51</v>
      </c>
      <c r="C308" t="s">
        <v>32</v>
      </c>
      <c r="D308" s="1" t="s">
        <v>661</v>
      </c>
      <c r="E308">
        <v>12.33</v>
      </c>
      <c r="F308">
        <v>15.45</v>
      </c>
      <c r="G308">
        <v>3.99</v>
      </c>
      <c r="H308">
        <v>5.73</v>
      </c>
      <c r="I308">
        <v>9.7200000000000006</v>
      </c>
      <c r="J308" t="s">
        <v>355</v>
      </c>
      <c r="K308" t="str">
        <f t="shared" si="13"/>
        <v>alyssa4</v>
      </c>
      <c r="L308">
        <f t="shared" si="14"/>
        <v>32.832900000000002</v>
      </c>
    </row>
    <row r="309" spans="1:12" x14ac:dyDescent="0.25">
      <c r="A309">
        <v>4</v>
      </c>
      <c r="B309" t="s">
        <v>47</v>
      </c>
      <c r="C309" t="s">
        <v>32</v>
      </c>
      <c r="D309" s="1" t="s">
        <v>662</v>
      </c>
      <c r="E309">
        <v>13.54</v>
      </c>
      <c r="F309">
        <v>17.37</v>
      </c>
      <c r="G309">
        <v>4.2300000000000004</v>
      </c>
      <c r="H309">
        <v>6.57</v>
      </c>
      <c r="I309">
        <v>10.8</v>
      </c>
      <c r="J309" t="s">
        <v>356</v>
      </c>
      <c r="K309" t="str">
        <f t="shared" si="13"/>
        <v>chris4</v>
      </c>
      <c r="L309">
        <f t="shared" si="14"/>
        <v>43.164900000000003</v>
      </c>
    </row>
    <row r="310" spans="1:12" x14ac:dyDescent="0.25">
      <c r="A310">
        <v>4</v>
      </c>
      <c r="B310" t="s">
        <v>46</v>
      </c>
      <c r="C310" t="s">
        <v>32</v>
      </c>
      <c r="D310" s="1" t="s">
        <v>663</v>
      </c>
      <c r="E310">
        <v>12.71</v>
      </c>
      <c r="F310">
        <v>16.16</v>
      </c>
      <c r="G310">
        <v>3.44</v>
      </c>
      <c r="H310">
        <v>6.36</v>
      </c>
      <c r="I310">
        <v>9.8000000000000007</v>
      </c>
      <c r="J310" t="s">
        <v>356</v>
      </c>
      <c r="K310" t="str">
        <f t="shared" si="13"/>
        <v>chris4</v>
      </c>
      <c r="L310">
        <f t="shared" si="14"/>
        <v>40.449600000000004</v>
      </c>
    </row>
    <row r="311" spans="1:12" x14ac:dyDescent="0.25">
      <c r="A311">
        <v>4</v>
      </c>
      <c r="B311" t="s">
        <v>35</v>
      </c>
      <c r="C311" t="s">
        <v>32</v>
      </c>
      <c r="D311" s="1" t="s">
        <v>664</v>
      </c>
      <c r="E311">
        <v>14.15</v>
      </c>
      <c r="F311">
        <v>16.760000000000002</v>
      </c>
      <c r="G311">
        <v>4.3</v>
      </c>
      <c r="H311">
        <v>6.23</v>
      </c>
      <c r="I311">
        <v>10.53</v>
      </c>
      <c r="J311" t="s">
        <v>357</v>
      </c>
      <c r="K311" t="str">
        <f t="shared" si="13"/>
        <v>jordan4</v>
      </c>
      <c r="L311">
        <f t="shared" si="14"/>
        <v>38.812900000000006</v>
      </c>
    </row>
    <row r="312" spans="1:12" x14ac:dyDescent="0.25">
      <c r="A312">
        <v>4</v>
      </c>
      <c r="B312" t="s">
        <v>222</v>
      </c>
      <c r="C312" t="s">
        <v>32</v>
      </c>
      <c r="D312" s="1" t="s">
        <v>665</v>
      </c>
      <c r="E312">
        <v>9.33</v>
      </c>
      <c r="F312">
        <v>14.43</v>
      </c>
      <c r="G312">
        <v>0.55000000000000004</v>
      </c>
      <c r="H312">
        <v>6.94</v>
      </c>
      <c r="I312">
        <v>7.49</v>
      </c>
      <c r="J312" t="s">
        <v>357</v>
      </c>
      <c r="K312" t="str">
        <f t="shared" si="13"/>
        <v>jordan4</v>
      </c>
      <c r="L312">
        <f t="shared" si="14"/>
        <v>48.163600000000002</v>
      </c>
    </row>
    <row r="313" spans="1:12" x14ac:dyDescent="0.25">
      <c r="A313">
        <v>4</v>
      </c>
      <c r="B313" t="s">
        <v>34</v>
      </c>
      <c r="C313" t="s">
        <v>32</v>
      </c>
      <c r="D313" s="1" t="s">
        <v>666</v>
      </c>
      <c r="E313">
        <v>16.78</v>
      </c>
      <c r="F313">
        <v>22.1</v>
      </c>
      <c r="G313">
        <v>5.76</v>
      </c>
      <c r="H313">
        <v>8.17</v>
      </c>
      <c r="I313">
        <v>13.93</v>
      </c>
      <c r="J313" t="s">
        <v>358</v>
      </c>
      <c r="K313" t="str">
        <f t="shared" si="13"/>
        <v>alex4</v>
      </c>
      <c r="L313">
        <f t="shared" si="14"/>
        <v>66.748899999999992</v>
      </c>
    </row>
    <row r="314" spans="1:12" x14ac:dyDescent="0.25">
      <c r="A314">
        <v>4</v>
      </c>
      <c r="B314" t="s">
        <v>184</v>
      </c>
      <c r="C314" t="s">
        <v>32</v>
      </c>
      <c r="D314" s="1" t="s">
        <v>667</v>
      </c>
      <c r="E314">
        <v>13.47</v>
      </c>
      <c r="F314">
        <v>19.93</v>
      </c>
      <c r="G314">
        <v>1.27</v>
      </c>
      <c r="H314">
        <v>9.33</v>
      </c>
      <c r="I314">
        <v>10.6</v>
      </c>
      <c r="J314" t="s">
        <v>358</v>
      </c>
      <c r="K314" t="str">
        <f t="shared" si="13"/>
        <v>alex4</v>
      </c>
      <c r="L314">
        <f t="shared" si="14"/>
        <v>87.048900000000003</v>
      </c>
    </row>
    <row r="315" spans="1:12" x14ac:dyDescent="0.25">
      <c r="A315">
        <v>4</v>
      </c>
      <c r="B315" t="s">
        <v>453</v>
      </c>
      <c r="C315" t="s">
        <v>32</v>
      </c>
      <c r="D315" s="1" t="s">
        <v>668</v>
      </c>
      <c r="E315">
        <v>12.34</v>
      </c>
      <c r="F315">
        <v>16.45</v>
      </c>
      <c r="G315">
        <v>3.39</v>
      </c>
      <c r="H315">
        <v>6.53</v>
      </c>
      <c r="I315">
        <v>9.92</v>
      </c>
      <c r="J315" t="s">
        <v>358</v>
      </c>
      <c r="K315" t="str">
        <f t="shared" si="13"/>
        <v>alex4</v>
      </c>
      <c r="L315">
        <f t="shared" si="14"/>
        <v>42.640900000000002</v>
      </c>
    </row>
    <row r="316" spans="1:12" x14ac:dyDescent="0.25">
      <c r="A316">
        <v>4</v>
      </c>
      <c r="B316" t="s">
        <v>234</v>
      </c>
      <c r="C316" t="s">
        <v>32</v>
      </c>
      <c r="D316" s="1" t="s">
        <v>669</v>
      </c>
      <c r="E316">
        <v>10.82</v>
      </c>
      <c r="F316">
        <v>13.74</v>
      </c>
      <c r="G316">
        <v>3.12</v>
      </c>
      <c r="H316">
        <v>5.31</v>
      </c>
      <c r="I316">
        <v>8.43</v>
      </c>
      <c r="J316" t="s">
        <v>359</v>
      </c>
      <c r="K316" t="str">
        <f t="shared" si="13"/>
        <v>colin4</v>
      </c>
      <c r="L316">
        <f t="shared" si="14"/>
        <v>28.196099999999994</v>
      </c>
    </row>
    <row r="317" spans="1:12" x14ac:dyDescent="0.25">
      <c r="A317">
        <v>4</v>
      </c>
      <c r="B317" t="s">
        <v>161</v>
      </c>
      <c r="C317" t="s">
        <v>32</v>
      </c>
      <c r="D317" s="1" t="s">
        <v>670</v>
      </c>
      <c r="E317">
        <v>9.7200000000000006</v>
      </c>
      <c r="F317">
        <v>12.98</v>
      </c>
      <c r="G317">
        <v>2.84</v>
      </c>
      <c r="H317">
        <v>5.07</v>
      </c>
      <c r="I317">
        <v>7.91</v>
      </c>
      <c r="J317" t="s">
        <v>359</v>
      </c>
      <c r="K317" t="str">
        <f t="shared" si="13"/>
        <v>colin4</v>
      </c>
      <c r="L317">
        <f t="shared" si="14"/>
        <v>25.704900000000002</v>
      </c>
    </row>
    <row r="318" spans="1:12" x14ac:dyDescent="0.25">
      <c r="A318">
        <v>4</v>
      </c>
      <c r="B318" t="s">
        <v>183</v>
      </c>
      <c r="C318" t="s">
        <v>32</v>
      </c>
      <c r="D318" s="1" t="s">
        <v>671</v>
      </c>
      <c r="E318">
        <v>9.76</v>
      </c>
      <c r="F318">
        <v>13.35</v>
      </c>
      <c r="G318">
        <v>1.67</v>
      </c>
      <c r="H318">
        <v>5.84</v>
      </c>
      <c r="I318">
        <v>7.51</v>
      </c>
      <c r="J318" t="s">
        <v>359</v>
      </c>
      <c r="K318" t="str">
        <f t="shared" si="13"/>
        <v>colin4</v>
      </c>
      <c r="L318">
        <f t="shared" si="14"/>
        <v>34.105599999999995</v>
      </c>
    </row>
    <row r="319" spans="1:12" x14ac:dyDescent="0.25">
      <c r="A319">
        <v>4</v>
      </c>
      <c r="B319" t="s">
        <v>38</v>
      </c>
      <c r="C319" t="s">
        <v>32</v>
      </c>
      <c r="D319" s="1" t="s">
        <v>672</v>
      </c>
      <c r="E319">
        <v>14.64</v>
      </c>
      <c r="F319">
        <v>18.89</v>
      </c>
      <c r="G319">
        <v>5.17</v>
      </c>
      <c r="H319">
        <v>6.86</v>
      </c>
      <c r="I319">
        <v>12.03</v>
      </c>
      <c r="J319" t="s">
        <v>360</v>
      </c>
      <c r="K319" t="str">
        <f t="shared" si="13"/>
        <v>paul4</v>
      </c>
      <c r="L319">
        <f t="shared" si="14"/>
        <v>47.059600000000003</v>
      </c>
    </row>
    <row r="320" spans="1:12" x14ac:dyDescent="0.25">
      <c r="A320">
        <v>4</v>
      </c>
      <c r="B320" t="s">
        <v>147</v>
      </c>
      <c r="C320" t="s">
        <v>32</v>
      </c>
      <c r="D320" s="1" t="s">
        <v>673</v>
      </c>
      <c r="E320">
        <v>11.43</v>
      </c>
      <c r="F320">
        <v>15.06</v>
      </c>
      <c r="G320">
        <v>3.3</v>
      </c>
      <c r="H320">
        <v>5.88</v>
      </c>
      <c r="I320">
        <v>9.18</v>
      </c>
      <c r="J320" t="s">
        <v>360</v>
      </c>
      <c r="K320" t="str">
        <f t="shared" si="13"/>
        <v>paul4</v>
      </c>
      <c r="L320">
        <f t="shared" si="14"/>
        <v>34.574399999999997</v>
      </c>
    </row>
    <row r="321" spans="1:12" x14ac:dyDescent="0.25">
      <c r="A321">
        <v>4</v>
      </c>
      <c r="B321" t="s">
        <v>246</v>
      </c>
      <c r="C321" t="s">
        <v>53</v>
      </c>
      <c r="D321" s="1" t="s">
        <v>674</v>
      </c>
      <c r="E321">
        <v>21.46</v>
      </c>
      <c r="F321">
        <v>29.16</v>
      </c>
      <c r="G321">
        <v>12.42</v>
      </c>
      <c r="H321">
        <v>8.3699999999999992</v>
      </c>
      <c r="I321">
        <v>20.79</v>
      </c>
      <c r="J321" t="s">
        <v>351</v>
      </c>
      <c r="K321" t="str">
        <f t="shared" si="13"/>
        <v>andrew4</v>
      </c>
      <c r="L321">
        <f t="shared" si="14"/>
        <v>70.056899999999985</v>
      </c>
    </row>
    <row r="322" spans="1:12" x14ac:dyDescent="0.25">
      <c r="A322">
        <v>4</v>
      </c>
      <c r="B322" t="s">
        <v>204</v>
      </c>
      <c r="C322" t="s">
        <v>53</v>
      </c>
      <c r="D322" s="1" t="s">
        <v>675</v>
      </c>
      <c r="E322">
        <v>22</v>
      </c>
      <c r="F322">
        <v>27.79</v>
      </c>
      <c r="G322">
        <v>15.13</v>
      </c>
      <c r="H322">
        <v>6.33</v>
      </c>
      <c r="I322">
        <v>21.46</v>
      </c>
      <c r="J322" t="s">
        <v>352</v>
      </c>
      <c r="K322" t="str">
        <f t="shared" si="13"/>
        <v>jake4</v>
      </c>
      <c r="L322">
        <f t="shared" si="14"/>
        <v>40.068899999999999</v>
      </c>
    </row>
    <row r="323" spans="1:12" x14ac:dyDescent="0.25">
      <c r="A323">
        <v>4</v>
      </c>
      <c r="B323" t="s">
        <v>244</v>
      </c>
      <c r="C323" t="s">
        <v>53</v>
      </c>
      <c r="D323" s="1" t="s">
        <v>676</v>
      </c>
      <c r="E323">
        <v>18.73</v>
      </c>
      <c r="F323">
        <v>26.04</v>
      </c>
      <c r="G323">
        <v>9.74</v>
      </c>
      <c r="H323">
        <v>8.15</v>
      </c>
      <c r="I323">
        <v>17.89</v>
      </c>
      <c r="J323" t="s">
        <v>353</v>
      </c>
      <c r="K323" t="str">
        <f t="shared" ref="K323:K386" si="15">J323&amp;A323</f>
        <v>breanna4</v>
      </c>
      <c r="L323">
        <f t="shared" ref="L323:L386" si="16">H323^2</f>
        <v>66.422499999999999</v>
      </c>
    </row>
    <row r="324" spans="1:12" x14ac:dyDescent="0.25">
      <c r="A324">
        <v>4</v>
      </c>
      <c r="B324" t="s">
        <v>364</v>
      </c>
      <c r="C324" t="s">
        <v>53</v>
      </c>
      <c r="D324" s="1" t="s">
        <v>677</v>
      </c>
      <c r="E324">
        <v>18.36</v>
      </c>
      <c r="F324">
        <v>24.87</v>
      </c>
      <c r="G324">
        <v>9.57</v>
      </c>
      <c r="H324">
        <v>7.65</v>
      </c>
      <c r="I324">
        <v>17.22</v>
      </c>
      <c r="J324" t="s">
        <v>354</v>
      </c>
      <c r="K324" t="str">
        <f t="shared" si="15"/>
        <v>joseph4</v>
      </c>
      <c r="L324">
        <f t="shared" si="16"/>
        <v>58.522500000000008</v>
      </c>
    </row>
    <row r="325" spans="1:12" x14ac:dyDescent="0.25">
      <c r="A325">
        <v>4</v>
      </c>
      <c r="B325" t="s">
        <v>386</v>
      </c>
      <c r="C325" t="s">
        <v>53</v>
      </c>
      <c r="D325" s="1" t="s">
        <v>678</v>
      </c>
      <c r="E325">
        <v>20.53</v>
      </c>
      <c r="F325">
        <v>25.91</v>
      </c>
      <c r="G325">
        <v>13.51</v>
      </c>
      <c r="H325">
        <v>6.2</v>
      </c>
      <c r="I325">
        <v>19.71</v>
      </c>
      <c r="J325" t="s">
        <v>355</v>
      </c>
      <c r="K325" t="str">
        <f t="shared" si="15"/>
        <v>alyssa4</v>
      </c>
      <c r="L325">
        <f t="shared" si="16"/>
        <v>38.440000000000005</v>
      </c>
    </row>
    <row r="326" spans="1:12" x14ac:dyDescent="0.25">
      <c r="A326">
        <v>4</v>
      </c>
      <c r="B326" t="s">
        <v>156</v>
      </c>
      <c r="C326" t="s">
        <v>53</v>
      </c>
      <c r="D326" s="1" t="s">
        <v>679</v>
      </c>
      <c r="E326">
        <v>21.6</v>
      </c>
      <c r="F326">
        <v>30.27</v>
      </c>
      <c r="G326">
        <v>11.55</v>
      </c>
      <c r="H326">
        <v>9.36</v>
      </c>
      <c r="I326">
        <v>20.91</v>
      </c>
      <c r="J326" t="s">
        <v>356</v>
      </c>
      <c r="K326" t="str">
        <f t="shared" si="15"/>
        <v>chris4</v>
      </c>
      <c r="L326">
        <f t="shared" si="16"/>
        <v>87.609599999999986</v>
      </c>
    </row>
    <row r="327" spans="1:12" x14ac:dyDescent="0.25">
      <c r="A327">
        <v>4</v>
      </c>
      <c r="B327" t="s">
        <v>56</v>
      </c>
      <c r="C327" t="s">
        <v>53</v>
      </c>
      <c r="D327" s="1" t="s">
        <v>680</v>
      </c>
      <c r="E327">
        <v>21.47</v>
      </c>
      <c r="F327">
        <v>29.05</v>
      </c>
      <c r="G327">
        <v>12.51</v>
      </c>
      <c r="H327">
        <v>8.27</v>
      </c>
      <c r="I327">
        <v>20.78</v>
      </c>
      <c r="J327" t="s">
        <v>357</v>
      </c>
      <c r="K327" t="str">
        <f t="shared" si="15"/>
        <v>jordan4</v>
      </c>
      <c r="L327">
        <f t="shared" si="16"/>
        <v>68.392899999999997</v>
      </c>
    </row>
    <row r="328" spans="1:12" x14ac:dyDescent="0.25">
      <c r="A328">
        <v>4</v>
      </c>
      <c r="B328" t="s">
        <v>280</v>
      </c>
      <c r="C328" t="s">
        <v>53</v>
      </c>
      <c r="D328" s="1" t="s">
        <v>681</v>
      </c>
      <c r="E328">
        <v>20.69</v>
      </c>
      <c r="F328">
        <v>28.09</v>
      </c>
      <c r="G328">
        <v>11.91</v>
      </c>
      <c r="H328">
        <v>8.09</v>
      </c>
      <c r="I328">
        <v>20</v>
      </c>
      <c r="J328" t="s">
        <v>358</v>
      </c>
      <c r="K328" t="str">
        <f t="shared" si="15"/>
        <v>alex4</v>
      </c>
      <c r="L328">
        <f t="shared" si="16"/>
        <v>65.448099999999997</v>
      </c>
    </row>
    <row r="329" spans="1:12" x14ac:dyDescent="0.25">
      <c r="A329">
        <v>4</v>
      </c>
      <c r="B329" t="s">
        <v>52</v>
      </c>
      <c r="C329" t="s">
        <v>53</v>
      </c>
      <c r="D329" s="1" t="s">
        <v>682</v>
      </c>
      <c r="E329">
        <v>21.28</v>
      </c>
      <c r="F329">
        <v>28.3</v>
      </c>
      <c r="G329">
        <v>12.4</v>
      </c>
      <c r="H329">
        <v>7.95</v>
      </c>
      <c r="I329">
        <v>20.350000000000001</v>
      </c>
      <c r="J329" t="s">
        <v>359</v>
      </c>
      <c r="K329" t="str">
        <f t="shared" si="15"/>
        <v>colin4</v>
      </c>
      <c r="L329">
        <f t="shared" si="16"/>
        <v>63.202500000000001</v>
      </c>
    </row>
    <row r="330" spans="1:12" x14ac:dyDescent="0.25">
      <c r="A330">
        <v>4</v>
      </c>
      <c r="B330" t="s">
        <v>194</v>
      </c>
      <c r="C330" t="s">
        <v>53</v>
      </c>
      <c r="D330" s="1" t="s">
        <v>683</v>
      </c>
      <c r="E330">
        <v>23.02</v>
      </c>
      <c r="F330">
        <v>30.05</v>
      </c>
      <c r="G330">
        <v>15.15</v>
      </c>
      <c r="H330">
        <v>7.45</v>
      </c>
      <c r="I330">
        <v>22.6</v>
      </c>
      <c r="J330" t="s">
        <v>360</v>
      </c>
      <c r="K330" t="str">
        <f t="shared" si="15"/>
        <v>paul4</v>
      </c>
      <c r="L330">
        <f t="shared" si="16"/>
        <v>55.502500000000005</v>
      </c>
    </row>
    <row r="331" spans="1:12" x14ac:dyDescent="0.25">
      <c r="A331">
        <v>4</v>
      </c>
      <c r="B331" t="s">
        <v>497</v>
      </c>
      <c r="C331" t="s">
        <v>57</v>
      </c>
      <c r="D331" s="1" t="s">
        <v>684</v>
      </c>
      <c r="E331">
        <v>8.7200000000000006</v>
      </c>
      <c r="F331">
        <v>11.68</v>
      </c>
      <c r="G331">
        <v>1.68</v>
      </c>
      <c r="H331">
        <v>5</v>
      </c>
      <c r="I331">
        <v>6.68</v>
      </c>
      <c r="J331" t="s">
        <v>351</v>
      </c>
      <c r="K331" t="str">
        <f t="shared" si="15"/>
        <v>andrew4</v>
      </c>
      <c r="L331">
        <f t="shared" si="16"/>
        <v>25</v>
      </c>
    </row>
    <row r="332" spans="1:12" x14ac:dyDescent="0.25">
      <c r="A332">
        <v>4</v>
      </c>
      <c r="B332" t="s">
        <v>518</v>
      </c>
      <c r="C332" t="s">
        <v>57</v>
      </c>
      <c r="D332" s="1" t="s">
        <v>685</v>
      </c>
      <c r="E332">
        <v>9.0399999999999991</v>
      </c>
      <c r="F332">
        <v>12.4</v>
      </c>
      <c r="G332">
        <v>1.34</v>
      </c>
      <c r="H332">
        <v>5.53</v>
      </c>
      <c r="I332">
        <v>6.87</v>
      </c>
      <c r="J332" t="s">
        <v>352</v>
      </c>
      <c r="K332" t="str">
        <f t="shared" si="15"/>
        <v>jake4</v>
      </c>
      <c r="L332">
        <f t="shared" si="16"/>
        <v>30.580900000000003</v>
      </c>
    </row>
    <row r="333" spans="1:12" x14ac:dyDescent="0.25">
      <c r="A333">
        <v>4</v>
      </c>
      <c r="B333" t="s">
        <v>368</v>
      </c>
      <c r="C333" t="s">
        <v>57</v>
      </c>
      <c r="D333" s="1" t="s">
        <v>686</v>
      </c>
      <c r="E333">
        <v>5.05</v>
      </c>
      <c r="F333">
        <v>6.35</v>
      </c>
      <c r="G333">
        <v>0.77</v>
      </c>
      <c r="H333">
        <v>2.79</v>
      </c>
      <c r="I333">
        <v>3.56</v>
      </c>
      <c r="J333" t="s">
        <v>353</v>
      </c>
      <c r="K333" t="str">
        <f t="shared" si="15"/>
        <v>breanna4</v>
      </c>
      <c r="L333">
        <f t="shared" si="16"/>
        <v>7.7841000000000005</v>
      </c>
    </row>
    <row r="334" spans="1:12" x14ac:dyDescent="0.25">
      <c r="A334">
        <v>4</v>
      </c>
      <c r="B334" t="s">
        <v>61</v>
      </c>
      <c r="C334" t="s">
        <v>57</v>
      </c>
      <c r="D334" s="1" t="s">
        <v>687</v>
      </c>
      <c r="E334">
        <v>12.58</v>
      </c>
      <c r="F334">
        <v>16.07</v>
      </c>
      <c r="G334">
        <v>3.47</v>
      </c>
      <c r="H334">
        <v>6.3</v>
      </c>
      <c r="I334">
        <v>9.77</v>
      </c>
      <c r="J334" t="s">
        <v>354</v>
      </c>
      <c r="K334" t="str">
        <f t="shared" si="15"/>
        <v>joseph4</v>
      </c>
      <c r="L334">
        <f t="shared" si="16"/>
        <v>39.69</v>
      </c>
    </row>
    <row r="335" spans="1:12" x14ac:dyDescent="0.25">
      <c r="A335">
        <v>4</v>
      </c>
      <c r="B335" t="s">
        <v>521</v>
      </c>
      <c r="C335" t="s">
        <v>57</v>
      </c>
      <c r="D335" s="1" t="s">
        <v>688</v>
      </c>
      <c r="E335">
        <v>2.5499999999999998</v>
      </c>
      <c r="F335">
        <v>4.05</v>
      </c>
      <c r="G335">
        <v>-0.19</v>
      </c>
      <c r="H335">
        <v>2.12</v>
      </c>
      <c r="I335">
        <v>1.93</v>
      </c>
      <c r="J335" t="s">
        <v>355</v>
      </c>
      <c r="K335" t="str">
        <f t="shared" si="15"/>
        <v>alyssa4</v>
      </c>
      <c r="L335">
        <f t="shared" si="16"/>
        <v>4.4944000000000006</v>
      </c>
    </row>
    <row r="336" spans="1:12" x14ac:dyDescent="0.25">
      <c r="A336">
        <v>4</v>
      </c>
      <c r="B336" t="s">
        <v>58</v>
      </c>
      <c r="C336" t="s">
        <v>57</v>
      </c>
      <c r="D336" s="1" t="s">
        <v>689</v>
      </c>
      <c r="E336">
        <v>9.8699999999999992</v>
      </c>
      <c r="F336">
        <v>12.43</v>
      </c>
      <c r="G336">
        <v>2.89</v>
      </c>
      <c r="H336">
        <v>4.7699999999999996</v>
      </c>
      <c r="I336">
        <v>7.66</v>
      </c>
      <c r="J336" t="s">
        <v>356</v>
      </c>
      <c r="K336" t="str">
        <f t="shared" si="15"/>
        <v>chris4</v>
      </c>
      <c r="L336">
        <f t="shared" si="16"/>
        <v>22.752899999999997</v>
      </c>
    </row>
    <row r="337" spans="1:12" x14ac:dyDescent="0.25">
      <c r="A337">
        <v>4</v>
      </c>
      <c r="B337" t="s">
        <v>283</v>
      </c>
      <c r="C337" t="s">
        <v>57</v>
      </c>
      <c r="D337" s="1" t="s">
        <v>690</v>
      </c>
      <c r="E337">
        <v>7.59</v>
      </c>
      <c r="F337">
        <v>10.51</v>
      </c>
      <c r="G337">
        <v>1.35</v>
      </c>
      <c r="H337">
        <v>4.58</v>
      </c>
      <c r="I337">
        <v>5.93</v>
      </c>
      <c r="J337" t="s">
        <v>356</v>
      </c>
      <c r="K337" t="str">
        <f t="shared" si="15"/>
        <v>chris4</v>
      </c>
      <c r="L337">
        <f t="shared" si="16"/>
        <v>20.976400000000002</v>
      </c>
    </row>
    <row r="338" spans="1:12" x14ac:dyDescent="0.25">
      <c r="A338">
        <v>4</v>
      </c>
      <c r="B338" t="s">
        <v>62</v>
      </c>
      <c r="C338" t="s">
        <v>57</v>
      </c>
      <c r="D338" s="1" t="s">
        <v>691</v>
      </c>
      <c r="E338">
        <v>11.69</v>
      </c>
      <c r="F338">
        <v>14.89</v>
      </c>
      <c r="G338">
        <v>3.61</v>
      </c>
      <c r="H338">
        <v>5.64</v>
      </c>
      <c r="I338">
        <v>9.25</v>
      </c>
      <c r="J338" t="s">
        <v>357</v>
      </c>
      <c r="K338" t="str">
        <f t="shared" si="15"/>
        <v>jordan4</v>
      </c>
      <c r="L338">
        <f t="shared" si="16"/>
        <v>31.809599999999996</v>
      </c>
    </row>
    <row r="339" spans="1:12" x14ac:dyDescent="0.25">
      <c r="A339">
        <v>4</v>
      </c>
      <c r="B339" t="s">
        <v>163</v>
      </c>
      <c r="C339" t="s">
        <v>57</v>
      </c>
      <c r="D339" s="1" t="s">
        <v>692</v>
      </c>
      <c r="E339">
        <v>8.67</v>
      </c>
      <c r="F339">
        <v>10.84</v>
      </c>
      <c r="G339">
        <v>2.08</v>
      </c>
      <c r="H339">
        <v>4.38</v>
      </c>
      <c r="I339">
        <v>6.46</v>
      </c>
      <c r="J339" t="s">
        <v>358</v>
      </c>
      <c r="K339" t="str">
        <f t="shared" si="15"/>
        <v>alex4</v>
      </c>
      <c r="L339">
        <f t="shared" si="16"/>
        <v>19.1844</v>
      </c>
    </row>
    <row r="340" spans="1:12" x14ac:dyDescent="0.25">
      <c r="A340">
        <v>4</v>
      </c>
      <c r="B340" t="s">
        <v>73</v>
      </c>
      <c r="C340" t="s">
        <v>57</v>
      </c>
      <c r="D340" s="1" t="s">
        <v>693</v>
      </c>
      <c r="E340">
        <v>10.82</v>
      </c>
      <c r="F340">
        <v>12.74</v>
      </c>
      <c r="G340">
        <v>3.14</v>
      </c>
      <c r="H340">
        <v>4.8</v>
      </c>
      <c r="I340">
        <v>7.94</v>
      </c>
      <c r="J340" t="s">
        <v>359</v>
      </c>
      <c r="K340" t="str">
        <f t="shared" si="15"/>
        <v>colin4</v>
      </c>
      <c r="L340">
        <f t="shared" si="16"/>
        <v>23.04</v>
      </c>
    </row>
    <row r="341" spans="1:12" x14ac:dyDescent="0.25">
      <c r="A341">
        <v>4</v>
      </c>
      <c r="B341" t="s">
        <v>387</v>
      </c>
      <c r="C341" t="s">
        <v>57</v>
      </c>
      <c r="D341" s="1" t="s">
        <v>694</v>
      </c>
      <c r="E341">
        <v>6.65</v>
      </c>
      <c r="F341">
        <v>9.4</v>
      </c>
      <c r="G341">
        <v>0.26</v>
      </c>
      <c r="H341">
        <v>4.57</v>
      </c>
      <c r="I341">
        <v>4.83</v>
      </c>
      <c r="J341" t="s">
        <v>360</v>
      </c>
      <c r="K341" t="str">
        <f t="shared" si="15"/>
        <v>paul4</v>
      </c>
      <c r="L341">
        <f t="shared" si="16"/>
        <v>20.884900000000002</v>
      </c>
    </row>
    <row r="342" spans="1:12" x14ac:dyDescent="0.25">
      <c r="A342">
        <v>4</v>
      </c>
      <c r="B342" t="s">
        <v>196</v>
      </c>
      <c r="C342" t="s">
        <v>63</v>
      </c>
      <c r="D342" s="1" t="s">
        <v>695</v>
      </c>
      <c r="E342">
        <v>5.7173999999999996</v>
      </c>
      <c r="F342">
        <v>10.6</v>
      </c>
      <c r="G342">
        <v>0.82</v>
      </c>
      <c r="H342">
        <v>4.8899999999999997</v>
      </c>
      <c r="I342">
        <v>5.7173999999999996</v>
      </c>
      <c r="J342" t="s">
        <v>351</v>
      </c>
      <c r="K342" t="str">
        <f t="shared" si="15"/>
        <v>andrew4</v>
      </c>
      <c r="L342">
        <f t="shared" si="16"/>
        <v>23.912099999999995</v>
      </c>
    </row>
    <row r="343" spans="1:12" x14ac:dyDescent="0.25">
      <c r="A343">
        <v>4</v>
      </c>
      <c r="B343" t="s">
        <v>318</v>
      </c>
      <c r="C343" t="s">
        <v>63</v>
      </c>
      <c r="D343" s="1" t="s">
        <v>696</v>
      </c>
      <c r="E343">
        <v>7.8672000000000004</v>
      </c>
      <c r="F343">
        <v>15.07</v>
      </c>
      <c r="G343">
        <v>0.71</v>
      </c>
      <c r="H343">
        <v>7.18</v>
      </c>
      <c r="I343">
        <v>7.8672000000000004</v>
      </c>
      <c r="J343" t="s">
        <v>352</v>
      </c>
      <c r="K343" t="str">
        <f t="shared" si="15"/>
        <v>jake4</v>
      </c>
      <c r="L343">
        <f t="shared" si="16"/>
        <v>51.552399999999999</v>
      </c>
    </row>
    <row r="344" spans="1:12" x14ac:dyDescent="0.25">
      <c r="A344">
        <v>4</v>
      </c>
      <c r="B344" t="s">
        <v>195</v>
      </c>
      <c r="C344" t="s">
        <v>63</v>
      </c>
      <c r="D344" s="1" t="s">
        <v>697</v>
      </c>
      <c r="E344">
        <v>10.801</v>
      </c>
      <c r="F344">
        <v>17.690000000000001</v>
      </c>
      <c r="G344">
        <v>3.89</v>
      </c>
      <c r="H344">
        <v>6.9</v>
      </c>
      <c r="I344">
        <v>10.801</v>
      </c>
      <c r="J344" t="s">
        <v>353</v>
      </c>
      <c r="K344" t="str">
        <f t="shared" si="15"/>
        <v>breanna4</v>
      </c>
      <c r="L344">
        <f t="shared" si="16"/>
        <v>47.610000000000007</v>
      </c>
    </row>
    <row r="345" spans="1:12" x14ac:dyDescent="0.25">
      <c r="A345">
        <v>4</v>
      </c>
      <c r="B345" t="s">
        <v>340</v>
      </c>
      <c r="C345" t="s">
        <v>63</v>
      </c>
      <c r="D345" s="1" t="s">
        <v>698</v>
      </c>
      <c r="E345">
        <v>7.0029000000000003</v>
      </c>
      <c r="F345">
        <v>12.86</v>
      </c>
      <c r="G345">
        <v>1.1599999999999999</v>
      </c>
      <c r="H345">
        <v>5.85</v>
      </c>
      <c r="I345">
        <v>7.0029000000000003</v>
      </c>
      <c r="J345" t="s">
        <v>354</v>
      </c>
      <c r="K345" t="str">
        <f t="shared" si="15"/>
        <v>joseph4</v>
      </c>
      <c r="L345">
        <f t="shared" si="16"/>
        <v>34.222499999999997</v>
      </c>
    </row>
    <row r="346" spans="1:12" x14ac:dyDescent="0.25">
      <c r="A346">
        <v>4</v>
      </c>
      <c r="B346" t="s">
        <v>374</v>
      </c>
      <c r="C346" t="s">
        <v>63</v>
      </c>
      <c r="D346" s="1" t="s">
        <v>699</v>
      </c>
      <c r="E346">
        <v>7.5648999999999997</v>
      </c>
      <c r="F346">
        <v>13.33</v>
      </c>
      <c r="G346">
        <v>1.79</v>
      </c>
      <c r="H346">
        <v>5.77</v>
      </c>
      <c r="I346">
        <v>7.5648999999999997</v>
      </c>
      <c r="J346" t="s">
        <v>355</v>
      </c>
      <c r="K346" t="str">
        <f t="shared" si="15"/>
        <v>alyssa4</v>
      </c>
      <c r="L346">
        <f t="shared" si="16"/>
        <v>33.292899999999996</v>
      </c>
    </row>
    <row r="347" spans="1:12" x14ac:dyDescent="0.25">
      <c r="A347">
        <v>4</v>
      </c>
      <c r="B347" t="s">
        <v>154</v>
      </c>
      <c r="C347" t="s">
        <v>63</v>
      </c>
      <c r="D347" s="1" t="s">
        <v>700</v>
      </c>
      <c r="E347">
        <v>10.527799999999999</v>
      </c>
      <c r="F347">
        <v>16.62</v>
      </c>
      <c r="G347">
        <v>4.42</v>
      </c>
      <c r="H347">
        <v>6.1</v>
      </c>
      <c r="I347">
        <v>10.527799999999999</v>
      </c>
      <c r="J347" t="s">
        <v>356</v>
      </c>
      <c r="K347" t="str">
        <f t="shared" si="15"/>
        <v>chris4</v>
      </c>
      <c r="L347">
        <f t="shared" si="16"/>
        <v>37.209999999999994</v>
      </c>
    </row>
    <row r="348" spans="1:12" x14ac:dyDescent="0.25">
      <c r="A348">
        <v>4</v>
      </c>
      <c r="B348" t="s">
        <v>203</v>
      </c>
      <c r="C348" t="s">
        <v>63</v>
      </c>
      <c r="D348" s="1" t="s">
        <v>701</v>
      </c>
      <c r="E348">
        <v>6.3239000000000001</v>
      </c>
      <c r="F348">
        <v>12.35</v>
      </c>
      <c r="G348">
        <v>0.31</v>
      </c>
      <c r="H348">
        <v>6.02</v>
      </c>
      <c r="I348">
        <v>6.3239000000000001</v>
      </c>
      <c r="J348" t="s">
        <v>357</v>
      </c>
      <c r="K348" t="str">
        <f t="shared" si="15"/>
        <v>jordan4</v>
      </c>
      <c r="L348">
        <f t="shared" si="16"/>
        <v>36.240399999999994</v>
      </c>
    </row>
    <row r="349" spans="1:12" x14ac:dyDescent="0.25">
      <c r="A349">
        <v>4</v>
      </c>
      <c r="B349" t="s">
        <v>178</v>
      </c>
      <c r="C349" t="s">
        <v>63</v>
      </c>
      <c r="D349" s="1" t="s">
        <v>702</v>
      </c>
      <c r="E349">
        <v>9.5579000000000001</v>
      </c>
      <c r="F349">
        <v>16.48</v>
      </c>
      <c r="G349">
        <v>2.6</v>
      </c>
      <c r="H349">
        <v>6.94</v>
      </c>
      <c r="I349">
        <v>9.5579000000000001</v>
      </c>
      <c r="J349" t="s">
        <v>358</v>
      </c>
      <c r="K349" t="str">
        <f t="shared" si="15"/>
        <v>alex4</v>
      </c>
      <c r="L349">
        <f t="shared" si="16"/>
        <v>48.163600000000002</v>
      </c>
    </row>
    <row r="350" spans="1:12" x14ac:dyDescent="0.25">
      <c r="A350">
        <v>4</v>
      </c>
      <c r="B350" t="s">
        <v>257</v>
      </c>
      <c r="C350" t="s">
        <v>63</v>
      </c>
      <c r="D350" s="1" t="s">
        <v>703</v>
      </c>
      <c r="E350">
        <v>5.9463999999999997</v>
      </c>
      <c r="F350">
        <v>11.73</v>
      </c>
      <c r="G350">
        <v>0.17</v>
      </c>
      <c r="H350">
        <v>5.78</v>
      </c>
      <c r="I350">
        <v>5.9463999999999997</v>
      </c>
      <c r="J350" t="s">
        <v>359</v>
      </c>
      <c r="K350" t="str">
        <f t="shared" si="15"/>
        <v>colin4</v>
      </c>
      <c r="L350">
        <f t="shared" si="16"/>
        <v>33.4084</v>
      </c>
    </row>
    <row r="351" spans="1:12" x14ac:dyDescent="0.25">
      <c r="A351">
        <v>4</v>
      </c>
      <c r="B351" t="s">
        <v>255</v>
      </c>
      <c r="C351" t="s">
        <v>63</v>
      </c>
      <c r="D351" s="1" t="s">
        <v>704</v>
      </c>
      <c r="E351">
        <v>6.8224999999999998</v>
      </c>
      <c r="F351">
        <v>12.63</v>
      </c>
      <c r="G351">
        <v>1.01</v>
      </c>
      <c r="H351">
        <v>5.81</v>
      </c>
      <c r="I351">
        <v>6.8224999999999998</v>
      </c>
      <c r="J351" t="s">
        <v>360</v>
      </c>
      <c r="K351" t="str">
        <f t="shared" si="15"/>
        <v>paul4</v>
      </c>
      <c r="L351">
        <f t="shared" si="16"/>
        <v>33.756099999999996</v>
      </c>
    </row>
    <row r="352" spans="1:12" x14ac:dyDescent="0.25">
      <c r="A352">
        <v>4</v>
      </c>
      <c r="B352" t="s">
        <v>159</v>
      </c>
      <c r="C352" t="s">
        <v>64</v>
      </c>
      <c r="D352" s="1" t="s">
        <v>705</v>
      </c>
      <c r="E352">
        <v>7.44</v>
      </c>
      <c r="F352">
        <v>11.48</v>
      </c>
      <c r="G352">
        <v>3.44</v>
      </c>
      <c r="H352">
        <v>4.0199999999999996</v>
      </c>
      <c r="I352">
        <v>7.46</v>
      </c>
      <c r="J352" t="s">
        <v>351</v>
      </c>
      <c r="K352" t="str">
        <f t="shared" si="15"/>
        <v>andrew4</v>
      </c>
      <c r="L352">
        <f t="shared" si="16"/>
        <v>16.160399999999996</v>
      </c>
    </row>
    <row r="353" spans="1:12" x14ac:dyDescent="0.25">
      <c r="A353">
        <v>4</v>
      </c>
      <c r="B353" t="s">
        <v>155</v>
      </c>
      <c r="C353" t="s">
        <v>64</v>
      </c>
      <c r="D353" s="1" t="s">
        <v>706</v>
      </c>
      <c r="E353">
        <v>9.01</v>
      </c>
      <c r="F353">
        <v>13.22</v>
      </c>
      <c r="G353">
        <v>4.8</v>
      </c>
      <c r="H353">
        <v>4.21</v>
      </c>
      <c r="I353">
        <v>9.01</v>
      </c>
      <c r="J353" t="s">
        <v>352</v>
      </c>
      <c r="K353" t="str">
        <f t="shared" si="15"/>
        <v>jake4</v>
      </c>
      <c r="L353">
        <f t="shared" si="16"/>
        <v>17.7241</v>
      </c>
    </row>
    <row r="354" spans="1:12" x14ac:dyDescent="0.25">
      <c r="A354">
        <v>4</v>
      </c>
      <c r="B354" t="s">
        <v>286</v>
      </c>
      <c r="C354" t="s">
        <v>64</v>
      </c>
      <c r="D354" s="1" t="s">
        <v>707</v>
      </c>
      <c r="E354">
        <v>7.92</v>
      </c>
      <c r="F354">
        <v>11.94</v>
      </c>
      <c r="G354">
        <v>3.88</v>
      </c>
      <c r="H354">
        <v>4.03</v>
      </c>
      <c r="I354">
        <v>7.91</v>
      </c>
      <c r="J354" t="s">
        <v>353</v>
      </c>
      <c r="K354" t="str">
        <f t="shared" si="15"/>
        <v>breanna4</v>
      </c>
      <c r="L354">
        <f t="shared" si="16"/>
        <v>16.240900000000003</v>
      </c>
    </row>
    <row r="355" spans="1:12" x14ac:dyDescent="0.25">
      <c r="A355">
        <v>4</v>
      </c>
      <c r="B355" t="s">
        <v>376</v>
      </c>
      <c r="C355" t="s">
        <v>64</v>
      </c>
      <c r="D355" s="1" t="s">
        <v>708</v>
      </c>
      <c r="E355">
        <v>7.63</v>
      </c>
      <c r="F355">
        <v>11.64</v>
      </c>
      <c r="G355">
        <v>3.58</v>
      </c>
      <c r="H355">
        <v>4.03</v>
      </c>
      <c r="I355">
        <v>7.61</v>
      </c>
      <c r="J355" t="s">
        <v>354</v>
      </c>
      <c r="K355" t="str">
        <f t="shared" si="15"/>
        <v>joseph4</v>
      </c>
      <c r="L355">
        <f t="shared" si="16"/>
        <v>16.240900000000003</v>
      </c>
    </row>
    <row r="356" spans="1:12" x14ac:dyDescent="0.25">
      <c r="A356">
        <v>4</v>
      </c>
      <c r="B356" t="s">
        <v>65</v>
      </c>
      <c r="C356" t="s">
        <v>64</v>
      </c>
      <c r="D356" s="1" t="s">
        <v>709</v>
      </c>
      <c r="E356">
        <v>8.9499999999999993</v>
      </c>
      <c r="F356">
        <v>13.57</v>
      </c>
      <c r="G356">
        <v>4.2699999999999996</v>
      </c>
      <c r="H356">
        <v>4.6500000000000004</v>
      </c>
      <c r="I356">
        <v>8.92</v>
      </c>
      <c r="J356" t="s">
        <v>355</v>
      </c>
      <c r="K356" t="str">
        <f t="shared" si="15"/>
        <v>alyssa4</v>
      </c>
      <c r="L356">
        <f t="shared" si="16"/>
        <v>21.622500000000002</v>
      </c>
    </row>
    <row r="357" spans="1:12" x14ac:dyDescent="0.25">
      <c r="A357">
        <v>4</v>
      </c>
      <c r="B357" t="s">
        <v>67</v>
      </c>
      <c r="C357" t="s">
        <v>64</v>
      </c>
      <c r="D357" s="1" t="s">
        <v>710</v>
      </c>
      <c r="E357">
        <v>8.35</v>
      </c>
      <c r="F357">
        <v>13.61</v>
      </c>
      <c r="G357">
        <v>3.11</v>
      </c>
      <c r="H357">
        <v>5.25</v>
      </c>
      <c r="I357">
        <v>8.36</v>
      </c>
      <c r="J357" t="s">
        <v>356</v>
      </c>
      <c r="K357" t="str">
        <f t="shared" si="15"/>
        <v>chris4</v>
      </c>
      <c r="L357">
        <f t="shared" si="16"/>
        <v>27.5625</v>
      </c>
    </row>
    <row r="358" spans="1:12" x14ac:dyDescent="0.25">
      <c r="A358">
        <v>4</v>
      </c>
      <c r="B358" t="s">
        <v>66</v>
      </c>
      <c r="C358" t="s">
        <v>64</v>
      </c>
      <c r="D358" s="1" t="s">
        <v>711</v>
      </c>
      <c r="E358">
        <v>9.11</v>
      </c>
      <c r="F358">
        <v>13.57</v>
      </c>
      <c r="G358">
        <v>4.57</v>
      </c>
      <c r="H358">
        <v>4.5</v>
      </c>
      <c r="I358">
        <v>9.07</v>
      </c>
      <c r="J358" t="s">
        <v>357</v>
      </c>
      <c r="K358" t="str">
        <f t="shared" si="15"/>
        <v>jordan4</v>
      </c>
      <c r="L358">
        <f t="shared" si="16"/>
        <v>20.25</v>
      </c>
    </row>
    <row r="359" spans="1:12" x14ac:dyDescent="0.25">
      <c r="A359">
        <v>4</v>
      </c>
      <c r="B359" t="s">
        <v>378</v>
      </c>
      <c r="C359" t="s">
        <v>64</v>
      </c>
      <c r="D359" s="1" t="s">
        <v>712</v>
      </c>
      <c r="E359">
        <v>8.7799999999999994</v>
      </c>
      <c r="F359">
        <v>12.75</v>
      </c>
      <c r="G359">
        <v>4.83</v>
      </c>
      <c r="H359">
        <v>3.96</v>
      </c>
      <c r="I359">
        <v>8.7899999999999991</v>
      </c>
      <c r="J359" t="s">
        <v>358</v>
      </c>
      <c r="K359" t="str">
        <f t="shared" si="15"/>
        <v>alex4</v>
      </c>
      <c r="L359">
        <f t="shared" si="16"/>
        <v>15.6816</v>
      </c>
    </row>
    <row r="360" spans="1:12" x14ac:dyDescent="0.25">
      <c r="A360">
        <v>4</v>
      </c>
      <c r="B360" t="s">
        <v>261</v>
      </c>
      <c r="C360" t="s">
        <v>64</v>
      </c>
      <c r="D360" s="1" t="s">
        <v>713</v>
      </c>
      <c r="E360">
        <v>7.52</v>
      </c>
      <c r="F360">
        <v>11.74</v>
      </c>
      <c r="G360">
        <v>3.26</v>
      </c>
      <c r="H360">
        <v>4.24</v>
      </c>
      <c r="I360">
        <v>7.5</v>
      </c>
      <c r="J360" t="s">
        <v>359</v>
      </c>
      <c r="K360" t="str">
        <f t="shared" si="15"/>
        <v>colin4</v>
      </c>
      <c r="L360">
        <f t="shared" si="16"/>
        <v>17.977600000000002</v>
      </c>
    </row>
    <row r="361" spans="1:12" x14ac:dyDescent="0.25">
      <c r="A361">
        <v>4</v>
      </c>
      <c r="B361" t="s">
        <v>167</v>
      </c>
      <c r="C361" t="s">
        <v>64</v>
      </c>
      <c r="D361" s="1" t="s">
        <v>714</v>
      </c>
      <c r="E361">
        <v>7.75</v>
      </c>
      <c r="F361">
        <v>11.47</v>
      </c>
      <c r="G361">
        <v>4.07</v>
      </c>
      <c r="H361">
        <v>3.7</v>
      </c>
      <c r="I361">
        <v>7.77</v>
      </c>
      <c r="J361" t="s">
        <v>360</v>
      </c>
      <c r="K361" t="str">
        <f t="shared" si="15"/>
        <v>paul4</v>
      </c>
      <c r="L361">
        <f t="shared" si="16"/>
        <v>13.690000000000001</v>
      </c>
    </row>
    <row r="362" spans="1:12" x14ac:dyDescent="0.25">
      <c r="A362">
        <v>5</v>
      </c>
      <c r="B362" t="s">
        <v>68</v>
      </c>
      <c r="C362" t="s">
        <v>10</v>
      </c>
      <c r="D362" s="1" t="s">
        <v>715</v>
      </c>
      <c r="E362">
        <v>16.190000000000001</v>
      </c>
      <c r="F362">
        <v>24.34</v>
      </c>
      <c r="G362">
        <v>5.64</v>
      </c>
      <c r="H362">
        <v>9.35</v>
      </c>
      <c r="I362">
        <v>14.99</v>
      </c>
      <c r="J362" t="s">
        <v>351</v>
      </c>
      <c r="K362" t="str">
        <f t="shared" si="15"/>
        <v>andrew5</v>
      </c>
      <c r="L362">
        <f t="shared" si="16"/>
        <v>87.422499999999999</v>
      </c>
    </row>
    <row r="363" spans="1:12" x14ac:dyDescent="0.25">
      <c r="A363">
        <v>5</v>
      </c>
      <c r="B363" t="s">
        <v>30</v>
      </c>
      <c r="C363" t="s">
        <v>10</v>
      </c>
      <c r="D363" s="1" t="s">
        <v>716</v>
      </c>
      <c r="E363">
        <v>11.45</v>
      </c>
      <c r="F363">
        <v>15.01</v>
      </c>
      <c r="G363">
        <v>4.6500000000000004</v>
      </c>
      <c r="H363">
        <v>5.18</v>
      </c>
      <c r="I363">
        <v>9.83</v>
      </c>
      <c r="J363" t="s">
        <v>351</v>
      </c>
      <c r="K363" t="str">
        <f t="shared" si="15"/>
        <v>andrew5</v>
      </c>
      <c r="L363">
        <f t="shared" si="16"/>
        <v>26.832399999999996</v>
      </c>
    </row>
    <row r="364" spans="1:12" x14ac:dyDescent="0.25">
      <c r="A364">
        <v>5</v>
      </c>
      <c r="B364" t="s">
        <v>181</v>
      </c>
      <c r="C364" t="s">
        <v>10</v>
      </c>
      <c r="D364" s="1" t="s">
        <v>717</v>
      </c>
      <c r="E364">
        <v>13.78</v>
      </c>
      <c r="F364">
        <v>19.27</v>
      </c>
      <c r="G364">
        <v>3.99</v>
      </c>
      <c r="H364">
        <v>7.64</v>
      </c>
      <c r="I364">
        <v>11.63</v>
      </c>
      <c r="J364" t="s">
        <v>352</v>
      </c>
      <c r="K364" t="str">
        <f t="shared" si="15"/>
        <v>jake5</v>
      </c>
      <c r="L364">
        <f t="shared" si="16"/>
        <v>58.369599999999998</v>
      </c>
    </row>
    <row r="365" spans="1:12" x14ac:dyDescent="0.25">
      <c r="A365">
        <v>5</v>
      </c>
      <c r="B365" t="s">
        <v>9</v>
      </c>
      <c r="C365" t="s">
        <v>10</v>
      </c>
      <c r="D365" s="1" t="s">
        <v>718</v>
      </c>
      <c r="E365">
        <v>5.82</v>
      </c>
      <c r="F365">
        <v>9.2799999999999994</v>
      </c>
      <c r="G365">
        <v>1.34</v>
      </c>
      <c r="H365">
        <v>3.97</v>
      </c>
      <c r="I365">
        <v>5.31</v>
      </c>
      <c r="J365" t="s">
        <v>352</v>
      </c>
      <c r="K365" t="str">
        <f t="shared" si="15"/>
        <v>jake5</v>
      </c>
      <c r="L365">
        <f t="shared" si="16"/>
        <v>15.760900000000001</v>
      </c>
    </row>
    <row r="366" spans="1:12" x14ac:dyDescent="0.25">
      <c r="A366">
        <v>5</v>
      </c>
      <c r="B366" t="s">
        <v>27</v>
      </c>
      <c r="C366" t="s">
        <v>10</v>
      </c>
      <c r="D366" s="1" t="s">
        <v>719</v>
      </c>
      <c r="E366">
        <v>20.6</v>
      </c>
      <c r="F366">
        <v>26.23</v>
      </c>
      <c r="G366">
        <v>10.050000000000001</v>
      </c>
      <c r="H366">
        <v>8.09</v>
      </c>
      <c r="I366">
        <v>18.14</v>
      </c>
      <c r="J366" t="s">
        <v>353</v>
      </c>
      <c r="K366" t="str">
        <f t="shared" si="15"/>
        <v>breanna5</v>
      </c>
      <c r="L366">
        <f t="shared" si="16"/>
        <v>65.448099999999997</v>
      </c>
    </row>
    <row r="367" spans="1:12" x14ac:dyDescent="0.25">
      <c r="A367">
        <v>5</v>
      </c>
      <c r="B367" t="s">
        <v>219</v>
      </c>
      <c r="C367" t="s">
        <v>10</v>
      </c>
      <c r="D367" s="1" t="s">
        <v>720</v>
      </c>
      <c r="E367">
        <v>10</v>
      </c>
      <c r="F367">
        <v>14.97</v>
      </c>
      <c r="G367">
        <v>2.93</v>
      </c>
      <c r="H367">
        <v>6.02</v>
      </c>
      <c r="I367">
        <v>8.9499999999999993</v>
      </c>
      <c r="J367" t="s">
        <v>353</v>
      </c>
      <c r="K367" t="str">
        <f t="shared" si="15"/>
        <v>breanna5</v>
      </c>
      <c r="L367">
        <f t="shared" si="16"/>
        <v>36.240399999999994</v>
      </c>
    </row>
    <row r="368" spans="1:12" x14ac:dyDescent="0.25">
      <c r="A368">
        <v>5</v>
      </c>
      <c r="B368" t="s">
        <v>216</v>
      </c>
      <c r="C368" t="s">
        <v>10</v>
      </c>
      <c r="D368" s="1" t="s">
        <v>721</v>
      </c>
      <c r="E368">
        <v>13.59</v>
      </c>
      <c r="F368">
        <v>17.86</v>
      </c>
      <c r="G368">
        <v>4.82</v>
      </c>
      <c r="H368">
        <v>6.52</v>
      </c>
      <c r="I368">
        <v>11.34</v>
      </c>
      <c r="J368" t="s">
        <v>354</v>
      </c>
      <c r="K368" t="str">
        <f t="shared" si="15"/>
        <v>joseph5</v>
      </c>
      <c r="L368">
        <f t="shared" si="16"/>
        <v>42.510399999999997</v>
      </c>
    </row>
    <row r="369" spans="1:12" x14ac:dyDescent="0.25">
      <c r="A369">
        <v>5</v>
      </c>
      <c r="B369" t="s">
        <v>74</v>
      </c>
      <c r="C369" t="s">
        <v>10</v>
      </c>
      <c r="D369" s="1" t="s">
        <v>722</v>
      </c>
      <c r="E369">
        <v>10.8</v>
      </c>
      <c r="F369">
        <v>17.899999999999999</v>
      </c>
      <c r="G369">
        <v>1.54</v>
      </c>
      <c r="H369">
        <v>8.18</v>
      </c>
      <c r="I369">
        <v>9.7200000000000006</v>
      </c>
      <c r="J369" t="s">
        <v>354</v>
      </c>
      <c r="K369" t="str">
        <f t="shared" si="15"/>
        <v>joseph5</v>
      </c>
      <c r="L369">
        <f t="shared" si="16"/>
        <v>66.912399999999991</v>
      </c>
    </row>
    <row r="370" spans="1:12" x14ac:dyDescent="0.25">
      <c r="A370">
        <v>5</v>
      </c>
      <c r="B370" t="s">
        <v>16</v>
      </c>
      <c r="C370" t="s">
        <v>10</v>
      </c>
      <c r="D370" s="1" t="s">
        <v>723</v>
      </c>
      <c r="E370">
        <v>10.43</v>
      </c>
      <c r="F370">
        <v>14.59</v>
      </c>
      <c r="G370">
        <v>4.3499999999999996</v>
      </c>
      <c r="H370">
        <v>5.12</v>
      </c>
      <c r="I370">
        <v>9.4700000000000006</v>
      </c>
      <c r="J370" t="s">
        <v>354</v>
      </c>
      <c r="K370" t="str">
        <f t="shared" si="15"/>
        <v>joseph5</v>
      </c>
      <c r="L370">
        <f t="shared" si="16"/>
        <v>26.214400000000001</v>
      </c>
    </row>
    <row r="371" spans="1:12" x14ac:dyDescent="0.25">
      <c r="A371">
        <v>5</v>
      </c>
      <c r="B371" t="s">
        <v>75</v>
      </c>
      <c r="C371" t="s">
        <v>10</v>
      </c>
      <c r="D371" s="1" t="s">
        <v>724</v>
      </c>
      <c r="E371">
        <v>20.48</v>
      </c>
      <c r="F371">
        <v>29.64</v>
      </c>
      <c r="G371">
        <v>7.98</v>
      </c>
      <c r="H371">
        <v>10.83</v>
      </c>
      <c r="I371">
        <v>18.809999999999999</v>
      </c>
      <c r="J371" t="s">
        <v>355</v>
      </c>
      <c r="K371" t="str">
        <f t="shared" si="15"/>
        <v>alyssa5</v>
      </c>
      <c r="L371">
        <f t="shared" si="16"/>
        <v>117.2889</v>
      </c>
    </row>
    <row r="372" spans="1:12" x14ac:dyDescent="0.25">
      <c r="A372">
        <v>5</v>
      </c>
      <c r="B372" t="s">
        <v>28</v>
      </c>
      <c r="C372" t="s">
        <v>10</v>
      </c>
      <c r="D372" s="1" t="s">
        <v>725</v>
      </c>
      <c r="E372">
        <v>16.809999999999999</v>
      </c>
      <c r="F372">
        <v>21.98</v>
      </c>
      <c r="G372">
        <v>5.96</v>
      </c>
      <c r="H372">
        <v>8.01</v>
      </c>
      <c r="I372">
        <v>13.97</v>
      </c>
      <c r="J372" t="s">
        <v>355</v>
      </c>
      <c r="K372" t="str">
        <f t="shared" si="15"/>
        <v>alyssa5</v>
      </c>
      <c r="L372">
        <f t="shared" si="16"/>
        <v>64.1601</v>
      </c>
    </row>
    <row r="373" spans="1:12" x14ac:dyDescent="0.25">
      <c r="A373">
        <v>5</v>
      </c>
      <c r="B373" t="s">
        <v>726</v>
      </c>
      <c r="C373" t="s">
        <v>10</v>
      </c>
      <c r="D373" s="1" t="s">
        <v>727</v>
      </c>
      <c r="E373">
        <v>11.51</v>
      </c>
      <c r="F373">
        <v>18.78</v>
      </c>
      <c r="G373">
        <v>0.84</v>
      </c>
      <c r="H373">
        <v>8.9700000000000006</v>
      </c>
      <c r="I373">
        <v>9.81</v>
      </c>
      <c r="J373" t="s">
        <v>355</v>
      </c>
      <c r="K373" t="str">
        <f t="shared" si="15"/>
        <v>alyssa5</v>
      </c>
      <c r="L373">
        <f t="shared" si="16"/>
        <v>80.460900000000009</v>
      </c>
    </row>
    <row r="374" spans="1:12" x14ac:dyDescent="0.25">
      <c r="A374">
        <v>5</v>
      </c>
      <c r="B374" t="s">
        <v>160</v>
      </c>
      <c r="C374" t="s">
        <v>10</v>
      </c>
      <c r="D374" s="1" t="s">
        <v>728</v>
      </c>
      <c r="E374">
        <v>11.86</v>
      </c>
      <c r="F374">
        <v>15.3</v>
      </c>
      <c r="G374">
        <v>5.22</v>
      </c>
      <c r="H374">
        <v>5.04</v>
      </c>
      <c r="I374">
        <v>10.26</v>
      </c>
      <c r="J374" t="s">
        <v>356</v>
      </c>
      <c r="K374" t="str">
        <f t="shared" si="15"/>
        <v>chris5</v>
      </c>
      <c r="L374">
        <f t="shared" si="16"/>
        <v>25.401600000000002</v>
      </c>
    </row>
    <row r="375" spans="1:12" x14ac:dyDescent="0.25">
      <c r="A375">
        <v>5</v>
      </c>
      <c r="B375" t="s">
        <v>25</v>
      </c>
      <c r="C375" t="s">
        <v>10</v>
      </c>
      <c r="D375" s="1" t="s">
        <v>729</v>
      </c>
      <c r="E375">
        <v>10.81</v>
      </c>
      <c r="F375">
        <v>13.77</v>
      </c>
      <c r="G375">
        <v>5.65</v>
      </c>
      <c r="H375">
        <v>4.0599999999999996</v>
      </c>
      <c r="I375">
        <v>9.7100000000000009</v>
      </c>
      <c r="J375" t="s">
        <v>356</v>
      </c>
      <c r="K375" t="str">
        <f t="shared" si="15"/>
        <v>chris5</v>
      </c>
      <c r="L375">
        <f t="shared" si="16"/>
        <v>16.483599999999996</v>
      </c>
    </row>
    <row r="376" spans="1:12" x14ac:dyDescent="0.25">
      <c r="A376">
        <v>5</v>
      </c>
      <c r="B376" t="s">
        <v>158</v>
      </c>
      <c r="C376" t="s">
        <v>10</v>
      </c>
      <c r="D376" s="1" t="s">
        <v>730</v>
      </c>
      <c r="E376">
        <v>19.88</v>
      </c>
      <c r="F376">
        <v>26.82</v>
      </c>
      <c r="G376">
        <v>8.9</v>
      </c>
      <c r="H376">
        <v>8.9600000000000009</v>
      </c>
      <c r="I376">
        <v>17.86</v>
      </c>
      <c r="J376" t="s">
        <v>357</v>
      </c>
      <c r="K376" t="str">
        <f t="shared" si="15"/>
        <v>jordan5</v>
      </c>
      <c r="L376">
        <f t="shared" si="16"/>
        <v>80.281600000000012</v>
      </c>
    </row>
    <row r="377" spans="1:12" x14ac:dyDescent="0.25">
      <c r="A377">
        <v>5</v>
      </c>
      <c r="B377" t="s">
        <v>284</v>
      </c>
      <c r="C377" t="s">
        <v>10</v>
      </c>
      <c r="D377" s="1" t="s">
        <v>731</v>
      </c>
      <c r="E377">
        <v>14.07</v>
      </c>
      <c r="F377">
        <v>20.3</v>
      </c>
      <c r="G377">
        <v>5.22</v>
      </c>
      <c r="H377">
        <v>7.54</v>
      </c>
      <c r="I377">
        <v>12.76</v>
      </c>
      <c r="J377" t="s">
        <v>357</v>
      </c>
      <c r="K377" t="str">
        <f t="shared" si="15"/>
        <v>jordan5</v>
      </c>
      <c r="L377">
        <f t="shared" si="16"/>
        <v>56.851599999999998</v>
      </c>
    </row>
    <row r="378" spans="1:12" x14ac:dyDescent="0.25">
      <c r="A378">
        <v>5</v>
      </c>
      <c r="B378" t="s">
        <v>157</v>
      </c>
      <c r="C378" t="s">
        <v>10</v>
      </c>
      <c r="D378" s="1" t="s">
        <v>732</v>
      </c>
      <c r="E378">
        <v>9.6300000000000008</v>
      </c>
      <c r="F378">
        <v>17.05</v>
      </c>
      <c r="G378">
        <v>1.41</v>
      </c>
      <c r="H378">
        <v>7.82</v>
      </c>
      <c r="I378">
        <v>9.23</v>
      </c>
      <c r="J378" t="s">
        <v>357</v>
      </c>
      <c r="K378" t="str">
        <f t="shared" si="15"/>
        <v>jordan5</v>
      </c>
      <c r="L378">
        <f t="shared" si="16"/>
        <v>61.152400000000007</v>
      </c>
    </row>
    <row r="379" spans="1:12" x14ac:dyDescent="0.25">
      <c r="A379">
        <v>5</v>
      </c>
      <c r="B379" t="s">
        <v>14</v>
      </c>
      <c r="C379" t="s">
        <v>10</v>
      </c>
      <c r="D379" s="1" t="s">
        <v>733</v>
      </c>
      <c r="E379">
        <v>13.31</v>
      </c>
      <c r="F379">
        <v>18.809999999999999</v>
      </c>
      <c r="G379">
        <v>4.8499999999999996</v>
      </c>
      <c r="H379">
        <v>6.98</v>
      </c>
      <c r="I379">
        <v>11.83</v>
      </c>
      <c r="J379" t="s">
        <v>358</v>
      </c>
      <c r="K379" t="str">
        <f t="shared" si="15"/>
        <v>alex5</v>
      </c>
      <c r="L379">
        <f t="shared" si="16"/>
        <v>48.720400000000005</v>
      </c>
    </row>
    <row r="380" spans="1:12" x14ac:dyDescent="0.25">
      <c r="A380">
        <v>5</v>
      </c>
      <c r="B380" t="s">
        <v>388</v>
      </c>
      <c r="C380" t="s">
        <v>10</v>
      </c>
      <c r="D380" s="1" t="s">
        <v>734</v>
      </c>
      <c r="E380">
        <v>4.25</v>
      </c>
      <c r="F380">
        <v>6.86</v>
      </c>
      <c r="G380">
        <v>0.1</v>
      </c>
      <c r="H380">
        <v>3.38</v>
      </c>
      <c r="I380">
        <v>3.48</v>
      </c>
      <c r="J380" t="s">
        <v>358</v>
      </c>
      <c r="K380" t="str">
        <f t="shared" si="15"/>
        <v>alex5</v>
      </c>
      <c r="L380">
        <f t="shared" si="16"/>
        <v>11.424399999999999</v>
      </c>
    </row>
    <row r="381" spans="1:12" x14ac:dyDescent="0.25">
      <c r="A381">
        <v>5</v>
      </c>
      <c r="B381" t="s">
        <v>152</v>
      </c>
      <c r="C381" t="s">
        <v>10</v>
      </c>
      <c r="D381" s="1" t="s">
        <v>735</v>
      </c>
      <c r="E381">
        <v>17.86</v>
      </c>
      <c r="F381">
        <v>23.06</v>
      </c>
      <c r="G381">
        <v>7.54</v>
      </c>
      <c r="H381">
        <v>7.76</v>
      </c>
      <c r="I381">
        <v>15.3</v>
      </c>
      <c r="J381" t="s">
        <v>359</v>
      </c>
      <c r="K381" t="str">
        <f t="shared" si="15"/>
        <v>colin5</v>
      </c>
      <c r="L381">
        <f t="shared" si="16"/>
        <v>60.217599999999997</v>
      </c>
    </row>
    <row r="382" spans="1:12" x14ac:dyDescent="0.25">
      <c r="A382">
        <v>5</v>
      </c>
      <c r="B382" t="s">
        <v>264</v>
      </c>
      <c r="C382" t="s">
        <v>10</v>
      </c>
      <c r="D382" s="1" t="s">
        <v>736</v>
      </c>
      <c r="E382">
        <v>6.44</v>
      </c>
      <c r="F382">
        <v>10.61</v>
      </c>
      <c r="G382">
        <v>0.93</v>
      </c>
      <c r="H382">
        <v>4.84</v>
      </c>
      <c r="I382">
        <v>5.77</v>
      </c>
      <c r="J382" t="s">
        <v>359</v>
      </c>
      <c r="K382" t="str">
        <f t="shared" si="15"/>
        <v>colin5</v>
      </c>
      <c r="L382">
        <f t="shared" si="16"/>
        <v>23.425599999999999</v>
      </c>
    </row>
    <row r="383" spans="1:12" x14ac:dyDescent="0.25">
      <c r="A383">
        <v>5</v>
      </c>
      <c r="B383" t="s">
        <v>265</v>
      </c>
      <c r="C383" t="s">
        <v>10</v>
      </c>
      <c r="D383" s="1" t="s">
        <v>737</v>
      </c>
      <c r="E383">
        <v>7.29</v>
      </c>
      <c r="F383">
        <v>10.91</v>
      </c>
      <c r="G383">
        <v>0.41</v>
      </c>
      <c r="H383">
        <v>5.25</v>
      </c>
      <c r="I383">
        <v>5.66</v>
      </c>
      <c r="J383" t="s">
        <v>359</v>
      </c>
      <c r="K383" t="str">
        <f t="shared" si="15"/>
        <v>colin5</v>
      </c>
      <c r="L383">
        <f t="shared" si="16"/>
        <v>27.5625</v>
      </c>
    </row>
    <row r="384" spans="1:12" x14ac:dyDescent="0.25">
      <c r="A384">
        <v>5</v>
      </c>
      <c r="B384" t="s">
        <v>13</v>
      </c>
      <c r="C384" t="s">
        <v>10</v>
      </c>
      <c r="D384" s="1" t="s">
        <v>738</v>
      </c>
      <c r="E384">
        <v>14.43</v>
      </c>
      <c r="F384">
        <v>19.52</v>
      </c>
      <c r="G384">
        <v>5.98</v>
      </c>
      <c r="H384">
        <v>6.77</v>
      </c>
      <c r="I384">
        <v>12.75</v>
      </c>
      <c r="J384" t="s">
        <v>360</v>
      </c>
      <c r="K384" t="str">
        <f t="shared" si="15"/>
        <v>paul5</v>
      </c>
      <c r="L384">
        <f t="shared" si="16"/>
        <v>45.832899999999995</v>
      </c>
    </row>
    <row r="385" spans="1:12" x14ac:dyDescent="0.25">
      <c r="A385">
        <v>5</v>
      </c>
      <c r="B385" t="s">
        <v>115</v>
      </c>
      <c r="C385" t="s">
        <v>10</v>
      </c>
      <c r="D385" s="1" t="s">
        <v>739</v>
      </c>
      <c r="E385">
        <v>13.76</v>
      </c>
      <c r="F385">
        <v>18.41</v>
      </c>
      <c r="G385">
        <v>6.17</v>
      </c>
      <c r="H385">
        <v>6.12</v>
      </c>
      <c r="I385">
        <v>12.29</v>
      </c>
      <c r="J385" t="s">
        <v>360</v>
      </c>
      <c r="K385" t="str">
        <f t="shared" si="15"/>
        <v>paul5</v>
      </c>
      <c r="L385">
        <f t="shared" si="16"/>
        <v>37.4544</v>
      </c>
    </row>
    <row r="386" spans="1:12" x14ac:dyDescent="0.25">
      <c r="A386">
        <v>5</v>
      </c>
      <c r="B386" t="s">
        <v>41</v>
      </c>
      <c r="C386" t="s">
        <v>32</v>
      </c>
      <c r="D386" s="1" t="s">
        <v>740</v>
      </c>
      <c r="E386">
        <v>18.16</v>
      </c>
      <c r="F386">
        <v>20.94</v>
      </c>
      <c r="G386">
        <v>8.06</v>
      </c>
      <c r="H386">
        <v>6.44</v>
      </c>
      <c r="I386">
        <v>14.5</v>
      </c>
      <c r="J386" t="s">
        <v>351</v>
      </c>
      <c r="K386" t="str">
        <f t="shared" si="15"/>
        <v>andrew5</v>
      </c>
      <c r="L386">
        <f t="shared" si="16"/>
        <v>41.473600000000005</v>
      </c>
    </row>
    <row r="387" spans="1:12" x14ac:dyDescent="0.25">
      <c r="A387">
        <v>5</v>
      </c>
      <c r="B387" t="s">
        <v>162</v>
      </c>
      <c r="C387" t="s">
        <v>32</v>
      </c>
      <c r="D387" s="1" t="s">
        <v>741</v>
      </c>
      <c r="E387">
        <v>13.12</v>
      </c>
      <c r="F387">
        <v>17.649999999999999</v>
      </c>
      <c r="G387">
        <v>3.91</v>
      </c>
      <c r="H387">
        <v>6.87</v>
      </c>
      <c r="I387">
        <v>10.78</v>
      </c>
      <c r="J387" t="s">
        <v>351</v>
      </c>
      <c r="K387" t="str">
        <f t="shared" ref="K387:K450" si="17">J387&amp;A387</f>
        <v>andrew5</v>
      </c>
      <c r="L387">
        <f t="shared" ref="L387:L450" si="18">H387^2</f>
        <v>47.196899999999999</v>
      </c>
    </row>
    <row r="388" spans="1:12" x14ac:dyDescent="0.25">
      <c r="A388">
        <v>5</v>
      </c>
      <c r="B388" t="s">
        <v>72</v>
      </c>
      <c r="C388" t="s">
        <v>32</v>
      </c>
      <c r="D388" s="1" t="s">
        <v>742</v>
      </c>
      <c r="E388">
        <v>12.78</v>
      </c>
      <c r="F388">
        <v>17</v>
      </c>
      <c r="G388">
        <v>3.02</v>
      </c>
      <c r="H388">
        <v>6.99</v>
      </c>
      <c r="I388">
        <v>10.01</v>
      </c>
      <c r="J388" t="s">
        <v>351</v>
      </c>
      <c r="K388" t="str">
        <f t="shared" si="17"/>
        <v>andrew5</v>
      </c>
      <c r="L388">
        <f t="shared" si="18"/>
        <v>48.860100000000003</v>
      </c>
    </row>
    <row r="389" spans="1:12" x14ac:dyDescent="0.25">
      <c r="A389">
        <v>5</v>
      </c>
      <c r="B389" t="s">
        <v>33</v>
      </c>
      <c r="C389" t="s">
        <v>32</v>
      </c>
      <c r="D389" s="1" t="s">
        <v>743</v>
      </c>
      <c r="E389">
        <v>17.04</v>
      </c>
      <c r="F389">
        <v>21.78</v>
      </c>
      <c r="G389">
        <v>5.56</v>
      </c>
      <c r="H389">
        <v>8.11</v>
      </c>
      <c r="I389">
        <v>13.67</v>
      </c>
      <c r="J389" t="s">
        <v>352</v>
      </c>
      <c r="K389" t="str">
        <f t="shared" si="17"/>
        <v>jake5</v>
      </c>
      <c r="L389">
        <f t="shared" si="18"/>
        <v>65.772099999999995</v>
      </c>
    </row>
    <row r="390" spans="1:12" x14ac:dyDescent="0.25">
      <c r="A390">
        <v>5</v>
      </c>
      <c r="B390" t="s">
        <v>39</v>
      </c>
      <c r="C390" t="s">
        <v>32</v>
      </c>
      <c r="D390" s="1" t="s">
        <v>744</v>
      </c>
      <c r="E390">
        <v>14.84</v>
      </c>
      <c r="F390">
        <v>17.54</v>
      </c>
      <c r="G390">
        <v>5.38</v>
      </c>
      <c r="H390">
        <v>6.08</v>
      </c>
      <c r="I390">
        <v>11.46</v>
      </c>
      <c r="J390" t="s">
        <v>352</v>
      </c>
      <c r="K390" t="str">
        <f t="shared" si="17"/>
        <v>jake5</v>
      </c>
      <c r="L390">
        <f t="shared" si="18"/>
        <v>36.9664</v>
      </c>
    </row>
    <row r="391" spans="1:12" x14ac:dyDescent="0.25">
      <c r="A391">
        <v>5</v>
      </c>
      <c r="B391" t="s">
        <v>285</v>
      </c>
      <c r="C391" t="s">
        <v>32</v>
      </c>
      <c r="D391" s="1" t="s">
        <v>745</v>
      </c>
      <c r="E391">
        <v>13.05</v>
      </c>
      <c r="F391">
        <v>18.670000000000002</v>
      </c>
      <c r="G391">
        <v>2.0099999999999998</v>
      </c>
      <c r="H391">
        <v>8.33</v>
      </c>
      <c r="I391">
        <v>10.34</v>
      </c>
      <c r="J391" t="s">
        <v>352</v>
      </c>
      <c r="K391" t="str">
        <f t="shared" si="17"/>
        <v>jake5</v>
      </c>
      <c r="L391">
        <f t="shared" si="18"/>
        <v>69.388900000000007</v>
      </c>
    </row>
    <row r="392" spans="1:12" x14ac:dyDescent="0.25">
      <c r="A392">
        <v>5</v>
      </c>
      <c r="B392" t="s">
        <v>48</v>
      </c>
      <c r="C392" t="s">
        <v>32</v>
      </c>
      <c r="D392" s="1" t="s">
        <v>746</v>
      </c>
      <c r="E392">
        <v>12.52</v>
      </c>
      <c r="F392">
        <v>16.14</v>
      </c>
      <c r="G392">
        <v>4.5599999999999996</v>
      </c>
      <c r="H392">
        <v>5.79</v>
      </c>
      <c r="I392">
        <v>10.35</v>
      </c>
      <c r="J392" t="s">
        <v>353</v>
      </c>
      <c r="K392" t="str">
        <f t="shared" si="17"/>
        <v>breanna5</v>
      </c>
      <c r="L392">
        <f t="shared" si="18"/>
        <v>33.524099999999997</v>
      </c>
    </row>
    <row r="393" spans="1:12" x14ac:dyDescent="0.25">
      <c r="A393">
        <v>5</v>
      </c>
      <c r="B393" t="s">
        <v>44</v>
      </c>
      <c r="C393" t="s">
        <v>32</v>
      </c>
      <c r="D393" s="1" t="s">
        <v>747</v>
      </c>
      <c r="E393">
        <v>13.23</v>
      </c>
      <c r="F393">
        <v>17.96</v>
      </c>
      <c r="G393">
        <v>2.5</v>
      </c>
      <c r="H393">
        <v>7.73</v>
      </c>
      <c r="I393">
        <v>10.23</v>
      </c>
      <c r="J393" t="s">
        <v>353</v>
      </c>
      <c r="K393" t="str">
        <f t="shared" si="17"/>
        <v>breanna5</v>
      </c>
      <c r="L393">
        <f t="shared" si="18"/>
        <v>59.752900000000004</v>
      </c>
    </row>
    <row r="394" spans="1:12" x14ac:dyDescent="0.25">
      <c r="A394">
        <v>5</v>
      </c>
      <c r="B394" t="s">
        <v>165</v>
      </c>
      <c r="C394" t="s">
        <v>32</v>
      </c>
      <c r="D394" s="1" t="s">
        <v>748</v>
      </c>
      <c r="E394">
        <v>9.77</v>
      </c>
      <c r="F394">
        <v>13.71</v>
      </c>
      <c r="G394">
        <v>1.67</v>
      </c>
      <c r="H394">
        <v>6.02</v>
      </c>
      <c r="I394">
        <v>7.69</v>
      </c>
      <c r="J394" t="s">
        <v>353</v>
      </c>
      <c r="K394" t="str">
        <f t="shared" si="17"/>
        <v>breanna5</v>
      </c>
      <c r="L394">
        <f t="shared" si="18"/>
        <v>36.240399999999994</v>
      </c>
    </row>
    <row r="395" spans="1:12" x14ac:dyDescent="0.25">
      <c r="A395">
        <v>5</v>
      </c>
      <c r="B395" t="s">
        <v>42</v>
      </c>
      <c r="C395" t="s">
        <v>32</v>
      </c>
      <c r="D395" s="1" t="s">
        <v>749</v>
      </c>
      <c r="E395">
        <v>17.54</v>
      </c>
      <c r="F395">
        <v>22.1</v>
      </c>
      <c r="G395">
        <v>6.88</v>
      </c>
      <c r="H395">
        <v>7.61</v>
      </c>
      <c r="I395">
        <v>14.49</v>
      </c>
      <c r="J395" t="s">
        <v>354</v>
      </c>
      <c r="K395" t="str">
        <f t="shared" si="17"/>
        <v>joseph5</v>
      </c>
      <c r="L395">
        <f t="shared" si="18"/>
        <v>57.912100000000002</v>
      </c>
    </row>
    <row r="396" spans="1:12" x14ac:dyDescent="0.25">
      <c r="A396">
        <v>5</v>
      </c>
      <c r="B396" t="s">
        <v>750</v>
      </c>
      <c r="C396" t="s">
        <v>32</v>
      </c>
      <c r="D396" s="1" t="s">
        <v>751</v>
      </c>
      <c r="E396">
        <v>10.66</v>
      </c>
      <c r="F396">
        <v>15.59</v>
      </c>
      <c r="G396">
        <v>-0.41</v>
      </c>
      <c r="H396">
        <v>8</v>
      </c>
      <c r="I396">
        <v>7.59</v>
      </c>
      <c r="J396" t="s">
        <v>354</v>
      </c>
      <c r="K396" t="str">
        <f t="shared" si="17"/>
        <v>joseph5</v>
      </c>
      <c r="L396">
        <f t="shared" si="18"/>
        <v>64</v>
      </c>
    </row>
    <row r="397" spans="1:12" x14ac:dyDescent="0.25">
      <c r="A397">
        <v>5</v>
      </c>
      <c r="B397" t="s">
        <v>69</v>
      </c>
      <c r="C397" t="s">
        <v>32</v>
      </c>
      <c r="D397" s="1" t="s">
        <v>752</v>
      </c>
      <c r="E397">
        <v>15.75</v>
      </c>
      <c r="F397">
        <v>19.77</v>
      </c>
      <c r="G397">
        <v>5.61</v>
      </c>
      <c r="H397">
        <v>7.08</v>
      </c>
      <c r="I397">
        <v>12.69</v>
      </c>
      <c r="J397" t="s">
        <v>355</v>
      </c>
      <c r="K397" t="str">
        <f t="shared" si="17"/>
        <v>alyssa5</v>
      </c>
      <c r="L397">
        <f t="shared" si="18"/>
        <v>50.126400000000004</v>
      </c>
    </row>
    <row r="398" spans="1:12" x14ac:dyDescent="0.25">
      <c r="A398">
        <v>5</v>
      </c>
      <c r="B398" t="s">
        <v>71</v>
      </c>
      <c r="C398" t="s">
        <v>32</v>
      </c>
      <c r="D398" s="1" t="s">
        <v>753</v>
      </c>
      <c r="E398">
        <v>13.66</v>
      </c>
      <c r="F398">
        <v>16.93</v>
      </c>
      <c r="G398">
        <v>4.33</v>
      </c>
      <c r="H398">
        <v>6.3</v>
      </c>
      <c r="I398">
        <v>10.63</v>
      </c>
      <c r="J398" t="s">
        <v>355</v>
      </c>
      <c r="K398" t="str">
        <f t="shared" si="17"/>
        <v>alyssa5</v>
      </c>
      <c r="L398">
        <f t="shared" si="18"/>
        <v>39.69</v>
      </c>
    </row>
    <row r="399" spans="1:12" x14ac:dyDescent="0.25">
      <c r="A399">
        <v>5</v>
      </c>
      <c r="B399" t="s">
        <v>47</v>
      </c>
      <c r="C399" t="s">
        <v>32</v>
      </c>
      <c r="D399" s="1" t="s">
        <v>754</v>
      </c>
      <c r="E399">
        <v>12.59</v>
      </c>
      <c r="F399">
        <v>15.87</v>
      </c>
      <c r="G399">
        <v>3.99</v>
      </c>
      <c r="H399">
        <v>5.94</v>
      </c>
      <c r="I399">
        <v>9.93</v>
      </c>
      <c r="J399" t="s">
        <v>356</v>
      </c>
      <c r="K399" t="str">
        <f t="shared" si="17"/>
        <v>chris5</v>
      </c>
      <c r="L399">
        <f t="shared" si="18"/>
        <v>35.283600000000007</v>
      </c>
    </row>
    <row r="400" spans="1:12" x14ac:dyDescent="0.25">
      <c r="A400">
        <v>5</v>
      </c>
      <c r="B400" t="s">
        <v>46</v>
      </c>
      <c r="C400" t="s">
        <v>32</v>
      </c>
      <c r="D400" s="1" t="s">
        <v>755</v>
      </c>
      <c r="E400">
        <v>10.95</v>
      </c>
      <c r="F400">
        <v>12.98</v>
      </c>
      <c r="G400">
        <v>3.46</v>
      </c>
      <c r="H400">
        <v>4.76</v>
      </c>
      <c r="I400">
        <v>8.2200000000000006</v>
      </c>
      <c r="J400" t="s">
        <v>356</v>
      </c>
      <c r="K400" t="str">
        <f t="shared" si="17"/>
        <v>chris5</v>
      </c>
      <c r="L400">
        <f t="shared" si="18"/>
        <v>22.657599999999999</v>
      </c>
    </row>
    <row r="401" spans="1:12" x14ac:dyDescent="0.25">
      <c r="A401">
        <v>5</v>
      </c>
      <c r="B401" t="s">
        <v>224</v>
      </c>
      <c r="C401" t="s">
        <v>32</v>
      </c>
      <c r="D401" s="1" t="s">
        <v>756</v>
      </c>
      <c r="E401">
        <v>9.42</v>
      </c>
      <c r="F401">
        <v>11.96</v>
      </c>
      <c r="G401">
        <v>2.2999999999999998</v>
      </c>
      <c r="H401">
        <v>4.83</v>
      </c>
      <c r="I401">
        <v>7.13</v>
      </c>
      <c r="J401" t="s">
        <v>356</v>
      </c>
      <c r="K401" t="str">
        <f t="shared" si="17"/>
        <v>chris5</v>
      </c>
      <c r="L401">
        <f t="shared" si="18"/>
        <v>23.328900000000001</v>
      </c>
    </row>
    <row r="402" spans="1:12" x14ac:dyDescent="0.25">
      <c r="A402">
        <v>5</v>
      </c>
      <c r="B402" t="s">
        <v>35</v>
      </c>
      <c r="C402" t="s">
        <v>32</v>
      </c>
      <c r="D402" s="1" t="s">
        <v>757</v>
      </c>
      <c r="E402">
        <v>12.6</v>
      </c>
      <c r="F402">
        <v>14.08</v>
      </c>
      <c r="G402">
        <v>4.4000000000000004</v>
      </c>
      <c r="H402">
        <v>4.84</v>
      </c>
      <c r="I402">
        <v>9.24</v>
      </c>
      <c r="J402" t="s">
        <v>357</v>
      </c>
      <c r="K402" t="str">
        <f t="shared" si="17"/>
        <v>jordan5</v>
      </c>
      <c r="L402">
        <f t="shared" si="18"/>
        <v>23.425599999999999</v>
      </c>
    </row>
    <row r="403" spans="1:12" x14ac:dyDescent="0.25">
      <c r="A403">
        <v>5</v>
      </c>
      <c r="B403" t="s">
        <v>222</v>
      </c>
      <c r="C403" t="s">
        <v>32</v>
      </c>
      <c r="D403" s="1" t="s">
        <v>758</v>
      </c>
      <c r="E403">
        <v>9.8000000000000007</v>
      </c>
      <c r="F403">
        <v>13.96</v>
      </c>
      <c r="G403">
        <v>1.6</v>
      </c>
      <c r="H403">
        <v>6.18</v>
      </c>
      <c r="I403">
        <v>7.78</v>
      </c>
      <c r="J403" t="s">
        <v>357</v>
      </c>
      <c r="K403" t="str">
        <f t="shared" si="17"/>
        <v>jordan5</v>
      </c>
      <c r="L403">
        <f t="shared" si="18"/>
        <v>38.192399999999999</v>
      </c>
    </row>
    <row r="404" spans="1:12" x14ac:dyDescent="0.25">
      <c r="A404">
        <v>5</v>
      </c>
      <c r="B404" t="s">
        <v>34</v>
      </c>
      <c r="C404" t="s">
        <v>32</v>
      </c>
      <c r="D404" s="1" t="s">
        <v>759</v>
      </c>
      <c r="E404">
        <v>16.43</v>
      </c>
      <c r="F404">
        <v>21.66</v>
      </c>
      <c r="G404">
        <v>5.34</v>
      </c>
      <c r="H404">
        <v>8.16</v>
      </c>
      <c r="I404">
        <v>13.5</v>
      </c>
      <c r="J404" t="s">
        <v>358</v>
      </c>
      <c r="K404" t="str">
        <f t="shared" si="17"/>
        <v>alex5</v>
      </c>
      <c r="L404">
        <f t="shared" si="18"/>
        <v>66.585599999999999</v>
      </c>
    </row>
    <row r="405" spans="1:12" x14ac:dyDescent="0.25">
      <c r="A405">
        <v>5</v>
      </c>
      <c r="B405" t="s">
        <v>36</v>
      </c>
      <c r="C405" t="s">
        <v>32</v>
      </c>
      <c r="D405" s="1" t="s">
        <v>760</v>
      </c>
      <c r="E405">
        <v>13.75</v>
      </c>
      <c r="F405">
        <v>17.989999999999998</v>
      </c>
      <c r="G405">
        <v>4.2699999999999996</v>
      </c>
      <c r="H405">
        <v>6.86</v>
      </c>
      <c r="I405">
        <v>11.13</v>
      </c>
      <c r="J405" t="s">
        <v>358</v>
      </c>
      <c r="K405" t="str">
        <f t="shared" si="17"/>
        <v>alex5</v>
      </c>
      <c r="L405">
        <f t="shared" si="18"/>
        <v>47.059600000000003</v>
      </c>
    </row>
    <row r="406" spans="1:12" x14ac:dyDescent="0.25">
      <c r="A406">
        <v>5</v>
      </c>
      <c r="B406" t="s">
        <v>453</v>
      </c>
      <c r="C406" t="s">
        <v>32</v>
      </c>
      <c r="D406" s="1" t="s">
        <v>761</v>
      </c>
      <c r="E406">
        <v>10.82</v>
      </c>
      <c r="F406">
        <v>14.08</v>
      </c>
      <c r="G406">
        <v>3.22</v>
      </c>
      <c r="H406">
        <v>5.43</v>
      </c>
      <c r="I406">
        <v>8.65</v>
      </c>
      <c r="J406" t="s">
        <v>358</v>
      </c>
      <c r="K406" t="str">
        <f t="shared" si="17"/>
        <v>alex5</v>
      </c>
      <c r="L406">
        <f t="shared" si="18"/>
        <v>29.484899999999996</v>
      </c>
    </row>
    <row r="407" spans="1:12" x14ac:dyDescent="0.25">
      <c r="A407">
        <v>5</v>
      </c>
      <c r="B407" t="s">
        <v>161</v>
      </c>
      <c r="C407" t="s">
        <v>32</v>
      </c>
      <c r="D407" s="1" t="s">
        <v>762</v>
      </c>
      <c r="E407">
        <v>8.84</v>
      </c>
      <c r="F407">
        <v>11.6</v>
      </c>
      <c r="G407">
        <v>2.7</v>
      </c>
      <c r="H407">
        <v>4.45</v>
      </c>
      <c r="I407">
        <v>7.15</v>
      </c>
      <c r="J407" t="s">
        <v>359</v>
      </c>
      <c r="K407" t="str">
        <f t="shared" si="17"/>
        <v>colin5</v>
      </c>
      <c r="L407">
        <f t="shared" si="18"/>
        <v>19.802500000000002</v>
      </c>
    </row>
    <row r="408" spans="1:12" x14ac:dyDescent="0.25">
      <c r="A408">
        <v>5</v>
      </c>
      <c r="B408" t="s">
        <v>183</v>
      </c>
      <c r="C408" t="s">
        <v>32</v>
      </c>
      <c r="D408" s="1" t="s">
        <v>763</v>
      </c>
      <c r="E408">
        <v>9.02</v>
      </c>
      <c r="F408">
        <v>12.87</v>
      </c>
      <c r="G408">
        <v>1.05</v>
      </c>
      <c r="H408">
        <v>5.91</v>
      </c>
      <c r="I408">
        <v>6.96</v>
      </c>
      <c r="J408" t="s">
        <v>359</v>
      </c>
      <c r="K408" t="str">
        <f t="shared" si="17"/>
        <v>colin5</v>
      </c>
      <c r="L408">
        <f t="shared" si="18"/>
        <v>34.928100000000001</v>
      </c>
    </row>
    <row r="409" spans="1:12" x14ac:dyDescent="0.25">
      <c r="A409">
        <v>5</v>
      </c>
      <c r="B409" t="s">
        <v>49</v>
      </c>
      <c r="C409" t="s">
        <v>32</v>
      </c>
      <c r="D409" s="1" t="s">
        <v>764</v>
      </c>
      <c r="E409">
        <v>15.13</v>
      </c>
      <c r="F409">
        <v>20.21</v>
      </c>
      <c r="G409">
        <v>4.3499999999999996</v>
      </c>
      <c r="H409">
        <v>7.93</v>
      </c>
      <c r="I409">
        <v>12.28</v>
      </c>
      <c r="J409" t="s">
        <v>360</v>
      </c>
      <c r="K409" t="str">
        <f t="shared" si="17"/>
        <v>paul5</v>
      </c>
      <c r="L409">
        <f t="shared" si="18"/>
        <v>62.884899999999995</v>
      </c>
    </row>
    <row r="410" spans="1:12" x14ac:dyDescent="0.25">
      <c r="A410">
        <v>5</v>
      </c>
      <c r="B410" t="s">
        <v>38</v>
      </c>
      <c r="C410" t="s">
        <v>32</v>
      </c>
      <c r="D410" s="1" t="s">
        <v>765</v>
      </c>
      <c r="E410">
        <v>12.61</v>
      </c>
      <c r="F410">
        <v>16.489999999999998</v>
      </c>
      <c r="G410">
        <v>3.87</v>
      </c>
      <c r="H410">
        <v>6.31</v>
      </c>
      <c r="I410">
        <v>10.18</v>
      </c>
      <c r="J410" t="s">
        <v>360</v>
      </c>
      <c r="K410" t="str">
        <f t="shared" si="17"/>
        <v>paul5</v>
      </c>
      <c r="L410">
        <f t="shared" si="18"/>
        <v>39.816099999999992</v>
      </c>
    </row>
    <row r="411" spans="1:12" x14ac:dyDescent="0.25">
      <c r="A411">
        <v>5</v>
      </c>
      <c r="B411" t="s">
        <v>147</v>
      </c>
      <c r="C411" t="s">
        <v>32</v>
      </c>
      <c r="D411" s="1" t="s">
        <v>766</v>
      </c>
      <c r="E411">
        <v>12.35</v>
      </c>
      <c r="F411">
        <v>16.13</v>
      </c>
      <c r="G411">
        <v>4.03</v>
      </c>
      <c r="H411">
        <v>6.05</v>
      </c>
      <c r="I411">
        <v>10.08</v>
      </c>
      <c r="J411" t="s">
        <v>360</v>
      </c>
      <c r="K411" t="str">
        <f t="shared" si="17"/>
        <v>paul5</v>
      </c>
      <c r="L411">
        <f t="shared" si="18"/>
        <v>36.602499999999999</v>
      </c>
    </row>
    <row r="412" spans="1:12" x14ac:dyDescent="0.25">
      <c r="A412">
        <v>5</v>
      </c>
      <c r="B412" t="s">
        <v>246</v>
      </c>
      <c r="C412" t="s">
        <v>53</v>
      </c>
      <c r="D412" s="1" t="s">
        <v>767</v>
      </c>
      <c r="E412">
        <v>20.11</v>
      </c>
      <c r="F412">
        <v>26.29</v>
      </c>
      <c r="G412">
        <v>12.25</v>
      </c>
      <c r="H412">
        <v>7.02</v>
      </c>
      <c r="I412">
        <v>19.27</v>
      </c>
      <c r="J412" t="s">
        <v>351</v>
      </c>
      <c r="K412" t="str">
        <f t="shared" si="17"/>
        <v>andrew5</v>
      </c>
      <c r="L412">
        <f t="shared" si="18"/>
        <v>49.280399999999993</v>
      </c>
    </row>
    <row r="413" spans="1:12" x14ac:dyDescent="0.25">
      <c r="A413">
        <v>5</v>
      </c>
      <c r="B413" t="s">
        <v>204</v>
      </c>
      <c r="C413" t="s">
        <v>53</v>
      </c>
      <c r="D413" s="1" t="s">
        <v>768</v>
      </c>
      <c r="E413">
        <v>22.14</v>
      </c>
      <c r="F413">
        <v>27.76</v>
      </c>
      <c r="G413">
        <v>15.46</v>
      </c>
      <c r="H413">
        <v>6.15</v>
      </c>
      <c r="I413">
        <v>21.61</v>
      </c>
      <c r="J413" t="s">
        <v>352</v>
      </c>
      <c r="K413" t="str">
        <f t="shared" si="17"/>
        <v>jake5</v>
      </c>
      <c r="L413">
        <f t="shared" si="18"/>
        <v>37.822500000000005</v>
      </c>
    </row>
    <row r="414" spans="1:12" x14ac:dyDescent="0.25">
      <c r="A414">
        <v>5</v>
      </c>
      <c r="B414" t="s">
        <v>290</v>
      </c>
      <c r="C414" t="s">
        <v>53</v>
      </c>
      <c r="D414" s="1" t="s">
        <v>769</v>
      </c>
      <c r="E414">
        <v>22.65</v>
      </c>
      <c r="F414">
        <v>30.02</v>
      </c>
      <c r="G414">
        <v>13.66</v>
      </c>
      <c r="H414">
        <v>8.18</v>
      </c>
      <c r="I414">
        <v>21.84</v>
      </c>
      <c r="J414" t="s">
        <v>353</v>
      </c>
      <c r="K414" t="str">
        <f t="shared" si="17"/>
        <v>breanna5</v>
      </c>
      <c r="L414">
        <f t="shared" si="18"/>
        <v>66.912399999999991</v>
      </c>
    </row>
    <row r="415" spans="1:12" x14ac:dyDescent="0.25">
      <c r="A415">
        <v>5</v>
      </c>
      <c r="B415" t="s">
        <v>364</v>
      </c>
      <c r="C415" t="s">
        <v>53</v>
      </c>
      <c r="D415" s="1" t="s">
        <v>770</v>
      </c>
      <c r="E415">
        <v>18.649999999999999</v>
      </c>
      <c r="F415">
        <v>25.04</v>
      </c>
      <c r="G415">
        <v>10.36</v>
      </c>
      <c r="H415">
        <v>7.34</v>
      </c>
      <c r="I415">
        <v>17.7</v>
      </c>
      <c r="J415" t="s">
        <v>354</v>
      </c>
      <c r="K415" t="str">
        <f t="shared" si="17"/>
        <v>joseph5</v>
      </c>
      <c r="L415">
        <f t="shared" si="18"/>
        <v>53.875599999999999</v>
      </c>
    </row>
    <row r="416" spans="1:12" x14ac:dyDescent="0.25">
      <c r="A416">
        <v>5</v>
      </c>
      <c r="B416" t="s">
        <v>386</v>
      </c>
      <c r="C416" t="s">
        <v>53</v>
      </c>
      <c r="D416" s="1" t="s">
        <v>771</v>
      </c>
      <c r="E416">
        <v>18</v>
      </c>
      <c r="F416">
        <v>23.27</v>
      </c>
      <c r="G416">
        <v>10.97</v>
      </c>
      <c r="H416">
        <v>6.15</v>
      </c>
      <c r="I416">
        <v>17.12</v>
      </c>
      <c r="J416" t="s">
        <v>355</v>
      </c>
      <c r="K416" t="str">
        <f t="shared" si="17"/>
        <v>alyssa5</v>
      </c>
      <c r="L416">
        <f t="shared" si="18"/>
        <v>37.822500000000005</v>
      </c>
    </row>
    <row r="417" spans="1:12" x14ac:dyDescent="0.25">
      <c r="A417">
        <v>5</v>
      </c>
      <c r="B417" t="s">
        <v>55</v>
      </c>
      <c r="C417" t="s">
        <v>53</v>
      </c>
      <c r="D417" s="1" t="s">
        <v>772</v>
      </c>
      <c r="E417">
        <v>22.36</v>
      </c>
      <c r="F417">
        <v>30.04</v>
      </c>
      <c r="G417">
        <v>13.14</v>
      </c>
      <c r="H417">
        <v>8.4499999999999993</v>
      </c>
      <c r="I417">
        <v>21.59</v>
      </c>
      <c r="J417" t="s">
        <v>356</v>
      </c>
      <c r="K417" t="str">
        <f t="shared" si="17"/>
        <v>chris5</v>
      </c>
      <c r="L417">
        <f t="shared" si="18"/>
        <v>71.402499999999989</v>
      </c>
    </row>
    <row r="418" spans="1:12" x14ac:dyDescent="0.25">
      <c r="A418">
        <v>5</v>
      </c>
      <c r="B418" t="s">
        <v>56</v>
      </c>
      <c r="C418" t="s">
        <v>53</v>
      </c>
      <c r="D418" s="1" t="s">
        <v>773</v>
      </c>
      <c r="E418">
        <v>19.59</v>
      </c>
      <c r="F418">
        <v>26.05</v>
      </c>
      <c r="G418">
        <v>11.03</v>
      </c>
      <c r="H418">
        <v>7.51</v>
      </c>
      <c r="I418">
        <v>18.54</v>
      </c>
      <c r="J418" t="s">
        <v>357</v>
      </c>
      <c r="K418" t="str">
        <f t="shared" si="17"/>
        <v>jordan5</v>
      </c>
      <c r="L418">
        <f t="shared" si="18"/>
        <v>56.400099999999995</v>
      </c>
    </row>
    <row r="419" spans="1:12" x14ac:dyDescent="0.25">
      <c r="A419">
        <v>5</v>
      </c>
      <c r="B419" t="s">
        <v>54</v>
      </c>
      <c r="C419" t="s">
        <v>53</v>
      </c>
      <c r="D419" s="1" t="s">
        <v>774</v>
      </c>
      <c r="E419">
        <v>20.13</v>
      </c>
      <c r="F419">
        <v>26.75</v>
      </c>
      <c r="G419">
        <v>12.21</v>
      </c>
      <c r="H419">
        <v>7.27</v>
      </c>
      <c r="I419">
        <v>19.48</v>
      </c>
      <c r="J419" t="s">
        <v>358</v>
      </c>
      <c r="K419" t="str">
        <f t="shared" si="17"/>
        <v>alex5</v>
      </c>
      <c r="L419">
        <f t="shared" si="18"/>
        <v>52.852899999999991</v>
      </c>
    </row>
    <row r="420" spans="1:12" x14ac:dyDescent="0.25">
      <c r="A420">
        <v>5</v>
      </c>
      <c r="B420" t="s">
        <v>52</v>
      </c>
      <c r="C420" t="s">
        <v>53</v>
      </c>
      <c r="D420" s="1" t="s">
        <v>775</v>
      </c>
      <c r="E420">
        <v>24.74</v>
      </c>
      <c r="F420">
        <v>32.090000000000003</v>
      </c>
      <c r="G420">
        <v>15.73</v>
      </c>
      <c r="H420">
        <v>8.18</v>
      </c>
      <c r="I420">
        <v>23.91</v>
      </c>
      <c r="J420" t="s">
        <v>359</v>
      </c>
      <c r="K420" t="str">
        <f t="shared" si="17"/>
        <v>colin5</v>
      </c>
      <c r="L420">
        <f t="shared" si="18"/>
        <v>66.912399999999991</v>
      </c>
    </row>
    <row r="421" spans="1:12" x14ac:dyDescent="0.25">
      <c r="A421">
        <v>5</v>
      </c>
      <c r="B421" t="s">
        <v>194</v>
      </c>
      <c r="C421" t="s">
        <v>53</v>
      </c>
      <c r="D421" s="1" t="s">
        <v>776</v>
      </c>
      <c r="E421">
        <v>22.51</v>
      </c>
      <c r="F421">
        <v>31.04</v>
      </c>
      <c r="G421">
        <v>13.28</v>
      </c>
      <c r="H421">
        <v>8.8800000000000008</v>
      </c>
      <c r="I421">
        <v>22.16</v>
      </c>
      <c r="J421" t="s">
        <v>360</v>
      </c>
      <c r="K421" t="str">
        <f t="shared" si="17"/>
        <v>paul5</v>
      </c>
      <c r="L421">
        <f t="shared" si="18"/>
        <v>78.854400000000012</v>
      </c>
    </row>
    <row r="422" spans="1:12" x14ac:dyDescent="0.25">
      <c r="A422">
        <v>5</v>
      </c>
      <c r="B422" t="s">
        <v>497</v>
      </c>
      <c r="C422" t="s">
        <v>57</v>
      </c>
      <c r="D422" s="1" t="s">
        <v>777</v>
      </c>
      <c r="E422">
        <v>6.46</v>
      </c>
      <c r="F422">
        <v>8.58</v>
      </c>
      <c r="G422">
        <v>1.06</v>
      </c>
      <c r="H422">
        <v>3.76</v>
      </c>
      <c r="I422">
        <v>4.82</v>
      </c>
      <c r="J422" t="s">
        <v>351</v>
      </c>
      <c r="K422" t="str">
        <f t="shared" si="17"/>
        <v>andrew5</v>
      </c>
      <c r="L422">
        <f t="shared" si="18"/>
        <v>14.137599999999999</v>
      </c>
    </row>
    <row r="423" spans="1:12" x14ac:dyDescent="0.25">
      <c r="A423">
        <v>5</v>
      </c>
      <c r="B423" t="s">
        <v>60</v>
      </c>
      <c r="C423" t="s">
        <v>57</v>
      </c>
      <c r="D423" s="1" t="s">
        <v>778</v>
      </c>
      <c r="E423">
        <v>9.9</v>
      </c>
      <c r="F423">
        <v>12.65</v>
      </c>
      <c r="G423">
        <v>2.13</v>
      </c>
      <c r="H423">
        <v>5.26</v>
      </c>
      <c r="I423">
        <v>7.39</v>
      </c>
      <c r="J423" t="s">
        <v>352</v>
      </c>
      <c r="K423" t="str">
        <f t="shared" si="17"/>
        <v>jake5</v>
      </c>
      <c r="L423">
        <f t="shared" si="18"/>
        <v>27.667599999999997</v>
      </c>
    </row>
    <row r="424" spans="1:12" x14ac:dyDescent="0.25">
      <c r="A424">
        <v>5</v>
      </c>
      <c r="B424" t="s">
        <v>368</v>
      </c>
      <c r="C424" t="s">
        <v>57</v>
      </c>
      <c r="D424" s="1" t="s">
        <v>779</v>
      </c>
      <c r="E424">
        <v>5.54</v>
      </c>
      <c r="F424">
        <v>7.99</v>
      </c>
      <c r="G424">
        <v>0.28999999999999998</v>
      </c>
      <c r="H424">
        <v>3.85</v>
      </c>
      <c r="I424">
        <v>4.1399999999999997</v>
      </c>
      <c r="J424" t="s">
        <v>353</v>
      </c>
      <c r="K424" t="str">
        <f t="shared" si="17"/>
        <v>breanna5</v>
      </c>
      <c r="L424">
        <f t="shared" si="18"/>
        <v>14.822500000000002</v>
      </c>
    </row>
    <row r="425" spans="1:12" x14ac:dyDescent="0.25">
      <c r="A425">
        <v>5</v>
      </c>
      <c r="B425" t="s">
        <v>61</v>
      </c>
      <c r="C425" t="s">
        <v>57</v>
      </c>
      <c r="D425" s="1" t="s">
        <v>780</v>
      </c>
      <c r="E425">
        <v>12.45</v>
      </c>
      <c r="F425">
        <v>15.59</v>
      </c>
      <c r="G425">
        <v>4.03</v>
      </c>
      <c r="H425">
        <v>5.78</v>
      </c>
      <c r="I425">
        <v>9.81</v>
      </c>
      <c r="J425" t="s">
        <v>354</v>
      </c>
      <c r="K425" t="str">
        <f t="shared" si="17"/>
        <v>joseph5</v>
      </c>
      <c r="L425">
        <f t="shared" si="18"/>
        <v>33.4084</v>
      </c>
    </row>
    <row r="426" spans="1:12" x14ac:dyDescent="0.25">
      <c r="A426">
        <v>5</v>
      </c>
      <c r="B426" t="s">
        <v>521</v>
      </c>
      <c r="C426" t="s">
        <v>57</v>
      </c>
      <c r="D426" s="1" t="s">
        <v>781</v>
      </c>
      <c r="E426">
        <v>2.93</v>
      </c>
      <c r="F426">
        <v>4.7699999999999996</v>
      </c>
      <c r="G426">
        <v>-0.15</v>
      </c>
      <c r="H426">
        <v>2.46</v>
      </c>
      <c r="I426">
        <v>2.31</v>
      </c>
      <c r="J426" t="s">
        <v>355</v>
      </c>
      <c r="K426" t="str">
        <f t="shared" si="17"/>
        <v>alyssa5</v>
      </c>
      <c r="L426">
        <f t="shared" si="18"/>
        <v>6.0515999999999996</v>
      </c>
    </row>
    <row r="427" spans="1:12" x14ac:dyDescent="0.25">
      <c r="A427">
        <v>5</v>
      </c>
      <c r="B427" t="s">
        <v>58</v>
      </c>
      <c r="C427" t="s">
        <v>57</v>
      </c>
      <c r="D427" s="1" t="s">
        <v>782</v>
      </c>
      <c r="E427">
        <v>8.66</v>
      </c>
      <c r="F427">
        <v>11.16</v>
      </c>
      <c r="G427">
        <v>1.9</v>
      </c>
      <c r="H427">
        <v>4.63</v>
      </c>
      <c r="I427">
        <v>6.53</v>
      </c>
      <c r="J427" t="s">
        <v>356</v>
      </c>
      <c r="K427" t="str">
        <f t="shared" si="17"/>
        <v>chris5</v>
      </c>
      <c r="L427">
        <f t="shared" si="18"/>
        <v>21.436899999999998</v>
      </c>
    </row>
    <row r="428" spans="1:12" x14ac:dyDescent="0.25">
      <c r="A428">
        <v>5</v>
      </c>
      <c r="B428" t="s">
        <v>62</v>
      </c>
      <c r="C428" t="s">
        <v>57</v>
      </c>
      <c r="D428" s="1" t="s">
        <v>783</v>
      </c>
      <c r="E428">
        <v>15.5</v>
      </c>
      <c r="F428">
        <v>20.41</v>
      </c>
      <c r="G428">
        <v>5.57</v>
      </c>
      <c r="H428">
        <v>7.42</v>
      </c>
      <c r="I428">
        <v>12.99</v>
      </c>
      <c r="J428" t="s">
        <v>357</v>
      </c>
      <c r="K428" t="str">
        <f t="shared" si="17"/>
        <v>jordan5</v>
      </c>
      <c r="L428">
        <f t="shared" si="18"/>
        <v>55.056399999999996</v>
      </c>
    </row>
    <row r="429" spans="1:12" x14ac:dyDescent="0.25">
      <c r="A429">
        <v>5</v>
      </c>
      <c r="B429" t="s">
        <v>150</v>
      </c>
      <c r="C429" t="s">
        <v>57</v>
      </c>
      <c r="D429" s="1" t="s">
        <v>784</v>
      </c>
      <c r="E429">
        <v>8.6300000000000008</v>
      </c>
      <c r="F429">
        <v>11.56</v>
      </c>
      <c r="G429">
        <v>1.7</v>
      </c>
      <c r="H429">
        <v>4.93</v>
      </c>
      <c r="I429">
        <v>6.63</v>
      </c>
      <c r="J429" t="s">
        <v>358</v>
      </c>
      <c r="K429" t="str">
        <f t="shared" si="17"/>
        <v>alex5</v>
      </c>
      <c r="L429">
        <f t="shared" si="18"/>
        <v>24.304899999999996</v>
      </c>
    </row>
    <row r="430" spans="1:12" x14ac:dyDescent="0.25">
      <c r="A430">
        <v>5</v>
      </c>
      <c r="B430" t="s">
        <v>73</v>
      </c>
      <c r="C430" t="s">
        <v>57</v>
      </c>
      <c r="D430" s="1" t="s">
        <v>785</v>
      </c>
      <c r="E430">
        <v>11.43</v>
      </c>
      <c r="F430">
        <v>14.08</v>
      </c>
      <c r="G430">
        <v>3.62</v>
      </c>
      <c r="H430">
        <v>5.23</v>
      </c>
      <c r="I430">
        <v>8.85</v>
      </c>
      <c r="J430" t="s">
        <v>359</v>
      </c>
      <c r="K430" t="str">
        <f t="shared" si="17"/>
        <v>colin5</v>
      </c>
      <c r="L430">
        <f t="shared" si="18"/>
        <v>27.352900000000005</v>
      </c>
    </row>
    <row r="431" spans="1:12" x14ac:dyDescent="0.25">
      <c r="A431">
        <v>5</v>
      </c>
      <c r="B431" t="s">
        <v>59</v>
      </c>
      <c r="C431" t="s">
        <v>57</v>
      </c>
      <c r="D431" s="1" t="s">
        <v>786</v>
      </c>
      <c r="E431">
        <v>9.07</v>
      </c>
      <c r="F431">
        <v>12.42</v>
      </c>
      <c r="G431">
        <v>1.04</v>
      </c>
      <c r="H431">
        <v>5.69</v>
      </c>
      <c r="I431">
        <v>6.73</v>
      </c>
      <c r="J431" t="s">
        <v>360</v>
      </c>
      <c r="K431" t="str">
        <f t="shared" si="17"/>
        <v>paul5</v>
      </c>
      <c r="L431">
        <f t="shared" si="18"/>
        <v>32.376100000000001</v>
      </c>
    </row>
    <row r="432" spans="1:12" x14ac:dyDescent="0.25">
      <c r="A432">
        <v>5</v>
      </c>
      <c r="B432" t="s">
        <v>787</v>
      </c>
      <c r="C432" t="s">
        <v>63</v>
      </c>
      <c r="D432" s="1" t="s">
        <v>788</v>
      </c>
      <c r="E432">
        <v>9.2539999999999996</v>
      </c>
      <c r="F432">
        <v>14.93</v>
      </c>
      <c r="G432">
        <v>3.57</v>
      </c>
      <c r="H432">
        <v>5.68</v>
      </c>
      <c r="I432">
        <v>9.2539999999999996</v>
      </c>
      <c r="J432" t="s">
        <v>351</v>
      </c>
      <c r="K432" t="str">
        <f t="shared" si="17"/>
        <v>andrew5</v>
      </c>
      <c r="L432">
        <f t="shared" si="18"/>
        <v>32.2624</v>
      </c>
    </row>
    <row r="433" spans="1:12" x14ac:dyDescent="0.25">
      <c r="A433">
        <v>5</v>
      </c>
      <c r="B433" t="s">
        <v>318</v>
      </c>
      <c r="C433" t="s">
        <v>63</v>
      </c>
      <c r="D433" s="1" t="s">
        <v>789</v>
      </c>
      <c r="E433">
        <v>8.7211999999999996</v>
      </c>
      <c r="F433">
        <v>14.83</v>
      </c>
      <c r="G433">
        <v>2.67</v>
      </c>
      <c r="H433">
        <v>6.08</v>
      </c>
      <c r="I433">
        <v>8.7211999999999996</v>
      </c>
      <c r="J433" t="s">
        <v>352</v>
      </c>
      <c r="K433" t="str">
        <f t="shared" si="17"/>
        <v>jake5</v>
      </c>
      <c r="L433">
        <f t="shared" si="18"/>
        <v>36.9664</v>
      </c>
    </row>
    <row r="434" spans="1:12" x14ac:dyDescent="0.25">
      <c r="A434">
        <v>5</v>
      </c>
      <c r="B434" t="s">
        <v>335</v>
      </c>
      <c r="C434" t="s">
        <v>63</v>
      </c>
      <c r="D434" s="1" t="s">
        <v>790</v>
      </c>
      <c r="E434">
        <v>7.8798000000000004</v>
      </c>
      <c r="F434">
        <v>13.9</v>
      </c>
      <c r="G434">
        <v>1.86</v>
      </c>
      <c r="H434">
        <v>6.02</v>
      </c>
      <c r="I434">
        <v>7.8798000000000004</v>
      </c>
      <c r="J434" t="s">
        <v>353</v>
      </c>
      <c r="K434" t="str">
        <f t="shared" si="17"/>
        <v>breanna5</v>
      </c>
      <c r="L434">
        <f t="shared" si="18"/>
        <v>36.240399999999994</v>
      </c>
    </row>
    <row r="435" spans="1:12" x14ac:dyDescent="0.25">
      <c r="A435">
        <v>5</v>
      </c>
      <c r="B435" t="s">
        <v>372</v>
      </c>
      <c r="C435" t="s">
        <v>63</v>
      </c>
      <c r="D435" s="1" t="s">
        <v>791</v>
      </c>
      <c r="E435">
        <v>9.8780000000000001</v>
      </c>
      <c r="F435">
        <v>15.45</v>
      </c>
      <c r="G435">
        <v>4.29</v>
      </c>
      <c r="H435">
        <v>5.58</v>
      </c>
      <c r="I435">
        <v>9.8780000000000001</v>
      </c>
      <c r="J435" t="s">
        <v>354</v>
      </c>
      <c r="K435" t="str">
        <f t="shared" si="17"/>
        <v>joseph5</v>
      </c>
      <c r="L435">
        <f t="shared" si="18"/>
        <v>31.136400000000002</v>
      </c>
    </row>
    <row r="436" spans="1:12" x14ac:dyDescent="0.25">
      <c r="A436">
        <v>5</v>
      </c>
      <c r="B436" t="s">
        <v>389</v>
      </c>
      <c r="C436" t="s">
        <v>63</v>
      </c>
      <c r="D436" s="1" t="s">
        <v>792</v>
      </c>
      <c r="E436">
        <v>7.3017000000000003</v>
      </c>
      <c r="F436">
        <v>12.46</v>
      </c>
      <c r="G436">
        <v>2.16</v>
      </c>
      <c r="H436">
        <v>5.15</v>
      </c>
      <c r="I436">
        <v>7.3017000000000003</v>
      </c>
      <c r="J436" t="s">
        <v>355</v>
      </c>
      <c r="K436" t="str">
        <f t="shared" si="17"/>
        <v>alyssa5</v>
      </c>
      <c r="L436">
        <f t="shared" si="18"/>
        <v>26.522500000000004</v>
      </c>
    </row>
    <row r="437" spans="1:12" x14ac:dyDescent="0.25">
      <c r="A437">
        <v>5</v>
      </c>
      <c r="B437" t="s">
        <v>177</v>
      </c>
      <c r="C437" t="s">
        <v>63</v>
      </c>
      <c r="D437" s="1" t="s">
        <v>793</v>
      </c>
      <c r="E437">
        <v>8.8003999999999998</v>
      </c>
      <c r="F437">
        <v>14.74</v>
      </c>
      <c r="G437">
        <v>2.88</v>
      </c>
      <c r="H437">
        <v>5.93</v>
      </c>
      <c r="I437">
        <v>8.8003999999999998</v>
      </c>
      <c r="J437" t="s">
        <v>356</v>
      </c>
      <c r="K437" t="str">
        <f t="shared" si="17"/>
        <v>chris5</v>
      </c>
      <c r="L437">
        <f t="shared" si="18"/>
        <v>35.164899999999996</v>
      </c>
    </row>
    <row r="438" spans="1:12" x14ac:dyDescent="0.25">
      <c r="A438">
        <v>5</v>
      </c>
      <c r="B438" t="s">
        <v>203</v>
      </c>
      <c r="C438" t="s">
        <v>63</v>
      </c>
      <c r="D438" s="1" t="s">
        <v>794</v>
      </c>
      <c r="E438">
        <v>10.0131</v>
      </c>
      <c r="F438">
        <v>15.27</v>
      </c>
      <c r="G438">
        <v>4.7699999999999996</v>
      </c>
      <c r="H438">
        <v>5.25</v>
      </c>
      <c r="I438">
        <v>10.0131</v>
      </c>
      <c r="J438" t="s">
        <v>357</v>
      </c>
      <c r="K438" t="str">
        <f t="shared" si="17"/>
        <v>jordan5</v>
      </c>
      <c r="L438">
        <f t="shared" si="18"/>
        <v>27.5625</v>
      </c>
    </row>
    <row r="439" spans="1:12" x14ac:dyDescent="0.25">
      <c r="A439">
        <v>5</v>
      </c>
      <c r="B439" t="s">
        <v>178</v>
      </c>
      <c r="C439" t="s">
        <v>63</v>
      </c>
      <c r="D439" s="1" t="s">
        <v>795</v>
      </c>
      <c r="E439">
        <v>6.2111000000000001</v>
      </c>
      <c r="F439">
        <v>10.84</v>
      </c>
      <c r="G439">
        <v>1.58</v>
      </c>
      <c r="H439">
        <v>4.63</v>
      </c>
      <c r="I439">
        <v>6.2111000000000001</v>
      </c>
      <c r="J439" t="s">
        <v>358</v>
      </c>
      <c r="K439" t="str">
        <f t="shared" si="17"/>
        <v>alex5</v>
      </c>
      <c r="L439">
        <f t="shared" si="18"/>
        <v>21.436899999999998</v>
      </c>
    </row>
    <row r="440" spans="1:12" x14ac:dyDescent="0.25">
      <c r="A440">
        <v>5</v>
      </c>
      <c r="B440" t="s">
        <v>257</v>
      </c>
      <c r="C440" t="s">
        <v>63</v>
      </c>
      <c r="D440" s="1" t="s">
        <v>796</v>
      </c>
      <c r="E440">
        <v>9.5670000000000002</v>
      </c>
      <c r="F440">
        <v>16.77</v>
      </c>
      <c r="G440">
        <v>2.39</v>
      </c>
      <c r="H440">
        <v>7.19</v>
      </c>
      <c r="I440">
        <v>9.5670000000000002</v>
      </c>
      <c r="J440" t="s">
        <v>359</v>
      </c>
      <c r="K440" t="str">
        <f t="shared" si="17"/>
        <v>colin5</v>
      </c>
      <c r="L440">
        <f t="shared" si="18"/>
        <v>51.696100000000008</v>
      </c>
    </row>
    <row r="441" spans="1:12" x14ac:dyDescent="0.25">
      <c r="A441">
        <v>5</v>
      </c>
      <c r="B441" t="s">
        <v>255</v>
      </c>
      <c r="C441" t="s">
        <v>63</v>
      </c>
      <c r="D441" s="1" t="s">
        <v>797</v>
      </c>
      <c r="E441">
        <v>13.082599999999999</v>
      </c>
      <c r="F441">
        <v>19.89</v>
      </c>
      <c r="G441">
        <v>6.25</v>
      </c>
      <c r="H441">
        <v>6.82</v>
      </c>
      <c r="I441">
        <v>13.082599999999999</v>
      </c>
      <c r="J441" t="s">
        <v>360</v>
      </c>
      <c r="K441" t="str">
        <f t="shared" si="17"/>
        <v>paul5</v>
      </c>
      <c r="L441">
        <f t="shared" si="18"/>
        <v>46.512400000000007</v>
      </c>
    </row>
    <row r="442" spans="1:12" x14ac:dyDescent="0.25">
      <c r="A442">
        <v>5</v>
      </c>
      <c r="B442" t="s">
        <v>159</v>
      </c>
      <c r="C442" t="s">
        <v>64</v>
      </c>
      <c r="D442" s="1" t="s">
        <v>798</v>
      </c>
      <c r="E442">
        <v>8.19</v>
      </c>
      <c r="F442">
        <v>12.06</v>
      </c>
      <c r="G442">
        <v>4.38</v>
      </c>
      <c r="H442">
        <v>3.84</v>
      </c>
      <c r="I442">
        <v>8.2200000000000006</v>
      </c>
      <c r="J442" t="s">
        <v>351</v>
      </c>
      <c r="K442" t="str">
        <f t="shared" si="17"/>
        <v>andrew5</v>
      </c>
      <c r="L442">
        <f t="shared" si="18"/>
        <v>14.7456</v>
      </c>
    </row>
    <row r="443" spans="1:12" x14ac:dyDescent="0.25">
      <c r="A443">
        <v>5</v>
      </c>
      <c r="B443" t="s">
        <v>155</v>
      </c>
      <c r="C443" t="s">
        <v>64</v>
      </c>
      <c r="D443" s="1" t="s">
        <v>799</v>
      </c>
      <c r="E443">
        <v>8.8699999999999992</v>
      </c>
      <c r="F443">
        <v>13.57</v>
      </c>
      <c r="G443">
        <v>4.17</v>
      </c>
      <c r="H443">
        <v>4.7</v>
      </c>
      <c r="I443">
        <v>8.8699999999999992</v>
      </c>
      <c r="J443" t="s">
        <v>352</v>
      </c>
      <c r="K443" t="str">
        <f t="shared" si="17"/>
        <v>jake5</v>
      </c>
      <c r="L443">
        <f t="shared" si="18"/>
        <v>22.090000000000003</v>
      </c>
    </row>
    <row r="444" spans="1:12" x14ac:dyDescent="0.25">
      <c r="A444">
        <v>5</v>
      </c>
      <c r="B444" t="s">
        <v>800</v>
      </c>
      <c r="C444" t="s">
        <v>64</v>
      </c>
      <c r="D444" s="1" t="s">
        <v>798</v>
      </c>
      <c r="E444">
        <v>8.19</v>
      </c>
      <c r="F444">
        <v>12.06</v>
      </c>
      <c r="G444">
        <v>4.38</v>
      </c>
      <c r="H444">
        <v>3.84</v>
      </c>
      <c r="I444">
        <v>8.2200000000000006</v>
      </c>
      <c r="J444" t="s">
        <v>353</v>
      </c>
      <c r="K444" t="str">
        <f t="shared" si="17"/>
        <v>breanna5</v>
      </c>
      <c r="L444">
        <f t="shared" si="18"/>
        <v>14.7456</v>
      </c>
    </row>
    <row r="445" spans="1:12" x14ac:dyDescent="0.25">
      <c r="A445">
        <v>5</v>
      </c>
      <c r="B445" t="s">
        <v>376</v>
      </c>
      <c r="C445" t="s">
        <v>64</v>
      </c>
      <c r="D445" s="1" t="s">
        <v>801</v>
      </c>
      <c r="E445">
        <v>7.87</v>
      </c>
      <c r="F445">
        <v>11.26</v>
      </c>
      <c r="G445">
        <v>4.5199999999999996</v>
      </c>
      <c r="H445">
        <v>3.37</v>
      </c>
      <c r="I445">
        <v>7.89</v>
      </c>
      <c r="J445" t="s">
        <v>354</v>
      </c>
      <c r="K445" t="str">
        <f t="shared" si="17"/>
        <v>joseph5</v>
      </c>
      <c r="L445">
        <f t="shared" si="18"/>
        <v>11.356900000000001</v>
      </c>
    </row>
    <row r="446" spans="1:12" x14ac:dyDescent="0.25">
      <c r="A446">
        <v>5</v>
      </c>
      <c r="B446" t="s">
        <v>65</v>
      </c>
      <c r="C446" t="s">
        <v>64</v>
      </c>
      <c r="D446" s="1" t="s">
        <v>802</v>
      </c>
      <c r="E446">
        <v>8.07</v>
      </c>
      <c r="F446">
        <v>12.59</v>
      </c>
      <c r="G446">
        <v>3.45</v>
      </c>
      <c r="H446">
        <v>4.57</v>
      </c>
      <c r="I446">
        <v>8.02</v>
      </c>
      <c r="J446" t="s">
        <v>355</v>
      </c>
      <c r="K446" t="str">
        <f t="shared" si="17"/>
        <v>alyssa5</v>
      </c>
      <c r="L446">
        <f t="shared" si="18"/>
        <v>20.884900000000002</v>
      </c>
    </row>
    <row r="447" spans="1:12" x14ac:dyDescent="0.25">
      <c r="A447">
        <v>5</v>
      </c>
      <c r="B447" t="s">
        <v>67</v>
      </c>
      <c r="C447" t="s">
        <v>64</v>
      </c>
      <c r="D447" s="1" t="s">
        <v>803</v>
      </c>
      <c r="E447">
        <v>9.49</v>
      </c>
      <c r="F447">
        <v>13.76</v>
      </c>
      <c r="G447">
        <v>5.28</v>
      </c>
      <c r="H447">
        <v>4.24</v>
      </c>
      <c r="I447">
        <v>9.52</v>
      </c>
      <c r="J447" t="s">
        <v>356</v>
      </c>
      <c r="K447" t="str">
        <f t="shared" si="17"/>
        <v>chris5</v>
      </c>
      <c r="L447">
        <f t="shared" si="18"/>
        <v>17.977600000000002</v>
      </c>
    </row>
    <row r="448" spans="1:12" x14ac:dyDescent="0.25">
      <c r="A448">
        <v>5</v>
      </c>
      <c r="B448" t="s">
        <v>66</v>
      </c>
      <c r="C448" t="s">
        <v>64</v>
      </c>
      <c r="D448" s="1" t="s">
        <v>804</v>
      </c>
      <c r="E448">
        <v>8.6300000000000008</v>
      </c>
      <c r="F448">
        <v>12.72</v>
      </c>
      <c r="G448">
        <v>4.58</v>
      </c>
      <c r="H448">
        <v>4.07</v>
      </c>
      <c r="I448">
        <v>8.65</v>
      </c>
      <c r="J448" t="s">
        <v>357</v>
      </c>
      <c r="K448" t="str">
        <f t="shared" si="17"/>
        <v>jordan5</v>
      </c>
      <c r="L448">
        <f t="shared" si="18"/>
        <v>16.564900000000002</v>
      </c>
    </row>
    <row r="449" spans="1:12" x14ac:dyDescent="0.25">
      <c r="A449">
        <v>5</v>
      </c>
      <c r="B449" t="s">
        <v>378</v>
      </c>
      <c r="C449" t="s">
        <v>64</v>
      </c>
      <c r="D449" s="1" t="s">
        <v>805</v>
      </c>
      <c r="E449">
        <v>8.61</v>
      </c>
      <c r="F449">
        <v>12.41</v>
      </c>
      <c r="G449">
        <v>4.8099999999999996</v>
      </c>
      <c r="H449">
        <v>3.8</v>
      </c>
      <c r="I449">
        <v>8.61</v>
      </c>
      <c r="J449" t="s">
        <v>358</v>
      </c>
      <c r="K449" t="str">
        <f t="shared" si="17"/>
        <v>alex5</v>
      </c>
      <c r="L449">
        <f t="shared" si="18"/>
        <v>14.44</v>
      </c>
    </row>
    <row r="450" spans="1:12" x14ac:dyDescent="0.25">
      <c r="A450">
        <v>5</v>
      </c>
      <c r="B450" t="s">
        <v>261</v>
      </c>
      <c r="C450" t="s">
        <v>64</v>
      </c>
      <c r="D450" s="1" t="s">
        <v>806</v>
      </c>
      <c r="E450">
        <v>7.03</v>
      </c>
      <c r="F450">
        <v>11.59</v>
      </c>
      <c r="G450">
        <v>2.57</v>
      </c>
      <c r="H450">
        <v>4.51</v>
      </c>
      <c r="I450">
        <v>7.08</v>
      </c>
      <c r="J450" t="s">
        <v>359</v>
      </c>
      <c r="K450" t="str">
        <f t="shared" si="17"/>
        <v>colin5</v>
      </c>
      <c r="L450">
        <f t="shared" si="18"/>
        <v>20.3401</v>
      </c>
    </row>
    <row r="451" spans="1:12" x14ac:dyDescent="0.25">
      <c r="A451">
        <v>5</v>
      </c>
      <c r="B451" t="s">
        <v>167</v>
      </c>
      <c r="C451" t="s">
        <v>64</v>
      </c>
      <c r="D451" s="1" t="s">
        <v>807</v>
      </c>
      <c r="E451">
        <v>9.99</v>
      </c>
      <c r="F451">
        <v>13.89</v>
      </c>
      <c r="G451">
        <v>6.19</v>
      </c>
      <c r="H451">
        <v>3.85</v>
      </c>
      <c r="I451">
        <v>10.039999999999999</v>
      </c>
      <c r="J451" t="s">
        <v>360</v>
      </c>
      <c r="K451" t="str">
        <f t="shared" ref="K451:K514" si="19">J451&amp;A451</f>
        <v>paul5</v>
      </c>
      <c r="L451">
        <f t="shared" ref="L451:L514" si="20">H451^2</f>
        <v>14.822500000000002</v>
      </c>
    </row>
    <row r="452" spans="1:12" x14ac:dyDescent="0.25">
      <c r="A452">
        <v>6</v>
      </c>
      <c r="B452" t="s">
        <v>68</v>
      </c>
      <c r="C452" t="s">
        <v>10</v>
      </c>
      <c r="D452" s="1" t="s">
        <v>808</v>
      </c>
      <c r="E452">
        <v>15.9</v>
      </c>
      <c r="F452">
        <v>24.84</v>
      </c>
      <c r="G452">
        <v>4.82</v>
      </c>
      <c r="H452">
        <v>10.01</v>
      </c>
      <c r="I452">
        <v>14.83</v>
      </c>
      <c r="J452" t="s">
        <v>351</v>
      </c>
      <c r="K452" t="str">
        <f t="shared" si="19"/>
        <v>andrew6</v>
      </c>
      <c r="L452">
        <f t="shared" si="20"/>
        <v>100.20009999999999</v>
      </c>
    </row>
    <row r="453" spans="1:12" x14ac:dyDescent="0.25">
      <c r="A453">
        <v>6</v>
      </c>
      <c r="B453" t="s">
        <v>30</v>
      </c>
      <c r="C453" t="s">
        <v>10</v>
      </c>
      <c r="D453" s="1" t="s">
        <v>809</v>
      </c>
      <c r="E453">
        <v>14.03</v>
      </c>
      <c r="F453">
        <v>17.559999999999999</v>
      </c>
      <c r="G453">
        <v>7.2</v>
      </c>
      <c r="H453">
        <v>5.18</v>
      </c>
      <c r="I453">
        <v>12.38</v>
      </c>
      <c r="J453" t="s">
        <v>351</v>
      </c>
      <c r="K453" t="str">
        <f t="shared" si="19"/>
        <v>andrew6</v>
      </c>
      <c r="L453">
        <f t="shared" si="20"/>
        <v>26.832399999999996</v>
      </c>
    </row>
    <row r="454" spans="1:12" x14ac:dyDescent="0.25">
      <c r="A454">
        <v>6</v>
      </c>
      <c r="B454" t="s">
        <v>9</v>
      </c>
      <c r="C454" t="s">
        <v>10</v>
      </c>
      <c r="D454" s="1" t="s">
        <v>810</v>
      </c>
      <c r="E454">
        <v>12.46</v>
      </c>
      <c r="F454">
        <v>18.72</v>
      </c>
      <c r="G454">
        <v>3.92</v>
      </c>
      <c r="H454">
        <v>7.4</v>
      </c>
      <c r="I454">
        <v>11.32</v>
      </c>
      <c r="J454" t="s">
        <v>352</v>
      </c>
      <c r="K454" t="str">
        <f t="shared" si="19"/>
        <v>jake6</v>
      </c>
      <c r="L454">
        <f t="shared" si="20"/>
        <v>54.760000000000005</v>
      </c>
    </row>
    <row r="455" spans="1:12" x14ac:dyDescent="0.25">
      <c r="A455">
        <v>6</v>
      </c>
      <c r="B455" t="s">
        <v>181</v>
      </c>
      <c r="C455" t="s">
        <v>10</v>
      </c>
      <c r="D455" s="1" t="s">
        <v>811</v>
      </c>
      <c r="E455">
        <v>12.38</v>
      </c>
      <c r="F455">
        <v>15.39</v>
      </c>
      <c r="G455">
        <v>4.63</v>
      </c>
      <c r="H455">
        <v>5.38</v>
      </c>
      <c r="I455">
        <v>10.01</v>
      </c>
      <c r="J455" t="s">
        <v>352</v>
      </c>
      <c r="K455" t="str">
        <f t="shared" si="19"/>
        <v>jake6</v>
      </c>
      <c r="L455">
        <f t="shared" si="20"/>
        <v>28.944399999999998</v>
      </c>
    </row>
    <row r="456" spans="1:12" x14ac:dyDescent="0.25">
      <c r="A456">
        <v>6</v>
      </c>
      <c r="B456" t="s">
        <v>27</v>
      </c>
      <c r="C456" t="s">
        <v>10</v>
      </c>
      <c r="D456" s="1" t="s">
        <v>812</v>
      </c>
      <c r="E456">
        <v>16.579999999999998</v>
      </c>
      <c r="F456">
        <v>20.97</v>
      </c>
      <c r="G456">
        <v>7.17</v>
      </c>
      <c r="H456">
        <v>6.9</v>
      </c>
      <c r="I456">
        <v>14.07</v>
      </c>
      <c r="J456" t="s">
        <v>353</v>
      </c>
      <c r="K456" t="str">
        <f t="shared" si="19"/>
        <v>breanna6</v>
      </c>
      <c r="L456">
        <f t="shared" si="20"/>
        <v>47.610000000000007</v>
      </c>
    </row>
    <row r="457" spans="1:12" x14ac:dyDescent="0.25">
      <c r="A457">
        <v>6</v>
      </c>
      <c r="B457" t="s">
        <v>219</v>
      </c>
      <c r="C457" t="s">
        <v>10</v>
      </c>
      <c r="D457" s="1" t="s">
        <v>813</v>
      </c>
      <c r="E457">
        <v>12.37</v>
      </c>
      <c r="F457">
        <v>17.05</v>
      </c>
      <c r="G457">
        <v>5.29</v>
      </c>
      <c r="H457">
        <v>5.88</v>
      </c>
      <c r="I457">
        <v>11.17</v>
      </c>
      <c r="J457" t="s">
        <v>353</v>
      </c>
      <c r="K457" t="str">
        <f t="shared" si="19"/>
        <v>breanna6</v>
      </c>
      <c r="L457">
        <f t="shared" si="20"/>
        <v>34.574399999999997</v>
      </c>
    </row>
    <row r="458" spans="1:12" x14ac:dyDescent="0.25">
      <c r="A458">
        <v>6</v>
      </c>
      <c r="B458" t="s">
        <v>22</v>
      </c>
      <c r="C458" t="s">
        <v>10</v>
      </c>
      <c r="D458" s="1" t="s">
        <v>814</v>
      </c>
      <c r="E458">
        <v>10.18</v>
      </c>
      <c r="F458">
        <v>16.09</v>
      </c>
      <c r="G458">
        <v>1.79</v>
      </c>
      <c r="H458">
        <v>7.15</v>
      </c>
      <c r="I458">
        <v>8.94</v>
      </c>
      <c r="J458" t="s">
        <v>353</v>
      </c>
      <c r="K458" t="str">
        <f t="shared" si="19"/>
        <v>breanna6</v>
      </c>
      <c r="L458">
        <f t="shared" si="20"/>
        <v>51.122500000000002</v>
      </c>
    </row>
    <row r="459" spans="1:12" x14ac:dyDescent="0.25">
      <c r="A459">
        <v>6</v>
      </c>
      <c r="B459" t="s">
        <v>216</v>
      </c>
      <c r="C459" t="s">
        <v>10</v>
      </c>
      <c r="D459" s="1" t="s">
        <v>815</v>
      </c>
      <c r="E459">
        <v>15.76</v>
      </c>
      <c r="F459">
        <v>21.26</v>
      </c>
      <c r="G459">
        <v>5.78</v>
      </c>
      <c r="H459">
        <v>7.74</v>
      </c>
      <c r="I459">
        <v>13.52</v>
      </c>
      <c r="J459" t="s">
        <v>354</v>
      </c>
      <c r="K459" t="str">
        <f t="shared" si="19"/>
        <v>joseph6</v>
      </c>
      <c r="L459">
        <f t="shared" si="20"/>
        <v>59.907600000000002</v>
      </c>
    </row>
    <row r="460" spans="1:12" x14ac:dyDescent="0.25">
      <c r="A460">
        <v>6</v>
      </c>
      <c r="B460" t="s">
        <v>16</v>
      </c>
      <c r="C460" t="s">
        <v>10</v>
      </c>
      <c r="D460" s="1" t="s">
        <v>816</v>
      </c>
      <c r="E460">
        <v>12.24</v>
      </c>
      <c r="F460">
        <v>17.37</v>
      </c>
      <c r="G460">
        <v>5.61</v>
      </c>
      <c r="H460">
        <v>5.88</v>
      </c>
      <c r="I460">
        <v>11.49</v>
      </c>
      <c r="J460" t="s">
        <v>354</v>
      </c>
      <c r="K460" t="str">
        <f t="shared" si="19"/>
        <v>joseph6</v>
      </c>
      <c r="L460">
        <f t="shared" si="20"/>
        <v>34.574399999999997</v>
      </c>
    </row>
    <row r="461" spans="1:12" x14ac:dyDescent="0.25">
      <c r="A461">
        <v>6</v>
      </c>
      <c r="B461" t="s">
        <v>74</v>
      </c>
      <c r="C461" t="s">
        <v>10</v>
      </c>
      <c r="D461" s="1" t="s">
        <v>817</v>
      </c>
      <c r="E461">
        <v>12.12</v>
      </c>
      <c r="F461">
        <v>18.93</v>
      </c>
      <c r="G461">
        <v>2.69</v>
      </c>
      <c r="H461">
        <v>8.1199999999999992</v>
      </c>
      <c r="I461">
        <v>10.81</v>
      </c>
      <c r="J461" t="s">
        <v>354</v>
      </c>
      <c r="K461" t="str">
        <f t="shared" si="19"/>
        <v>joseph6</v>
      </c>
      <c r="L461">
        <f t="shared" si="20"/>
        <v>65.934399999999982</v>
      </c>
    </row>
    <row r="462" spans="1:12" x14ac:dyDescent="0.25">
      <c r="A462">
        <v>6</v>
      </c>
      <c r="B462" t="s">
        <v>75</v>
      </c>
      <c r="C462" t="s">
        <v>10</v>
      </c>
      <c r="D462" s="1" t="s">
        <v>818</v>
      </c>
      <c r="E462">
        <v>17.96</v>
      </c>
      <c r="F462">
        <v>25.8</v>
      </c>
      <c r="G462">
        <v>6.9</v>
      </c>
      <c r="H462">
        <v>9.4499999999999993</v>
      </c>
      <c r="I462">
        <v>16.350000000000001</v>
      </c>
      <c r="J462" t="s">
        <v>355</v>
      </c>
      <c r="K462" t="str">
        <f t="shared" si="19"/>
        <v>alyssa6</v>
      </c>
      <c r="L462">
        <f t="shared" si="20"/>
        <v>89.302499999999981</v>
      </c>
    </row>
    <row r="463" spans="1:12" x14ac:dyDescent="0.25">
      <c r="A463">
        <v>6</v>
      </c>
      <c r="B463" t="s">
        <v>28</v>
      </c>
      <c r="C463" t="s">
        <v>10</v>
      </c>
      <c r="D463" s="1" t="s">
        <v>819</v>
      </c>
      <c r="E463">
        <v>17.13</v>
      </c>
      <c r="F463">
        <v>22.48</v>
      </c>
      <c r="G463">
        <v>6</v>
      </c>
      <c r="H463">
        <v>8.24</v>
      </c>
      <c r="I463">
        <v>14.24</v>
      </c>
      <c r="J463" t="s">
        <v>355</v>
      </c>
      <c r="K463" t="str">
        <f t="shared" si="19"/>
        <v>alyssa6</v>
      </c>
      <c r="L463">
        <f t="shared" si="20"/>
        <v>67.897599999999997</v>
      </c>
    </row>
    <row r="464" spans="1:12" x14ac:dyDescent="0.25">
      <c r="A464">
        <v>6</v>
      </c>
      <c r="B464" t="s">
        <v>726</v>
      </c>
      <c r="C464" t="s">
        <v>10</v>
      </c>
      <c r="D464" s="1" t="s">
        <v>820</v>
      </c>
      <c r="E464">
        <v>10.7</v>
      </c>
      <c r="F464">
        <v>17.87</v>
      </c>
      <c r="G464">
        <v>0.35</v>
      </c>
      <c r="H464">
        <v>8.76</v>
      </c>
      <c r="I464">
        <v>9.11</v>
      </c>
      <c r="J464" t="s">
        <v>355</v>
      </c>
      <c r="K464" t="str">
        <f t="shared" si="19"/>
        <v>alyssa6</v>
      </c>
      <c r="L464">
        <f t="shared" si="20"/>
        <v>76.7376</v>
      </c>
    </row>
    <row r="465" spans="1:12" x14ac:dyDescent="0.25">
      <c r="A465">
        <v>6</v>
      </c>
      <c r="B465" t="s">
        <v>160</v>
      </c>
      <c r="C465" t="s">
        <v>10</v>
      </c>
      <c r="D465" s="1" t="s">
        <v>821</v>
      </c>
      <c r="E465">
        <v>11.5</v>
      </c>
      <c r="F465">
        <v>14.68</v>
      </c>
      <c r="G465">
        <v>4.54</v>
      </c>
      <c r="H465">
        <v>5.07</v>
      </c>
      <c r="I465">
        <v>9.61</v>
      </c>
      <c r="J465" t="s">
        <v>356</v>
      </c>
      <c r="K465" t="str">
        <f t="shared" si="19"/>
        <v>chris6</v>
      </c>
      <c r="L465">
        <f t="shared" si="20"/>
        <v>25.704900000000002</v>
      </c>
    </row>
    <row r="466" spans="1:12" x14ac:dyDescent="0.25">
      <c r="A466">
        <v>6</v>
      </c>
      <c r="B466" t="s">
        <v>25</v>
      </c>
      <c r="C466" t="s">
        <v>10</v>
      </c>
      <c r="D466" s="1" t="s">
        <v>822</v>
      </c>
      <c r="E466">
        <v>9.6300000000000008</v>
      </c>
      <c r="F466">
        <v>12.73</v>
      </c>
      <c r="G466">
        <v>4.45</v>
      </c>
      <c r="H466">
        <v>4.1399999999999997</v>
      </c>
      <c r="I466">
        <v>8.59</v>
      </c>
      <c r="J466" t="s">
        <v>356</v>
      </c>
      <c r="K466" t="str">
        <f t="shared" si="19"/>
        <v>chris6</v>
      </c>
      <c r="L466">
        <f t="shared" si="20"/>
        <v>17.139599999999998</v>
      </c>
    </row>
    <row r="467" spans="1:12" x14ac:dyDescent="0.25">
      <c r="A467">
        <v>6</v>
      </c>
      <c r="B467" t="s">
        <v>158</v>
      </c>
      <c r="C467" t="s">
        <v>10</v>
      </c>
      <c r="D467" s="1" t="s">
        <v>823</v>
      </c>
      <c r="E467">
        <v>21.05</v>
      </c>
      <c r="F467">
        <v>28.88</v>
      </c>
      <c r="G467">
        <v>8.2799999999999994</v>
      </c>
      <c r="H467">
        <v>10.3</v>
      </c>
      <c r="I467">
        <v>18.579999999999998</v>
      </c>
      <c r="J467" t="s">
        <v>357</v>
      </c>
      <c r="K467" t="str">
        <f t="shared" si="19"/>
        <v>jordan6</v>
      </c>
      <c r="L467">
        <f t="shared" si="20"/>
        <v>106.09000000000002</v>
      </c>
    </row>
    <row r="468" spans="1:12" x14ac:dyDescent="0.25">
      <c r="A468">
        <v>6</v>
      </c>
      <c r="B468" t="s">
        <v>157</v>
      </c>
      <c r="C468" t="s">
        <v>10</v>
      </c>
      <c r="D468" s="1" t="s">
        <v>824</v>
      </c>
      <c r="E468">
        <v>10.050000000000001</v>
      </c>
      <c r="F468">
        <v>17.190000000000001</v>
      </c>
      <c r="G468">
        <v>2.09</v>
      </c>
      <c r="H468">
        <v>7.55</v>
      </c>
      <c r="I468">
        <v>9.64</v>
      </c>
      <c r="J468" t="s">
        <v>357</v>
      </c>
      <c r="K468" t="str">
        <f t="shared" si="19"/>
        <v>jordan6</v>
      </c>
      <c r="L468">
        <f t="shared" si="20"/>
        <v>57.002499999999998</v>
      </c>
    </row>
    <row r="469" spans="1:12" x14ac:dyDescent="0.25">
      <c r="A469">
        <v>6</v>
      </c>
      <c r="B469" t="s">
        <v>282</v>
      </c>
      <c r="C469" t="s">
        <v>10</v>
      </c>
      <c r="D469" s="1" t="s">
        <v>825</v>
      </c>
      <c r="E469">
        <v>8.9600000000000009</v>
      </c>
      <c r="F469">
        <v>13.42</v>
      </c>
      <c r="G469">
        <v>1.36</v>
      </c>
      <c r="H469">
        <v>6.03</v>
      </c>
      <c r="I469">
        <v>7.39</v>
      </c>
      <c r="J469" t="s">
        <v>357</v>
      </c>
      <c r="K469" t="str">
        <f t="shared" si="19"/>
        <v>jordan6</v>
      </c>
      <c r="L469">
        <f t="shared" si="20"/>
        <v>36.360900000000001</v>
      </c>
    </row>
    <row r="470" spans="1:12" x14ac:dyDescent="0.25">
      <c r="A470">
        <v>6</v>
      </c>
      <c r="B470" t="s">
        <v>14</v>
      </c>
      <c r="C470" t="s">
        <v>10</v>
      </c>
      <c r="D470" s="1" t="s">
        <v>826</v>
      </c>
      <c r="E470">
        <v>13.75</v>
      </c>
      <c r="F470">
        <v>18.21</v>
      </c>
      <c r="G470">
        <v>6.17</v>
      </c>
      <c r="H470">
        <v>6.02</v>
      </c>
      <c r="I470">
        <v>12.19</v>
      </c>
      <c r="J470" t="s">
        <v>358</v>
      </c>
      <c r="K470" t="str">
        <f t="shared" si="19"/>
        <v>alex6</v>
      </c>
      <c r="L470">
        <f t="shared" si="20"/>
        <v>36.240399999999994</v>
      </c>
    </row>
    <row r="471" spans="1:12" x14ac:dyDescent="0.25">
      <c r="A471">
        <v>6</v>
      </c>
      <c r="B471" t="s">
        <v>12</v>
      </c>
      <c r="C471" t="s">
        <v>10</v>
      </c>
      <c r="D471" s="1" t="s">
        <v>827</v>
      </c>
      <c r="E471">
        <v>13.56</v>
      </c>
      <c r="F471">
        <v>18.48</v>
      </c>
      <c r="G471">
        <v>5.16</v>
      </c>
      <c r="H471">
        <v>6.66</v>
      </c>
      <c r="I471">
        <v>11.82</v>
      </c>
      <c r="J471" t="s">
        <v>358</v>
      </c>
      <c r="K471" t="str">
        <f t="shared" si="19"/>
        <v>alex6</v>
      </c>
      <c r="L471">
        <f t="shared" si="20"/>
        <v>44.355600000000003</v>
      </c>
    </row>
    <row r="472" spans="1:12" x14ac:dyDescent="0.25">
      <c r="A472">
        <v>6</v>
      </c>
      <c r="B472" t="s">
        <v>265</v>
      </c>
      <c r="C472" t="s">
        <v>10</v>
      </c>
      <c r="D472" s="1" t="s">
        <v>828</v>
      </c>
      <c r="E472">
        <v>8.68</v>
      </c>
      <c r="F472">
        <v>12.68</v>
      </c>
      <c r="G472">
        <v>1.06</v>
      </c>
      <c r="H472">
        <v>5.81</v>
      </c>
      <c r="I472">
        <v>6.87</v>
      </c>
      <c r="J472" t="s">
        <v>359</v>
      </c>
      <c r="K472" t="str">
        <f t="shared" si="19"/>
        <v>colin6</v>
      </c>
      <c r="L472">
        <f t="shared" si="20"/>
        <v>33.756099999999996</v>
      </c>
    </row>
    <row r="473" spans="1:12" x14ac:dyDescent="0.25">
      <c r="A473">
        <v>6</v>
      </c>
      <c r="B473" t="s">
        <v>264</v>
      </c>
      <c r="C473" t="s">
        <v>10</v>
      </c>
      <c r="D473" s="1" t="s">
        <v>829</v>
      </c>
      <c r="E473">
        <v>7.19</v>
      </c>
      <c r="F473">
        <v>12.34</v>
      </c>
      <c r="G473">
        <v>0.82</v>
      </c>
      <c r="H473">
        <v>5.76</v>
      </c>
      <c r="I473">
        <v>6.58</v>
      </c>
      <c r="J473" t="s">
        <v>359</v>
      </c>
      <c r="K473" t="str">
        <f t="shared" si="19"/>
        <v>colin6</v>
      </c>
      <c r="L473">
        <f t="shared" si="20"/>
        <v>33.177599999999998</v>
      </c>
    </row>
    <row r="474" spans="1:12" x14ac:dyDescent="0.25">
      <c r="A474">
        <v>6</v>
      </c>
      <c r="B474" t="s">
        <v>13</v>
      </c>
      <c r="C474" t="s">
        <v>10</v>
      </c>
      <c r="D474" s="1" t="s">
        <v>830</v>
      </c>
      <c r="E474">
        <v>15.93</v>
      </c>
      <c r="F474">
        <v>23.56</v>
      </c>
      <c r="G474">
        <v>5.32</v>
      </c>
      <c r="H474">
        <v>9.1199999999999992</v>
      </c>
      <c r="I474">
        <v>14.44</v>
      </c>
      <c r="J474" t="s">
        <v>360</v>
      </c>
      <c r="K474" t="str">
        <f t="shared" si="19"/>
        <v>paul6</v>
      </c>
      <c r="L474">
        <f t="shared" si="20"/>
        <v>83.174399999999991</v>
      </c>
    </row>
    <row r="475" spans="1:12" x14ac:dyDescent="0.25">
      <c r="A475">
        <v>6</v>
      </c>
      <c r="B475" t="s">
        <v>115</v>
      </c>
      <c r="C475" t="s">
        <v>10</v>
      </c>
      <c r="D475" s="1" t="s">
        <v>831</v>
      </c>
      <c r="E475">
        <v>12.08</v>
      </c>
      <c r="F475">
        <v>16.2</v>
      </c>
      <c r="G475">
        <v>5.04</v>
      </c>
      <c r="H475">
        <v>5.58</v>
      </c>
      <c r="I475">
        <v>10.62</v>
      </c>
      <c r="J475" t="s">
        <v>360</v>
      </c>
      <c r="K475" t="str">
        <f t="shared" si="19"/>
        <v>paul6</v>
      </c>
      <c r="L475">
        <f t="shared" si="20"/>
        <v>31.136400000000002</v>
      </c>
    </row>
    <row r="476" spans="1:12" x14ac:dyDescent="0.25">
      <c r="A476">
        <v>6</v>
      </c>
      <c r="B476" t="s">
        <v>186</v>
      </c>
      <c r="C476" t="s">
        <v>10</v>
      </c>
      <c r="D476" s="1" t="s">
        <v>832</v>
      </c>
      <c r="E476">
        <v>11.22</v>
      </c>
      <c r="F476">
        <v>16.239999999999998</v>
      </c>
      <c r="G476">
        <v>3.24</v>
      </c>
      <c r="H476">
        <v>6.5</v>
      </c>
      <c r="I476">
        <v>9.74</v>
      </c>
      <c r="J476" t="s">
        <v>360</v>
      </c>
      <c r="K476" t="str">
        <f t="shared" si="19"/>
        <v>paul6</v>
      </c>
      <c r="L476">
        <f t="shared" si="20"/>
        <v>42.25</v>
      </c>
    </row>
    <row r="477" spans="1:12" x14ac:dyDescent="0.25">
      <c r="A477">
        <v>6</v>
      </c>
      <c r="B477" t="s">
        <v>41</v>
      </c>
      <c r="C477" t="s">
        <v>32</v>
      </c>
      <c r="D477" s="1" t="s">
        <v>833</v>
      </c>
      <c r="E477">
        <v>17.57</v>
      </c>
      <c r="F477">
        <v>21.07</v>
      </c>
      <c r="G477">
        <v>6.93</v>
      </c>
      <c r="H477">
        <v>7.07</v>
      </c>
      <c r="I477">
        <v>14</v>
      </c>
      <c r="J477" t="s">
        <v>351</v>
      </c>
      <c r="K477" t="str">
        <f t="shared" si="19"/>
        <v>andrew6</v>
      </c>
      <c r="L477">
        <f t="shared" si="20"/>
        <v>49.984900000000003</v>
      </c>
    </row>
    <row r="478" spans="1:12" x14ac:dyDescent="0.25">
      <c r="A478">
        <v>6</v>
      </c>
      <c r="B478" t="s">
        <v>72</v>
      </c>
      <c r="C478" t="s">
        <v>32</v>
      </c>
      <c r="D478" s="1" t="s">
        <v>834</v>
      </c>
      <c r="E478">
        <v>16.93</v>
      </c>
      <c r="F478">
        <v>19.93</v>
      </c>
      <c r="G478">
        <v>6.93</v>
      </c>
      <c r="H478">
        <v>6.5</v>
      </c>
      <c r="I478">
        <v>13.43</v>
      </c>
      <c r="J478" t="s">
        <v>351</v>
      </c>
      <c r="K478" t="str">
        <f t="shared" si="19"/>
        <v>andrew6</v>
      </c>
      <c r="L478">
        <f t="shared" si="20"/>
        <v>42.25</v>
      </c>
    </row>
    <row r="479" spans="1:12" x14ac:dyDescent="0.25">
      <c r="A479">
        <v>6</v>
      </c>
      <c r="B479" t="s">
        <v>162</v>
      </c>
      <c r="C479" t="s">
        <v>32</v>
      </c>
      <c r="D479" s="1" t="s">
        <v>835</v>
      </c>
      <c r="E479">
        <v>12.09</v>
      </c>
      <c r="F479">
        <v>15.81</v>
      </c>
      <c r="G479">
        <v>3.57</v>
      </c>
      <c r="H479">
        <v>6.12</v>
      </c>
      <c r="I479">
        <v>9.69</v>
      </c>
      <c r="J479" t="s">
        <v>351</v>
      </c>
      <c r="K479" t="str">
        <f t="shared" si="19"/>
        <v>andrew6</v>
      </c>
      <c r="L479">
        <f t="shared" si="20"/>
        <v>37.4544</v>
      </c>
    </row>
    <row r="480" spans="1:12" x14ac:dyDescent="0.25">
      <c r="A480">
        <v>6</v>
      </c>
      <c r="B480" t="s">
        <v>33</v>
      </c>
      <c r="C480" t="s">
        <v>32</v>
      </c>
      <c r="D480" s="1" t="s">
        <v>836</v>
      </c>
      <c r="E480">
        <v>17.079999999999998</v>
      </c>
      <c r="F480">
        <v>22.16</v>
      </c>
      <c r="G480">
        <v>5.46</v>
      </c>
      <c r="H480">
        <v>8.35</v>
      </c>
      <c r="I480">
        <v>13.81</v>
      </c>
      <c r="J480" t="s">
        <v>352</v>
      </c>
      <c r="K480" t="str">
        <f t="shared" si="19"/>
        <v>jake6</v>
      </c>
      <c r="L480">
        <f t="shared" si="20"/>
        <v>69.722499999999997</v>
      </c>
    </row>
    <row r="481" spans="1:12" x14ac:dyDescent="0.25">
      <c r="A481">
        <v>6</v>
      </c>
      <c r="B481" t="s">
        <v>285</v>
      </c>
      <c r="C481" t="s">
        <v>32</v>
      </c>
      <c r="D481" s="1" t="s">
        <v>837</v>
      </c>
      <c r="E481">
        <v>12.31</v>
      </c>
      <c r="F481">
        <v>16.59</v>
      </c>
      <c r="G481">
        <v>2.4500000000000002</v>
      </c>
      <c r="H481">
        <v>7.07</v>
      </c>
      <c r="I481">
        <v>9.52</v>
      </c>
      <c r="J481" t="s">
        <v>352</v>
      </c>
      <c r="K481" t="str">
        <f t="shared" si="19"/>
        <v>jake6</v>
      </c>
      <c r="L481">
        <f t="shared" si="20"/>
        <v>49.984900000000003</v>
      </c>
    </row>
    <row r="482" spans="1:12" x14ac:dyDescent="0.25">
      <c r="A482">
        <v>6</v>
      </c>
      <c r="B482" t="s">
        <v>562</v>
      </c>
      <c r="C482" t="s">
        <v>32</v>
      </c>
      <c r="D482" s="1" t="s">
        <v>838</v>
      </c>
      <c r="E482">
        <v>10.58</v>
      </c>
      <c r="F482">
        <v>14.21</v>
      </c>
      <c r="G482">
        <v>1.97</v>
      </c>
      <c r="H482">
        <v>6.12</v>
      </c>
      <c r="I482">
        <v>8.09</v>
      </c>
      <c r="J482" t="s">
        <v>352</v>
      </c>
      <c r="K482" t="str">
        <f t="shared" si="19"/>
        <v>jake6</v>
      </c>
      <c r="L482">
        <f t="shared" si="20"/>
        <v>37.4544</v>
      </c>
    </row>
    <row r="483" spans="1:12" x14ac:dyDescent="0.25">
      <c r="A483">
        <v>6</v>
      </c>
      <c r="B483" t="s">
        <v>44</v>
      </c>
      <c r="C483" t="s">
        <v>32</v>
      </c>
      <c r="D483" s="1" t="s">
        <v>839</v>
      </c>
      <c r="E483">
        <v>14.61</v>
      </c>
      <c r="F483">
        <v>20.29</v>
      </c>
      <c r="G483">
        <v>2.17</v>
      </c>
      <c r="H483">
        <v>9.06</v>
      </c>
      <c r="I483">
        <v>11.23</v>
      </c>
      <c r="J483" t="s">
        <v>353</v>
      </c>
      <c r="K483" t="str">
        <f t="shared" si="19"/>
        <v>breanna6</v>
      </c>
      <c r="L483">
        <f t="shared" si="20"/>
        <v>82.083600000000004</v>
      </c>
    </row>
    <row r="484" spans="1:12" x14ac:dyDescent="0.25">
      <c r="A484">
        <v>6</v>
      </c>
      <c r="B484" t="s">
        <v>48</v>
      </c>
      <c r="C484" t="s">
        <v>32</v>
      </c>
      <c r="D484" s="1" t="s">
        <v>840</v>
      </c>
      <c r="E484">
        <v>12.17</v>
      </c>
      <c r="F484">
        <v>16.62</v>
      </c>
      <c r="G484">
        <v>3.32</v>
      </c>
      <c r="H484">
        <v>6.65</v>
      </c>
      <c r="I484">
        <v>9.9700000000000006</v>
      </c>
      <c r="J484" t="s">
        <v>353</v>
      </c>
      <c r="K484" t="str">
        <f t="shared" si="19"/>
        <v>breanna6</v>
      </c>
      <c r="L484">
        <f t="shared" si="20"/>
        <v>44.222500000000004</v>
      </c>
    </row>
    <row r="485" spans="1:12" x14ac:dyDescent="0.25">
      <c r="A485">
        <v>6</v>
      </c>
      <c r="B485" t="s">
        <v>42</v>
      </c>
      <c r="C485" t="s">
        <v>32</v>
      </c>
      <c r="D485" s="1" t="s">
        <v>841</v>
      </c>
      <c r="E485">
        <v>16.52</v>
      </c>
      <c r="F485">
        <v>21.3</v>
      </c>
      <c r="G485">
        <v>5.98</v>
      </c>
      <c r="H485">
        <v>7.66</v>
      </c>
      <c r="I485">
        <v>13.64</v>
      </c>
      <c r="J485" t="s">
        <v>354</v>
      </c>
      <c r="K485" t="str">
        <f t="shared" si="19"/>
        <v>joseph6</v>
      </c>
      <c r="L485">
        <f t="shared" si="20"/>
        <v>58.675600000000003</v>
      </c>
    </row>
    <row r="486" spans="1:12" x14ac:dyDescent="0.25">
      <c r="A486">
        <v>6</v>
      </c>
      <c r="B486" t="s">
        <v>43</v>
      </c>
      <c r="C486" t="s">
        <v>32</v>
      </c>
      <c r="D486" s="1" t="s">
        <v>842</v>
      </c>
      <c r="E486">
        <v>15.27</v>
      </c>
      <c r="F486">
        <v>20.51</v>
      </c>
      <c r="G486">
        <v>4.3899999999999997</v>
      </c>
      <c r="H486">
        <v>8.06</v>
      </c>
      <c r="I486">
        <v>12.45</v>
      </c>
      <c r="J486" t="s">
        <v>354</v>
      </c>
      <c r="K486" t="str">
        <f t="shared" si="19"/>
        <v>joseph6</v>
      </c>
      <c r="L486">
        <f t="shared" si="20"/>
        <v>64.963600000000014</v>
      </c>
    </row>
    <row r="487" spans="1:12" x14ac:dyDescent="0.25">
      <c r="A487">
        <v>6</v>
      </c>
      <c r="B487" t="s">
        <v>71</v>
      </c>
      <c r="C487" t="s">
        <v>32</v>
      </c>
      <c r="D487" s="1" t="s">
        <v>843</v>
      </c>
      <c r="E487">
        <v>14.2</v>
      </c>
      <c r="F487">
        <v>17.14</v>
      </c>
      <c r="G487">
        <v>4.9000000000000004</v>
      </c>
      <c r="H487">
        <v>6.12</v>
      </c>
      <c r="I487">
        <v>11.02</v>
      </c>
      <c r="J487" t="s">
        <v>355</v>
      </c>
      <c r="K487" t="str">
        <f t="shared" si="19"/>
        <v>alyssa6</v>
      </c>
      <c r="L487">
        <f t="shared" si="20"/>
        <v>37.4544</v>
      </c>
    </row>
    <row r="488" spans="1:12" x14ac:dyDescent="0.25">
      <c r="A488">
        <v>6</v>
      </c>
      <c r="B488" t="s">
        <v>51</v>
      </c>
      <c r="C488" t="s">
        <v>32</v>
      </c>
      <c r="D488" s="1" t="s">
        <v>844</v>
      </c>
      <c r="E488">
        <v>11.62</v>
      </c>
      <c r="F488">
        <v>15.25</v>
      </c>
      <c r="G488">
        <v>2.11</v>
      </c>
      <c r="H488">
        <v>6.57</v>
      </c>
      <c r="I488">
        <v>8.68</v>
      </c>
      <c r="J488" t="s">
        <v>355</v>
      </c>
      <c r="K488" t="str">
        <f t="shared" si="19"/>
        <v>alyssa6</v>
      </c>
      <c r="L488">
        <f t="shared" si="20"/>
        <v>43.164900000000003</v>
      </c>
    </row>
    <row r="489" spans="1:12" x14ac:dyDescent="0.25">
      <c r="A489">
        <v>6</v>
      </c>
      <c r="B489" t="s">
        <v>47</v>
      </c>
      <c r="C489" t="s">
        <v>32</v>
      </c>
      <c r="D489" s="1" t="s">
        <v>845</v>
      </c>
      <c r="E489">
        <v>14.18</v>
      </c>
      <c r="F489">
        <v>17.489999999999998</v>
      </c>
      <c r="G489">
        <v>5.33</v>
      </c>
      <c r="H489">
        <v>6.08</v>
      </c>
      <c r="I489">
        <v>11.41</v>
      </c>
      <c r="J489" t="s">
        <v>356</v>
      </c>
      <c r="K489" t="str">
        <f t="shared" si="19"/>
        <v>chris6</v>
      </c>
      <c r="L489">
        <f t="shared" si="20"/>
        <v>36.9664</v>
      </c>
    </row>
    <row r="490" spans="1:12" x14ac:dyDescent="0.25">
      <c r="A490">
        <v>6</v>
      </c>
      <c r="B490" t="s">
        <v>46</v>
      </c>
      <c r="C490" t="s">
        <v>32</v>
      </c>
      <c r="D490" s="1" t="s">
        <v>846</v>
      </c>
      <c r="E490">
        <v>10.56</v>
      </c>
      <c r="F490">
        <v>12.55</v>
      </c>
      <c r="G490">
        <v>3.11</v>
      </c>
      <c r="H490">
        <v>4.72</v>
      </c>
      <c r="I490">
        <v>7.83</v>
      </c>
      <c r="J490" t="s">
        <v>356</v>
      </c>
      <c r="K490" t="str">
        <f t="shared" si="19"/>
        <v>chris6</v>
      </c>
      <c r="L490">
        <f t="shared" si="20"/>
        <v>22.278399999999998</v>
      </c>
    </row>
    <row r="491" spans="1:12" x14ac:dyDescent="0.25">
      <c r="A491">
        <v>6</v>
      </c>
      <c r="B491" t="s">
        <v>70</v>
      </c>
      <c r="C491" t="s">
        <v>32</v>
      </c>
      <c r="D491" s="1" t="s">
        <v>847</v>
      </c>
      <c r="E491">
        <v>8.27</v>
      </c>
      <c r="F491">
        <v>11.09</v>
      </c>
      <c r="G491">
        <v>1.25</v>
      </c>
      <c r="H491">
        <v>4.92</v>
      </c>
      <c r="I491">
        <v>6.17</v>
      </c>
      <c r="J491" t="s">
        <v>356</v>
      </c>
      <c r="K491" t="str">
        <f t="shared" si="19"/>
        <v>chris6</v>
      </c>
      <c r="L491">
        <f t="shared" si="20"/>
        <v>24.206399999999999</v>
      </c>
    </row>
    <row r="492" spans="1:12" x14ac:dyDescent="0.25">
      <c r="A492">
        <v>6</v>
      </c>
      <c r="B492" t="s">
        <v>35</v>
      </c>
      <c r="C492" t="s">
        <v>32</v>
      </c>
      <c r="D492" s="1" t="s">
        <v>848</v>
      </c>
      <c r="E492">
        <v>11.9</v>
      </c>
      <c r="F492">
        <v>13.76</v>
      </c>
      <c r="G492">
        <v>3.84</v>
      </c>
      <c r="H492">
        <v>4.96</v>
      </c>
      <c r="I492">
        <v>8.8000000000000007</v>
      </c>
      <c r="J492" t="s">
        <v>357</v>
      </c>
      <c r="K492" t="str">
        <f t="shared" si="19"/>
        <v>jordan6</v>
      </c>
      <c r="L492">
        <f t="shared" si="20"/>
        <v>24.601600000000001</v>
      </c>
    </row>
    <row r="493" spans="1:12" x14ac:dyDescent="0.25">
      <c r="A493">
        <v>6</v>
      </c>
      <c r="B493" t="s">
        <v>50</v>
      </c>
      <c r="C493" t="s">
        <v>32</v>
      </c>
      <c r="D493" s="1" t="s">
        <v>849</v>
      </c>
      <c r="E493">
        <v>6.38</v>
      </c>
      <c r="F493">
        <v>8.3699999999999992</v>
      </c>
      <c r="G493">
        <v>0.77</v>
      </c>
      <c r="H493">
        <v>3.8</v>
      </c>
      <c r="I493">
        <v>4.57</v>
      </c>
      <c r="J493" t="s">
        <v>357</v>
      </c>
      <c r="K493" t="str">
        <f t="shared" si="19"/>
        <v>jordan6</v>
      </c>
      <c r="L493">
        <f t="shared" si="20"/>
        <v>14.44</v>
      </c>
    </row>
    <row r="494" spans="1:12" x14ac:dyDescent="0.25">
      <c r="A494">
        <v>6</v>
      </c>
      <c r="B494" t="s">
        <v>34</v>
      </c>
      <c r="C494" t="s">
        <v>32</v>
      </c>
      <c r="D494" s="1" t="s">
        <v>850</v>
      </c>
      <c r="E494">
        <v>17.329999999999998</v>
      </c>
      <c r="F494">
        <v>23.41</v>
      </c>
      <c r="G494">
        <v>5.07</v>
      </c>
      <c r="H494">
        <v>9.17</v>
      </c>
      <c r="I494">
        <v>14.24</v>
      </c>
      <c r="J494" t="s">
        <v>358</v>
      </c>
      <c r="K494" t="str">
        <f t="shared" si="19"/>
        <v>alex6</v>
      </c>
      <c r="L494">
        <f t="shared" si="20"/>
        <v>84.088899999999995</v>
      </c>
    </row>
    <row r="495" spans="1:12" x14ac:dyDescent="0.25">
      <c r="A495">
        <v>6</v>
      </c>
      <c r="B495" t="s">
        <v>184</v>
      </c>
      <c r="C495" t="s">
        <v>32</v>
      </c>
      <c r="D495" s="1" t="s">
        <v>851</v>
      </c>
      <c r="E495">
        <v>14.43</v>
      </c>
      <c r="F495">
        <v>19.47</v>
      </c>
      <c r="G495">
        <v>3.05</v>
      </c>
      <c r="H495">
        <v>8.2100000000000009</v>
      </c>
      <c r="I495">
        <v>11.26</v>
      </c>
      <c r="J495" t="s">
        <v>358</v>
      </c>
      <c r="K495" t="str">
        <f t="shared" si="19"/>
        <v>alex6</v>
      </c>
      <c r="L495">
        <f t="shared" si="20"/>
        <v>67.404100000000014</v>
      </c>
    </row>
    <row r="496" spans="1:12" x14ac:dyDescent="0.25">
      <c r="A496">
        <v>6</v>
      </c>
      <c r="B496" t="s">
        <v>36</v>
      </c>
      <c r="C496" t="s">
        <v>32</v>
      </c>
      <c r="D496" s="1" t="s">
        <v>852</v>
      </c>
      <c r="E496">
        <v>13.07</v>
      </c>
      <c r="F496">
        <v>16.82</v>
      </c>
      <c r="G496">
        <v>4.5199999999999996</v>
      </c>
      <c r="H496">
        <v>6.15</v>
      </c>
      <c r="I496">
        <v>10.67</v>
      </c>
      <c r="J496" t="s">
        <v>358</v>
      </c>
      <c r="K496" t="str">
        <f t="shared" si="19"/>
        <v>alex6</v>
      </c>
      <c r="L496">
        <f t="shared" si="20"/>
        <v>37.822500000000005</v>
      </c>
    </row>
    <row r="497" spans="1:12" x14ac:dyDescent="0.25">
      <c r="A497">
        <v>6</v>
      </c>
      <c r="B497" t="s">
        <v>234</v>
      </c>
      <c r="C497" t="s">
        <v>32</v>
      </c>
      <c r="D497" s="1" t="s">
        <v>853</v>
      </c>
      <c r="E497">
        <v>10.89</v>
      </c>
      <c r="F497">
        <v>14.03</v>
      </c>
      <c r="G497">
        <v>3.21</v>
      </c>
      <c r="H497">
        <v>5.41</v>
      </c>
      <c r="I497">
        <v>8.6199999999999992</v>
      </c>
      <c r="J497" t="s">
        <v>359</v>
      </c>
      <c r="K497" t="str">
        <f t="shared" si="19"/>
        <v>colin6</v>
      </c>
      <c r="L497">
        <f t="shared" si="20"/>
        <v>29.2681</v>
      </c>
    </row>
    <row r="498" spans="1:12" x14ac:dyDescent="0.25">
      <c r="A498">
        <v>6</v>
      </c>
      <c r="B498" t="s">
        <v>161</v>
      </c>
      <c r="C498" t="s">
        <v>32</v>
      </c>
      <c r="D498" s="1" t="s">
        <v>854</v>
      </c>
      <c r="E498">
        <v>9.35</v>
      </c>
      <c r="F498">
        <v>12.04</v>
      </c>
      <c r="G498">
        <v>3.08</v>
      </c>
      <c r="H498">
        <v>4.4800000000000004</v>
      </c>
      <c r="I498">
        <v>7.56</v>
      </c>
      <c r="J498" t="s">
        <v>359</v>
      </c>
      <c r="K498" t="str">
        <f t="shared" si="19"/>
        <v>colin6</v>
      </c>
      <c r="L498">
        <f t="shared" si="20"/>
        <v>20.070400000000003</v>
      </c>
    </row>
    <row r="499" spans="1:12" x14ac:dyDescent="0.25">
      <c r="A499">
        <v>6</v>
      </c>
      <c r="B499" t="s">
        <v>183</v>
      </c>
      <c r="C499" t="s">
        <v>32</v>
      </c>
      <c r="D499" s="1" t="s">
        <v>855</v>
      </c>
      <c r="E499">
        <v>8.6199999999999992</v>
      </c>
      <c r="F499">
        <v>12.81</v>
      </c>
      <c r="G499">
        <v>0.85</v>
      </c>
      <c r="H499">
        <v>5.98</v>
      </c>
      <c r="I499">
        <v>6.83</v>
      </c>
      <c r="J499" t="s">
        <v>359</v>
      </c>
      <c r="K499" t="str">
        <f t="shared" si="19"/>
        <v>colin6</v>
      </c>
      <c r="L499">
        <f t="shared" si="20"/>
        <v>35.760400000000004</v>
      </c>
    </row>
    <row r="500" spans="1:12" x14ac:dyDescent="0.25">
      <c r="A500">
        <v>6</v>
      </c>
      <c r="B500" t="s">
        <v>49</v>
      </c>
      <c r="C500" t="s">
        <v>32</v>
      </c>
      <c r="D500" s="1" t="s">
        <v>856</v>
      </c>
      <c r="E500">
        <v>15.87</v>
      </c>
      <c r="F500">
        <v>20.48</v>
      </c>
      <c r="G500">
        <v>5.76</v>
      </c>
      <c r="H500">
        <v>7.36</v>
      </c>
      <c r="I500">
        <v>13.12</v>
      </c>
      <c r="J500" t="s">
        <v>360</v>
      </c>
      <c r="K500" t="str">
        <f t="shared" si="19"/>
        <v>paul6</v>
      </c>
      <c r="L500">
        <f t="shared" si="20"/>
        <v>54.169600000000003</v>
      </c>
    </row>
    <row r="501" spans="1:12" x14ac:dyDescent="0.25">
      <c r="A501">
        <v>6</v>
      </c>
      <c r="B501" t="s">
        <v>38</v>
      </c>
      <c r="C501" t="s">
        <v>32</v>
      </c>
      <c r="D501" s="1" t="s">
        <v>857</v>
      </c>
      <c r="E501">
        <v>13.04</v>
      </c>
      <c r="F501">
        <v>18.3</v>
      </c>
      <c r="G501">
        <v>2.72</v>
      </c>
      <c r="H501">
        <v>7.79</v>
      </c>
      <c r="I501">
        <v>10.51</v>
      </c>
      <c r="J501" t="s">
        <v>360</v>
      </c>
      <c r="K501" t="str">
        <f t="shared" si="19"/>
        <v>paul6</v>
      </c>
      <c r="L501">
        <f t="shared" si="20"/>
        <v>60.684100000000001</v>
      </c>
    </row>
    <row r="502" spans="1:12" x14ac:dyDescent="0.25">
      <c r="A502">
        <v>6</v>
      </c>
      <c r="B502" t="s">
        <v>248</v>
      </c>
      <c r="C502" t="s">
        <v>53</v>
      </c>
      <c r="D502" s="1" t="s">
        <v>858</v>
      </c>
      <c r="E502">
        <v>20.34</v>
      </c>
      <c r="F502">
        <v>25.78</v>
      </c>
      <c r="G502">
        <v>13.32</v>
      </c>
      <c r="H502">
        <v>6.23</v>
      </c>
      <c r="I502">
        <v>19.55</v>
      </c>
      <c r="J502" t="s">
        <v>351</v>
      </c>
      <c r="K502" t="str">
        <f t="shared" si="19"/>
        <v>andrew6</v>
      </c>
      <c r="L502">
        <f t="shared" si="20"/>
        <v>38.812900000000006</v>
      </c>
    </row>
    <row r="503" spans="1:12" x14ac:dyDescent="0.25">
      <c r="A503">
        <v>6</v>
      </c>
      <c r="B503" t="s">
        <v>204</v>
      </c>
      <c r="C503" t="s">
        <v>53</v>
      </c>
      <c r="D503" s="1" t="s">
        <v>859</v>
      </c>
      <c r="E503">
        <v>21.41</v>
      </c>
      <c r="F503">
        <v>27.49</v>
      </c>
      <c r="G503">
        <v>14.29</v>
      </c>
      <c r="H503">
        <v>6.6</v>
      </c>
      <c r="I503">
        <v>20.89</v>
      </c>
      <c r="J503" t="s">
        <v>352</v>
      </c>
      <c r="K503" t="str">
        <f t="shared" si="19"/>
        <v>jake6</v>
      </c>
      <c r="L503">
        <f t="shared" si="20"/>
        <v>43.559999999999995</v>
      </c>
    </row>
    <row r="504" spans="1:12" x14ac:dyDescent="0.25">
      <c r="A504">
        <v>6</v>
      </c>
      <c r="B504" t="s">
        <v>290</v>
      </c>
      <c r="C504" t="s">
        <v>53</v>
      </c>
      <c r="D504" s="1" t="s">
        <v>860</v>
      </c>
      <c r="E504">
        <v>20.88</v>
      </c>
      <c r="F504">
        <v>27.69</v>
      </c>
      <c r="G504">
        <v>12.49</v>
      </c>
      <c r="H504">
        <v>7.6</v>
      </c>
      <c r="I504">
        <v>20.09</v>
      </c>
      <c r="J504" t="s">
        <v>353</v>
      </c>
      <c r="K504" t="str">
        <f t="shared" si="19"/>
        <v>breanna6</v>
      </c>
      <c r="L504">
        <f t="shared" si="20"/>
        <v>57.76</v>
      </c>
    </row>
    <row r="505" spans="1:12" x14ac:dyDescent="0.25">
      <c r="A505">
        <v>6</v>
      </c>
      <c r="B505" t="s">
        <v>364</v>
      </c>
      <c r="C505" t="s">
        <v>53</v>
      </c>
      <c r="D505" s="1" t="s">
        <v>861</v>
      </c>
      <c r="E505">
        <v>19.02</v>
      </c>
      <c r="F505">
        <v>25.43</v>
      </c>
      <c r="G505">
        <v>10.67</v>
      </c>
      <c r="H505">
        <v>7.38</v>
      </c>
      <c r="I505">
        <v>18.05</v>
      </c>
      <c r="J505" t="s">
        <v>354</v>
      </c>
      <c r="K505" t="str">
        <f t="shared" si="19"/>
        <v>joseph6</v>
      </c>
      <c r="L505">
        <f t="shared" si="20"/>
        <v>54.464399999999998</v>
      </c>
    </row>
    <row r="506" spans="1:12" x14ac:dyDescent="0.25">
      <c r="A506">
        <v>6</v>
      </c>
      <c r="B506" t="s">
        <v>386</v>
      </c>
      <c r="C506" t="s">
        <v>53</v>
      </c>
      <c r="D506" s="1" t="s">
        <v>862</v>
      </c>
      <c r="E506">
        <v>23.32</v>
      </c>
      <c r="F506">
        <v>28.73</v>
      </c>
      <c r="G506">
        <v>16.55</v>
      </c>
      <c r="H506">
        <v>6.09</v>
      </c>
      <c r="I506">
        <v>22.64</v>
      </c>
      <c r="J506" t="s">
        <v>355</v>
      </c>
      <c r="K506" t="str">
        <f t="shared" si="19"/>
        <v>alyssa6</v>
      </c>
      <c r="L506">
        <f t="shared" si="20"/>
        <v>37.088099999999997</v>
      </c>
    </row>
    <row r="507" spans="1:12" x14ac:dyDescent="0.25">
      <c r="A507">
        <v>6</v>
      </c>
      <c r="B507" t="s">
        <v>156</v>
      </c>
      <c r="C507" t="s">
        <v>53</v>
      </c>
      <c r="D507" s="1" t="s">
        <v>863</v>
      </c>
      <c r="E507">
        <v>20.23</v>
      </c>
      <c r="F507">
        <v>26.14</v>
      </c>
      <c r="G507">
        <v>12.84</v>
      </c>
      <c r="H507">
        <v>6.65</v>
      </c>
      <c r="I507">
        <v>19.489999999999998</v>
      </c>
      <c r="J507" t="s">
        <v>356</v>
      </c>
      <c r="K507" t="str">
        <f t="shared" si="19"/>
        <v>chris6</v>
      </c>
      <c r="L507">
        <f t="shared" si="20"/>
        <v>44.222500000000004</v>
      </c>
    </row>
    <row r="508" spans="1:12" x14ac:dyDescent="0.25">
      <c r="A508">
        <v>6</v>
      </c>
      <c r="B508" t="s">
        <v>390</v>
      </c>
      <c r="C508" t="s">
        <v>53</v>
      </c>
      <c r="D508" s="1" t="s">
        <v>864</v>
      </c>
      <c r="E508">
        <v>19.84</v>
      </c>
      <c r="F508">
        <v>26.85</v>
      </c>
      <c r="G508">
        <v>11.43</v>
      </c>
      <c r="H508">
        <v>7.71</v>
      </c>
      <c r="I508">
        <v>19.14</v>
      </c>
      <c r="J508" t="s">
        <v>357</v>
      </c>
      <c r="K508" t="str">
        <f t="shared" si="19"/>
        <v>jordan6</v>
      </c>
      <c r="L508">
        <f t="shared" si="20"/>
        <v>59.444099999999999</v>
      </c>
    </row>
    <row r="509" spans="1:12" x14ac:dyDescent="0.25">
      <c r="A509">
        <v>6</v>
      </c>
      <c r="B509" t="s">
        <v>54</v>
      </c>
      <c r="C509" t="s">
        <v>53</v>
      </c>
      <c r="D509" s="1" t="s">
        <v>865</v>
      </c>
      <c r="E509">
        <v>22.15</v>
      </c>
      <c r="F509">
        <v>29.03</v>
      </c>
      <c r="G509">
        <v>14.01</v>
      </c>
      <c r="H509">
        <v>7.51</v>
      </c>
      <c r="I509">
        <v>21.52</v>
      </c>
      <c r="J509" t="s">
        <v>358</v>
      </c>
      <c r="K509" t="str">
        <f t="shared" si="19"/>
        <v>alex6</v>
      </c>
      <c r="L509">
        <f t="shared" si="20"/>
        <v>56.400099999999995</v>
      </c>
    </row>
    <row r="510" spans="1:12" x14ac:dyDescent="0.25">
      <c r="A510">
        <v>6</v>
      </c>
      <c r="B510" t="s">
        <v>52</v>
      </c>
      <c r="C510" t="s">
        <v>53</v>
      </c>
      <c r="D510" s="1" t="s">
        <v>866</v>
      </c>
      <c r="E510">
        <v>24.56</v>
      </c>
      <c r="F510">
        <v>31.39</v>
      </c>
      <c r="G510">
        <v>16.39</v>
      </c>
      <c r="H510">
        <v>7.5</v>
      </c>
      <c r="I510">
        <v>23.89</v>
      </c>
      <c r="J510" t="s">
        <v>359</v>
      </c>
      <c r="K510" t="str">
        <f t="shared" si="19"/>
        <v>colin6</v>
      </c>
      <c r="L510">
        <f t="shared" si="20"/>
        <v>56.25</v>
      </c>
    </row>
    <row r="511" spans="1:12" x14ac:dyDescent="0.25">
      <c r="A511">
        <v>6</v>
      </c>
      <c r="B511" t="s">
        <v>194</v>
      </c>
      <c r="C511" t="s">
        <v>53</v>
      </c>
      <c r="D511" s="1" t="s">
        <v>867</v>
      </c>
      <c r="E511">
        <v>25.21</v>
      </c>
      <c r="F511">
        <v>34.11</v>
      </c>
      <c r="G511">
        <v>15.71</v>
      </c>
      <c r="H511">
        <v>9.1999999999999993</v>
      </c>
      <c r="I511">
        <v>24.91</v>
      </c>
      <c r="J511" t="s">
        <v>360</v>
      </c>
      <c r="K511" t="str">
        <f t="shared" si="19"/>
        <v>paul6</v>
      </c>
      <c r="L511">
        <f t="shared" si="20"/>
        <v>84.639999999999986</v>
      </c>
    </row>
    <row r="512" spans="1:12" x14ac:dyDescent="0.25">
      <c r="A512">
        <v>6</v>
      </c>
      <c r="B512" t="s">
        <v>497</v>
      </c>
      <c r="C512" t="s">
        <v>57</v>
      </c>
      <c r="D512" s="1" t="s">
        <v>868</v>
      </c>
      <c r="E512">
        <v>6.13</v>
      </c>
      <c r="F512">
        <v>8.26</v>
      </c>
      <c r="G512">
        <v>1.02</v>
      </c>
      <c r="H512">
        <v>3.62</v>
      </c>
      <c r="I512">
        <v>4.6399999999999997</v>
      </c>
      <c r="J512" t="s">
        <v>351</v>
      </c>
      <c r="K512" t="str">
        <f t="shared" si="19"/>
        <v>andrew6</v>
      </c>
      <c r="L512">
        <f t="shared" si="20"/>
        <v>13.1044</v>
      </c>
    </row>
    <row r="513" spans="1:12" x14ac:dyDescent="0.25">
      <c r="A513">
        <v>6</v>
      </c>
      <c r="B513" t="s">
        <v>60</v>
      </c>
      <c r="C513" t="s">
        <v>57</v>
      </c>
      <c r="D513" s="1" t="s">
        <v>869</v>
      </c>
      <c r="E513">
        <v>10.7</v>
      </c>
      <c r="F513">
        <v>13.4</v>
      </c>
      <c r="G513">
        <v>2.96</v>
      </c>
      <c r="H513">
        <v>5.22</v>
      </c>
      <c r="I513">
        <v>8.18</v>
      </c>
      <c r="J513" t="s">
        <v>352</v>
      </c>
      <c r="K513" t="str">
        <f t="shared" si="19"/>
        <v>jake6</v>
      </c>
      <c r="L513">
        <f t="shared" si="20"/>
        <v>27.248399999999997</v>
      </c>
    </row>
    <row r="514" spans="1:12" x14ac:dyDescent="0.25">
      <c r="A514">
        <v>6</v>
      </c>
      <c r="B514" t="s">
        <v>368</v>
      </c>
      <c r="C514" t="s">
        <v>57</v>
      </c>
      <c r="D514" s="1" t="s">
        <v>870</v>
      </c>
      <c r="E514">
        <v>5.69</v>
      </c>
      <c r="F514">
        <v>8.5</v>
      </c>
      <c r="G514">
        <v>-0.04</v>
      </c>
      <c r="H514">
        <v>4.2699999999999996</v>
      </c>
      <c r="I514">
        <v>4.2300000000000004</v>
      </c>
      <c r="J514" t="s">
        <v>353</v>
      </c>
      <c r="K514" t="str">
        <f t="shared" si="19"/>
        <v>breanna6</v>
      </c>
      <c r="L514">
        <f t="shared" si="20"/>
        <v>18.232899999999997</v>
      </c>
    </row>
    <row r="515" spans="1:12" x14ac:dyDescent="0.25">
      <c r="A515">
        <v>6</v>
      </c>
      <c r="B515" t="s">
        <v>61</v>
      </c>
      <c r="C515" t="s">
        <v>57</v>
      </c>
      <c r="D515" s="1" t="s">
        <v>871</v>
      </c>
      <c r="E515">
        <v>12.15</v>
      </c>
      <c r="F515">
        <v>15.01</v>
      </c>
      <c r="G515">
        <v>3.83</v>
      </c>
      <c r="H515">
        <v>5.59</v>
      </c>
      <c r="I515">
        <v>9.42</v>
      </c>
      <c r="J515" t="s">
        <v>354</v>
      </c>
      <c r="K515" t="str">
        <f t="shared" ref="K515:K578" si="21">J515&amp;A515</f>
        <v>joseph6</v>
      </c>
      <c r="L515">
        <f t="shared" ref="L515:L578" si="22">H515^2</f>
        <v>31.248099999999997</v>
      </c>
    </row>
    <row r="516" spans="1:12" x14ac:dyDescent="0.25">
      <c r="A516">
        <v>6</v>
      </c>
      <c r="B516" t="s">
        <v>521</v>
      </c>
      <c r="C516" t="s">
        <v>57</v>
      </c>
      <c r="D516" s="1" t="s">
        <v>872</v>
      </c>
      <c r="E516">
        <v>3.06</v>
      </c>
      <c r="F516">
        <v>4.74</v>
      </c>
      <c r="G516">
        <v>-0.08</v>
      </c>
      <c r="H516">
        <v>2.41</v>
      </c>
      <c r="I516">
        <v>2.33</v>
      </c>
      <c r="J516" t="s">
        <v>355</v>
      </c>
      <c r="K516" t="str">
        <f t="shared" si="21"/>
        <v>alyssa6</v>
      </c>
      <c r="L516">
        <f t="shared" si="22"/>
        <v>5.8081000000000005</v>
      </c>
    </row>
    <row r="517" spans="1:12" x14ac:dyDescent="0.25">
      <c r="A517">
        <v>6</v>
      </c>
      <c r="B517" t="s">
        <v>58</v>
      </c>
      <c r="C517" t="s">
        <v>57</v>
      </c>
      <c r="D517" s="1" t="s">
        <v>873</v>
      </c>
      <c r="E517">
        <v>9.23</v>
      </c>
      <c r="F517">
        <v>11.58</v>
      </c>
      <c r="G517">
        <v>2.44</v>
      </c>
      <c r="H517">
        <v>4.57</v>
      </c>
      <c r="I517">
        <v>7.01</v>
      </c>
      <c r="J517" t="s">
        <v>356</v>
      </c>
      <c r="K517" t="str">
        <f t="shared" si="21"/>
        <v>chris6</v>
      </c>
      <c r="L517">
        <f t="shared" si="22"/>
        <v>20.884900000000002</v>
      </c>
    </row>
    <row r="518" spans="1:12" x14ac:dyDescent="0.25">
      <c r="A518">
        <v>6</v>
      </c>
      <c r="B518" t="s">
        <v>62</v>
      </c>
      <c r="C518" t="s">
        <v>57</v>
      </c>
      <c r="D518" s="1" t="s">
        <v>874</v>
      </c>
      <c r="E518">
        <v>15.23</v>
      </c>
      <c r="F518">
        <v>19.61</v>
      </c>
      <c r="G518">
        <v>5.65</v>
      </c>
      <c r="H518">
        <v>6.98</v>
      </c>
      <c r="I518">
        <v>12.63</v>
      </c>
      <c r="J518" t="s">
        <v>357</v>
      </c>
      <c r="K518" t="str">
        <f t="shared" si="21"/>
        <v>jordan6</v>
      </c>
      <c r="L518">
        <f t="shared" si="22"/>
        <v>48.720400000000005</v>
      </c>
    </row>
    <row r="519" spans="1:12" x14ac:dyDescent="0.25">
      <c r="A519">
        <v>6</v>
      </c>
      <c r="B519" t="s">
        <v>150</v>
      </c>
      <c r="C519" t="s">
        <v>57</v>
      </c>
      <c r="D519" s="1" t="s">
        <v>875</v>
      </c>
      <c r="E519">
        <v>9.57</v>
      </c>
      <c r="F519">
        <v>13.71</v>
      </c>
      <c r="G519">
        <v>1.53</v>
      </c>
      <c r="H519">
        <v>6.09</v>
      </c>
      <c r="I519">
        <v>7.62</v>
      </c>
      <c r="J519" t="s">
        <v>358</v>
      </c>
      <c r="K519" t="str">
        <f t="shared" si="21"/>
        <v>alex6</v>
      </c>
      <c r="L519">
        <f t="shared" si="22"/>
        <v>37.088099999999997</v>
      </c>
    </row>
    <row r="520" spans="1:12" x14ac:dyDescent="0.25">
      <c r="A520">
        <v>6</v>
      </c>
      <c r="B520" t="s">
        <v>73</v>
      </c>
      <c r="C520" t="s">
        <v>57</v>
      </c>
      <c r="D520" s="1" t="s">
        <v>876</v>
      </c>
      <c r="E520">
        <v>9.33</v>
      </c>
      <c r="F520">
        <v>11.23</v>
      </c>
      <c r="G520">
        <v>2.83</v>
      </c>
      <c r="H520">
        <v>4.2</v>
      </c>
      <c r="I520">
        <v>7.03</v>
      </c>
      <c r="J520" t="s">
        <v>359</v>
      </c>
      <c r="K520" t="str">
        <f t="shared" si="21"/>
        <v>colin6</v>
      </c>
      <c r="L520">
        <f t="shared" si="22"/>
        <v>17.64</v>
      </c>
    </row>
    <row r="521" spans="1:12" x14ac:dyDescent="0.25">
      <c r="A521">
        <v>6</v>
      </c>
      <c r="B521" t="s">
        <v>59</v>
      </c>
      <c r="C521" t="s">
        <v>57</v>
      </c>
      <c r="D521" s="1" t="s">
        <v>877</v>
      </c>
      <c r="E521">
        <v>9.3699999999999992</v>
      </c>
      <c r="F521">
        <v>12.47</v>
      </c>
      <c r="G521">
        <v>1.31</v>
      </c>
      <c r="H521">
        <v>5.58</v>
      </c>
      <c r="I521">
        <v>6.89</v>
      </c>
      <c r="J521" t="s">
        <v>360</v>
      </c>
      <c r="K521" t="str">
        <f t="shared" si="21"/>
        <v>paul6</v>
      </c>
      <c r="L521">
        <f t="shared" si="22"/>
        <v>31.136400000000002</v>
      </c>
    </row>
    <row r="522" spans="1:12" x14ac:dyDescent="0.25">
      <c r="A522">
        <v>6</v>
      </c>
      <c r="B522" t="s">
        <v>196</v>
      </c>
      <c r="C522" t="s">
        <v>63</v>
      </c>
      <c r="D522" s="1" t="s">
        <v>878</v>
      </c>
      <c r="E522">
        <v>13.141999999999999</v>
      </c>
      <c r="F522">
        <v>19.649999999999999</v>
      </c>
      <c r="G522">
        <v>6.63</v>
      </c>
      <c r="H522">
        <v>6.51</v>
      </c>
      <c r="I522">
        <v>13.141999999999999</v>
      </c>
      <c r="J522" t="s">
        <v>351</v>
      </c>
      <c r="K522" t="str">
        <f t="shared" si="21"/>
        <v>andrew6</v>
      </c>
      <c r="L522">
        <f t="shared" si="22"/>
        <v>42.380099999999999</v>
      </c>
    </row>
    <row r="523" spans="1:12" x14ac:dyDescent="0.25">
      <c r="A523">
        <v>6</v>
      </c>
      <c r="B523" t="s">
        <v>879</v>
      </c>
      <c r="C523" t="s">
        <v>63</v>
      </c>
      <c r="D523" s="1" t="s">
        <v>880</v>
      </c>
      <c r="E523">
        <v>6.8124000000000002</v>
      </c>
      <c r="F523">
        <v>12.71</v>
      </c>
      <c r="G523">
        <v>0.89</v>
      </c>
      <c r="H523">
        <v>5.91</v>
      </c>
      <c r="I523">
        <v>6.8124000000000002</v>
      </c>
      <c r="J523" t="s">
        <v>352</v>
      </c>
      <c r="K523" t="str">
        <f t="shared" si="21"/>
        <v>jake6</v>
      </c>
      <c r="L523">
        <f t="shared" si="22"/>
        <v>34.928100000000001</v>
      </c>
    </row>
    <row r="524" spans="1:12" x14ac:dyDescent="0.25">
      <c r="A524">
        <v>6</v>
      </c>
      <c r="B524" t="s">
        <v>195</v>
      </c>
      <c r="C524" t="s">
        <v>63</v>
      </c>
      <c r="D524" s="1" t="s">
        <v>881</v>
      </c>
      <c r="E524">
        <v>3.7924000000000002</v>
      </c>
      <c r="F524">
        <v>10.02</v>
      </c>
      <c r="G524">
        <v>-2.4</v>
      </c>
      <c r="H524">
        <v>6.21</v>
      </c>
      <c r="I524">
        <v>3.7924000000000002</v>
      </c>
      <c r="J524" t="s">
        <v>353</v>
      </c>
      <c r="K524" t="str">
        <f t="shared" si="21"/>
        <v>breanna6</v>
      </c>
      <c r="L524">
        <f t="shared" si="22"/>
        <v>38.564099999999996</v>
      </c>
    </row>
    <row r="525" spans="1:12" x14ac:dyDescent="0.25">
      <c r="A525">
        <v>6</v>
      </c>
      <c r="B525" t="s">
        <v>372</v>
      </c>
      <c r="C525" t="s">
        <v>63</v>
      </c>
      <c r="D525" s="1" t="s">
        <v>882</v>
      </c>
      <c r="E525">
        <v>9.9795999999999996</v>
      </c>
      <c r="F525">
        <v>17.649999999999999</v>
      </c>
      <c r="G525">
        <v>2.29</v>
      </c>
      <c r="H525">
        <v>7.68</v>
      </c>
      <c r="I525">
        <v>9.9795999999999996</v>
      </c>
      <c r="J525" t="s">
        <v>354</v>
      </c>
      <c r="K525" t="str">
        <f t="shared" si="21"/>
        <v>joseph6</v>
      </c>
      <c r="L525">
        <f t="shared" si="22"/>
        <v>58.982399999999998</v>
      </c>
    </row>
    <row r="526" spans="1:12" x14ac:dyDescent="0.25">
      <c r="A526">
        <v>6</v>
      </c>
      <c r="B526" t="s">
        <v>374</v>
      </c>
      <c r="C526" t="s">
        <v>63</v>
      </c>
      <c r="D526" s="1" t="s">
        <v>883</v>
      </c>
      <c r="E526">
        <v>6.9790000000000001</v>
      </c>
      <c r="F526">
        <v>12.78</v>
      </c>
      <c r="G526">
        <v>1.1599999999999999</v>
      </c>
      <c r="H526">
        <v>5.81</v>
      </c>
      <c r="I526">
        <v>6.9790000000000001</v>
      </c>
      <c r="J526" t="s">
        <v>355</v>
      </c>
      <c r="K526" t="str">
        <f t="shared" si="21"/>
        <v>alyssa6</v>
      </c>
      <c r="L526">
        <f t="shared" si="22"/>
        <v>33.756099999999996</v>
      </c>
    </row>
    <row r="527" spans="1:12" x14ac:dyDescent="0.25">
      <c r="A527">
        <v>6</v>
      </c>
      <c r="B527" t="s">
        <v>177</v>
      </c>
      <c r="C527" t="s">
        <v>63</v>
      </c>
      <c r="D527" s="1" t="s">
        <v>884</v>
      </c>
      <c r="E527">
        <v>8.6326999999999998</v>
      </c>
      <c r="F527">
        <v>13.87</v>
      </c>
      <c r="G527">
        <v>3.41</v>
      </c>
      <c r="H527">
        <v>5.23</v>
      </c>
      <c r="I527">
        <v>8.6326999999999998</v>
      </c>
      <c r="J527" t="s">
        <v>356</v>
      </c>
      <c r="K527" t="str">
        <f t="shared" si="21"/>
        <v>chris6</v>
      </c>
      <c r="L527">
        <f t="shared" si="22"/>
        <v>27.352900000000005</v>
      </c>
    </row>
    <row r="528" spans="1:12" x14ac:dyDescent="0.25">
      <c r="A528">
        <v>6</v>
      </c>
      <c r="B528" t="s">
        <v>166</v>
      </c>
      <c r="C528" t="s">
        <v>63</v>
      </c>
      <c r="D528" s="1" t="s">
        <v>885</v>
      </c>
      <c r="E528">
        <v>10.5055</v>
      </c>
      <c r="F528">
        <v>18.09</v>
      </c>
      <c r="G528">
        <v>2.95</v>
      </c>
      <c r="H528">
        <v>7.57</v>
      </c>
      <c r="I528">
        <v>10.5055</v>
      </c>
      <c r="J528" t="s">
        <v>357</v>
      </c>
      <c r="K528" t="str">
        <f t="shared" si="21"/>
        <v>jordan6</v>
      </c>
      <c r="L528">
        <f t="shared" si="22"/>
        <v>57.304900000000004</v>
      </c>
    </row>
    <row r="529" spans="1:12" x14ac:dyDescent="0.25">
      <c r="A529">
        <v>6</v>
      </c>
      <c r="B529" t="s">
        <v>178</v>
      </c>
      <c r="C529" t="s">
        <v>63</v>
      </c>
      <c r="D529" s="1" t="s">
        <v>886</v>
      </c>
      <c r="E529">
        <v>11.3786</v>
      </c>
      <c r="F529">
        <v>18.03</v>
      </c>
      <c r="G529">
        <v>4.7300000000000004</v>
      </c>
      <c r="H529">
        <v>6.65</v>
      </c>
      <c r="I529">
        <v>11.3786</v>
      </c>
      <c r="J529" t="s">
        <v>358</v>
      </c>
      <c r="K529" t="str">
        <f t="shared" si="21"/>
        <v>alex6</v>
      </c>
      <c r="L529">
        <f t="shared" si="22"/>
        <v>44.222500000000004</v>
      </c>
    </row>
    <row r="530" spans="1:12" x14ac:dyDescent="0.25">
      <c r="A530">
        <v>6</v>
      </c>
      <c r="B530" t="s">
        <v>257</v>
      </c>
      <c r="C530" t="s">
        <v>63</v>
      </c>
      <c r="D530" s="1" t="s">
        <v>887</v>
      </c>
      <c r="E530">
        <v>6.6074000000000002</v>
      </c>
      <c r="F530">
        <v>12.38</v>
      </c>
      <c r="G530">
        <v>0.84</v>
      </c>
      <c r="H530">
        <v>5.77</v>
      </c>
      <c r="I530">
        <v>6.6074000000000002</v>
      </c>
      <c r="J530" t="s">
        <v>359</v>
      </c>
      <c r="K530" t="str">
        <f t="shared" si="21"/>
        <v>colin6</v>
      </c>
      <c r="L530">
        <f t="shared" si="22"/>
        <v>33.292899999999996</v>
      </c>
    </row>
    <row r="531" spans="1:12" x14ac:dyDescent="0.25">
      <c r="A531">
        <v>6</v>
      </c>
      <c r="B531" t="s">
        <v>255</v>
      </c>
      <c r="C531" t="s">
        <v>63</v>
      </c>
      <c r="D531" s="1" t="s">
        <v>888</v>
      </c>
      <c r="E531">
        <v>10.053800000000001</v>
      </c>
      <c r="F531">
        <v>15.28</v>
      </c>
      <c r="G531">
        <v>4.84</v>
      </c>
      <c r="H531">
        <v>5.22</v>
      </c>
      <c r="I531">
        <v>10.053800000000001</v>
      </c>
      <c r="J531" t="s">
        <v>360</v>
      </c>
      <c r="K531" t="str">
        <f t="shared" si="21"/>
        <v>paul6</v>
      </c>
      <c r="L531">
        <f t="shared" si="22"/>
        <v>27.248399999999997</v>
      </c>
    </row>
    <row r="532" spans="1:12" x14ac:dyDescent="0.25">
      <c r="A532">
        <v>6</v>
      </c>
      <c r="B532" t="s">
        <v>889</v>
      </c>
      <c r="C532" t="s">
        <v>64</v>
      </c>
      <c r="D532" s="1" t="s">
        <v>890</v>
      </c>
      <c r="E532">
        <v>8.1</v>
      </c>
      <c r="F532">
        <v>12.39</v>
      </c>
      <c r="G532">
        <v>3.87</v>
      </c>
      <c r="H532">
        <v>4.26</v>
      </c>
      <c r="I532">
        <v>8.1300000000000008</v>
      </c>
      <c r="J532" t="s">
        <v>351</v>
      </c>
      <c r="K532" t="str">
        <f t="shared" si="21"/>
        <v>andrew6</v>
      </c>
      <c r="L532">
        <f t="shared" si="22"/>
        <v>18.147599999999997</v>
      </c>
    </row>
    <row r="533" spans="1:12" x14ac:dyDescent="0.25">
      <c r="A533">
        <v>6</v>
      </c>
      <c r="B533" t="s">
        <v>889</v>
      </c>
      <c r="C533" t="s">
        <v>64</v>
      </c>
      <c r="D533" s="1" t="s">
        <v>890</v>
      </c>
      <c r="E533">
        <v>8.1</v>
      </c>
      <c r="F533">
        <v>12.39</v>
      </c>
      <c r="G533">
        <v>3.87</v>
      </c>
      <c r="H533">
        <v>4.26</v>
      </c>
      <c r="I533">
        <v>8.1300000000000008</v>
      </c>
      <c r="J533" t="s">
        <v>352</v>
      </c>
      <c r="K533" t="str">
        <f t="shared" si="21"/>
        <v>jake6</v>
      </c>
      <c r="L533">
        <f t="shared" si="22"/>
        <v>18.147599999999997</v>
      </c>
    </row>
    <row r="534" spans="1:12" x14ac:dyDescent="0.25">
      <c r="A534">
        <v>6</v>
      </c>
      <c r="B534" t="s">
        <v>889</v>
      </c>
      <c r="C534" t="s">
        <v>64</v>
      </c>
      <c r="D534" s="1" t="s">
        <v>890</v>
      </c>
      <c r="E534">
        <v>8.1</v>
      </c>
      <c r="F534">
        <v>12.39</v>
      </c>
      <c r="G534">
        <v>3.87</v>
      </c>
      <c r="H534">
        <v>4.26</v>
      </c>
      <c r="I534">
        <v>8.1300000000000008</v>
      </c>
      <c r="J534" t="s">
        <v>353</v>
      </c>
      <c r="K534" t="str">
        <f t="shared" si="21"/>
        <v>breanna6</v>
      </c>
      <c r="L534">
        <f t="shared" si="22"/>
        <v>18.147599999999997</v>
      </c>
    </row>
    <row r="535" spans="1:12" x14ac:dyDescent="0.25">
      <c r="A535">
        <v>6</v>
      </c>
      <c r="B535" t="s">
        <v>376</v>
      </c>
      <c r="C535" t="s">
        <v>64</v>
      </c>
      <c r="D535" s="1" t="s">
        <v>891</v>
      </c>
      <c r="E535">
        <v>8.4</v>
      </c>
      <c r="F535">
        <v>11.84</v>
      </c>
      <c r="G535">
        <v>4.92</v>
      </c>
      <c r="H535">
        <v>3.46</v>
      </c>
      <c r="I535">
        <v>8.3800000000000008</v>
      </c>
      <c r="J535" t="s">
        <v>354</v>
      </c>
      <c r="K535" t="str">
        <f t="shared" si="21"/>
        <v>joseph6</v>
      </c>
      <c r="L535">
        <f t="shared" si="22"/>
        <v>11.9716</v>
      </c>
    </row>
    <row r="536" spans="1:12" x14ac:dyDescent="0.25">
      <c r="A536">
        <v>6</v>
      </c>
      <c r="B536" t="s">
        <v>65</v>
      </c>
      <c r="C536" t="s">
        <v>64</v>
      </c>
      <c r="D536" s="1" t="s">
        <v>892</v>
      </c>
      <c r="E536">
        <v>9.2200000000000006</v>
      </c>
      <c r="F536">
        <v>13.11</v>
      </c>
      <c r="G536">
        <v>5.35</v>
      </c>
      <c r="H536">
        <v>3.88</v>
      </c>
      <c r="I536">
        <v>9.23</v>
      </c>
      <c r="J536" t="s">
        <v>355</v>
      </c>
      <c r="K536" t="str">
        <f t="shared" si="21"/>
        <v>alyssa6</v>
      </c>
      <c r="L536">
        <f t="shared" si="22"/>
        <v>15.054399999999999</v>
      </c>
    </row>
    <row r="537" spans="1:12" x14ac:dyDescent="0.25">
      <c r="A537">
        <v>6</v>
      </c>
      <c r="B537" t="s">
        <v>67</v>
      </c>
      <c r="C537" t="s">
        <v>64</v>
      </c>
      <c r="D537" s="1" t="s">
        <v>893</v>
      </c>
      <c r="E537">
        <v>9.1999999999999993</v>
      </c>
      <c r="F537">
        <v>13.63</v>
      </c>
      <c r="G537">
        <v>4.83</v>
      </c>
      <c r="H537">
        <v>4.4000000000000004</v>
      </c>
      <c r="I537">
        <v>9.23</v>
      </c>
      <c r="J537" t="s">
        <v>356</v>
      </c>
      <c r="K537" t="str">
        <f t="shared" si="21"/>
        <v>chris6</v>
      </c>
      <c r="L537">
        <f t="shared" si="22"/>
        <v>19.360000000000003</v>
      </c>
    </row>
    <row r="538" spans="1:12" x14ac:dyDescent="0.25">
      <c r="A538">
        <v>6</v>
      </c>
      <c r="B538" t="s">
        <v>394</v>
      </c>
      <c r="C538" t="s">
        <v>64</v>
      </c>
      <c r="D538" s="1" t="s">
        <v>894</v>
      </c>
      <c r="E538">
        <v>8.5</v>
      </c>
      <c r="F538">
        <v>12.53</v>
      </c>
      <c r="G538">
        <v>4.43</v>
      </c>
      <c r="H538">
        <v>4.05</v>
      </c>
      <c r="I538">
        <v>8.48</v>
      </c>
      <c r="J538" t="s">
        <v>357</v>
      </c>
      <c r="K538" t="str">
        <f t="shared" si="21"/>
        <v>jordan6</v>
      </c>
      <c r="L538">
        <f t="shared" si="22"/>
        <v>16.4025</v>
      </c>
    </row>
    <row r="539" spans="1:12" x14ac:dyDescent="0.25">
      <c r="A539">
        <v>6</v>
      </c>
      <c r="B539" t="s">
        <v>378</v>
      </c>
      <c r="C539" t="s">
        <v>64</v>
      </c>
      <c r="D539" s="1" t="s">
        <v>895</v>
      </c>
      <c r="E539">
        <v>7.72</v>
      </c>
      <c r="F539">
        <v>11.33</v>
      </c>
      <c r="G539">
        <v>4.1100000000000003</v>
      </c>
      <c r="H539">
        <v>3.61</v>
      </c>
      <c r="I539">
        <v>7.72</v>
      </c>
      <c r="J539" t="s">
        <v>358</v>
      </c>
      <c r="K539" t="str">
        <f t="shared" si="21"/>
        <v>alex6</v>
      </c>
      <c r="L539">
        <f t="shared" si="22"/>
        <v>13.0321</v>
      </c>
    </row>
    <row r="540" spans="1:12" x14ac:dyDescent="0.25">
      <c r="A540">
        <v>6</v>
      </c>
      <c r="B540" t="s">
        <v>261</v>
      </c>
      <c r="C540" t="s">
        <v>64</v>
      </c>
      <c r="D540" s="1" t="s">
        <v>896</v>
      </c>
      <c r="E540">
        <v>8.2100000000000009</v>
      </c>
      <c r="F540">
        <v>12.25</v>
      </c>
      <c r="G540">
        <v>4.17</v>
      </c>
      <c r="H540">
        <v>4.04</v>
      </c>
      <c r="I540">
        <v>8.2100000000000009</v>
      </c>
      <c r="J540" t="s">
        <v>359</v>
      </c>
      <c r="K540" t="str">
        <f t="shared" si="21"/>
        <v>colin6</v>
      </c>
      <c r="L540">
        <f t="shared" si="22"/>
        <v>16.3216</v>
      </c>
    </row>
    <row r="541" spans="1:12" x14ac:dyDescent="0.25">
      <c r="A541">
        <v>6</v>
      </c>
      <c r="B541" t="s">
        <v>167</v>
      </c>
      <c r="C541" t="s">
        <v>64</v>
      </c>
      <c r="D541" s="1" t="s">
        <v>897</v>
      </c>
      <c r="E541">
        <v>8.83</v>
      </c>
      <c r="F541">
        <v>12.38</v>
      </c>
      <c r="G541">
        <v>5.18</v>
      </c>
      <c r="H541">
        <v>3.6</v>
      </c>
      <c r="I541">
        <v>8.7799999999999994</v>
      </c>
      <c r="J541" t="s">
        <v>360</v>
      </c>
      <c r="K541" t="str">
        <f t="shared" si="21"/>
        <v>paul6</v>
      </c>
      <c r="L541">
        <f t="shared" si="22"/>
        <v>12.96</v>
      </c>
    </row>
    <row r="542" spans="1:12" x14ac:dyDescent="0.25">
      <c r="A542">
        <v>7</v>
      </c>
      <c r="B542" t="s">
        <v>68</v>
      </c>
      <c r="C542" t="s">
        <v>10</v>
      </c>
      <c r="D542" s="1" t="s">
        <v>898</v>
      </c>
      <c r="E542">
        <v>14.83</v>
      </c>
      <c r="F542">
        <v>22.4</v>
      </c>
      <c r="G542">
        <v>4.88</v>
      </c>
      <c r="H542">
        <v>8.76</v>
      </c>
      <c r="I542">
        <v>13.64</v>
      </c>
      <c r="J542" t="s">
        <v>351</v>
      </c>
      <c r="K542" t="str">
        <f t="shared" si="21"/>
        <v>andrew7</v>
      </c>
      <c r="L542">
        <f t="shared" si="22"/>
        <v>76.7376</v>
      </c>
    </row>
    <row r="543" spans="1:12" x14ac:dyDescent="0.25">
      <c r="A543">
        <v>7</v>
      </c>
      <c r="B543" t="s">
        <v>30</v>
      </c>
      <c r="C543" t="s">
        <v>10</v>
      </c>
      <c r="D543" s="1" t="s">
        <v>899</v>
      </c>
      <c r="E543">
        <v>12.78</v>
      </c>
      <c r="F543">
        <v>17.63</v>
      </c>
      <c r="G543">
        <v>5.19</v>
      </c>
      <c r="H543">
        <v>6.22</v>
      </c>
      <c r="I543">
        <v>11.41</v>
      </c>
      <c r="J543" t="s">
        <v>351</v>
      </c>
      <c r="K543" t="str">
        <f t="shared" si="21"/>
        <v>andrew7</v>
      </c>
      <c r="L543">
        <f t="shared" si="22"/>
        <v>38.688399999999994</v>
      </c>
    </row>
    <row r="544" spans="1:12" x14ac:dyDescent="0.25">
      <c r="A544">
        <v>7</v>
      </c>
      <c r="B544" t="s">
        <v>391</v>
      </c>
      <c r="C544" t="s">
        <v>10</v>
      </c>
      <c r="D544" s="1" t="s">
        <v>900</v>
      </c>
      <c r="E544">
        <v>10.59</v>
      </c>
      <c r="F544">
        <v>15.8</v>
      </c>
      <c r="G544">
        <v>3.24</v>
      </c>
      <c r="H544">
        <v>6.28</v>
      </c>
      <c r="I544">
        <v>9.52</v>
      </c>
      <c r="J544" t="s">
        <v>351</v>
      </c>
      <c r="K544" t="str">
        <f t="shared" si="21"/>
        <v>andrew7</v>
      </c>
      <c r="L544">
        <f t="shared" si="22"/>
        <v>39.438400000000001</v>
      </c>
    </row>
    <row r="545" spans="1:12" x14ac:dyDescent="0.25">
      <c r="A545">
        <v>7</v>
      </c>
      <c r="B545" t="s">
        <v>20</v>
      </c>
      <c r="C545" t="s">
        <v>10</v>
      </c>
      <c r="D545" s="1" t="s">
        <v>901</v>
      </c>
      <c r="E545">
        <v>12.27</v>
      </c>
      <c r="F545">
        <v>18.29</v>
      </c>
      <c r="G545">
        <v>3.13</v>
      </c>
      <c r="H545">
        <v>7.58</v>
      </c>
      <c r="I545">
        <v>10.71</v>
      </c>
      <c r="J545" t="s">
        <v>352</v>
      </c>
      <c r="K545" t="str">
        <f t="shared" si="21"/>
        <v>jake7</v>
      </c>
      <c r="L545">
        <f t="shared" si="22"/>
        <v>57.456400000000002</v>
      </c>
    </row>
    <row r="546" spans="1:12" x14ac:dyDescent="0.25">
      <c r="A546">
        <v>7</v>
      </c>
      <c r="B546" t="s">
        <v>181</v>
      </c>
      <c r="C546" t="s">
        <v>10</v>
      </c>
      <c r="D546" s="1" t="s">
        <v>902</v>
      </c>
      <c r="E546">
        <v>12.81</v>
      </c>
      <c r="F546">
        <v>15.75</v>
      </c>
      <c r="G546">
        <v>4.99</v>
      </c>
      <c r="H546">
        <v>5.38</v>
      </c>
      <c r="I546">
        <v>10.37</v>
      </c>
      <c r="J546" t="s">
        <v>352</v>
      </c>
      <c r="K546" t="str">
        <f t="shared" si="21"/>
        <v>jake7</v>
      </c>
      <c r="L546">
        <f t="shared" si="22"/>
        <v>28.944399999999998</v>
      </c>
    </row>
    <row r="547" spans="1:12" x14ac:dyDescent="0.25">
      <c r="A547">
        <v>7</v>
      </c>
      <c r="B547" t="s">
        <v>27</v>
      </c>
      <c r="C547" t="s">
        <v>10</v>
      </c>
      <c r="D547" s="1" t="s">
        <v>903</v>
      </c>
      <c r="E547">
        <v>18.13</v>
      </c>
      <c r="F547">
        <v>22.47</v>
      </c>
      <c r="G547">
        <v>8.83</v>
      </c>
      <c r="H547">
        <v>6.82</v>
      </c>
      <c r="I547">
        <v>15.65</v>
      </c>
      <c r="J547" t="s">
        <v>353</v>
      </c>
      <c r="K547" t="str">
        <f t="shared" si="21"/>
        <v>breanna7</v>
      </c>
      <c r="L547">
        <f t="shared" si="22"/>
        <v>46.512400000000007</v>
      </c>
    </row>
    <row r="548" spans="1:12" x14ac:dyDescent="0.25">
      <c r="A548">
        <v>7</v>
      </c>
      <c r="B548" t="s">
        <v>219</v>
      </c>
      <c r="C548" t="s">
        <v>10</v>
      </c>
      <c r="D548" s="1" t="s">
        <v>904</v>
      </c>
      <c r="E548">
        <v>11.8</v>
      </c>
      <c r="F548">
        <v>16.559999999999999</v>
      </c>
      <c r="G548">
        <v>4.5599999999999996</v>
      </c>
      <c r="H548">
        <v>6</v>
      </c>
      <c r="I548">
        <v>10.56</v>
      </c>
      <c r="J548" t="s">
        <v>353</v>
      </c>
      <c r="K548" t="str">
        <f t="shared" si="21"/>
        <v>breanna7</v>
      </c>
      <c r="L548">
        <f t="shared" si="22"/>
        <v>36</v>
      </c>
    </row>
    <row r="549" spans="1:12" x14ac:dyDescent="0.25">
      <c r="A549">
        <v>7</v>
      </c>
      <c r="B549" t="s">
        <v>22</v>
      </c>
      <c r="C549" t="s">
        <v>10</v>
      </c>
      <c r="D549" s="1" t="s">
        <v>905</v>
      </c>
      <c r="E549">
        <v>8.34</v>
      </c>
      <c r="F549">
        <v>12.54</v>
      </c>
      <c r="G549">
        <v>1.58</v>
      </c>
      <c r="H549">
        <v>5.48</v>
      </c>
      <c r="I549">
        <v>7.06</v>
      </c>
      <c r="J549" t="s">
        <v>353</v>
      </c>
      <c r="K549" t="str">
        <f t="shared" si="21"/>
        <v>breanna7</v>
      </c>
      <c r="L549">
        <f t="shared" si="22"/>
        <v>30.030400000000004</v>
      </c>
    </row>
    <row r="550" spans="1:12" x14ac:dyDescent="0.25">
      <c r="A550">
        <v>7</v>
      </c>
      <c r="B550" t="s">
        <v>216</v>
      </c>
      <c r="C550" t="s">
        <v>10</v>
      </c>
      <c r="D550" s="1" t="s">
        <v>906</v>
      </c>
      <c r="E550">
        <v>14.89</v>
      </c>
      <c r="F550">
        <v>20.45</v>
      </c>
      <c r="G550">
        <v>4.7699999999999996</v>
      </c>
      <c r="H550">
        <v>7.84</v>
      </c>
      <c r="I550">
        <v>12.61</v>
      </c>
      <c r="J550" t="s">
        <v>354</v>
      </c>
      <c r="K550" t="str">
        <f t="shared" si="21"/>
        <v>joseph7</v>
      </c>
      <c r="L550">
        <f t="shared" si="22"/>
        <v>61.465599999999995</v>
      </c>
    </row>
    <row r="551" spans="1:12" x14ac:dyDescent="0.25">
      <c r="A551">
        <v>7</v>
      </c>
      <c r="B551" t="s">
        <v>16</v>
      </c>
      <c r="C551" t="s">
        <v>10</v>
      </c>
      <c r="D551" s="1" t="s">
        <v>907</v>
      </c>
      <c r="E551">
        <v>12.19</v>
      </c>
      <c r="F551">
        <v>16.82</v>
      </c>
      <c r="G551">
        <v>5.82</v>
      </c>
      <c r="H551">
        <v>5.5</v>
      </c>
      <c r="I551">
        <v>11.32</v>
      </c>
      <c r="J551" t="s">
        <v>354</v>
      </c>
      <c r="K551" t="str">
        <f t="shared" si="21"/>
        <v>joseph7</v>
      </c>
      <c r="L551">
        <f t="shared" si="22"/>
        <v>30.25</v>
      </c>
    </row>
    <row r="552" spans="1:12" x14ac:dyDescent="0.25">
      <c r="A552">
        <v>7</v>
      </c>
      <c r="B552" t="s">
        <v>908</v>
      </c>
      <c r="C552" t="s">
        <v>10</v>
      </c>
      <c r="D552" s="1" t="s">
        <v>909</v>
      </c>
      <c r="E552">
        <v>10.82</v>
      </c>
      <c r="F552">
        <v>13.18</v>
      </c>
      <c r="G552">
        <v>4.12</v>
      </c>
      <c r="H552">
        <v>4.53</v>
      </c>
      <c r="I552">
        <v>8.65</v>
      </c>
      <c r="J552" t="s">
        <v>354</v>
      </c>
      <c r="K552" t="str">
        <f t="shared" si="21"/>
        <v>joseph7</v>
      </c>
      <c r="L552">
        <f t="shared" si="22"/>
        <v>20.520900000000001</v>
      </c>
    </row>
    <row r="553" spans="1:12" x14ac:dyDescent="0.25">
      <c r="A553">
        <v>7</v>
      </c>
      <c r="B553" t="s">
        <v>75</v>
      </c>
      <c r="C553" t="s">
        <v>10</v>
      </c>
      <c r="D553" s="1" t="s">
        <v>910</v>
      </c>
      <c r="E553">
        <v>21.01</v>
      </c>
      <c r="F553">
        <v>30.84</v>
      </c>
      <c r="G553">
        <v>8.44</v>
      </c>
      <c r="H553">
        <v>11.2</v>
      </c>
      <c r="I553">
        <v>19.64</v>
      </c>
      <c r="J553" t="s">
        <v>355</v>
      </c>
      <c r="K553" t="str">
        <f t="shared" si="21"/>
        <v>alyssa7</v>
      </c>
      <c r="L553">
        <f t="shared" si="22"/>
        <v>125.43999999999998</v>
      </c>
    </row>
    <row r="554" spans="1:12" x14ac:dyDescent="0.25">
      <c r="A554">
        <v>7</v>
      </c>
      <c r="B554" t="s">
        <v>28</v>
      </c>
      <c r="C554" t="s">
        <v>10</v>
      </c>
      <c r="D554" s="1" t="s">
        <v>911</v>
      </c>
      <c r="E554">
        <v>14.44</v>
      </c>
      <c r="F554">
        <v>17.78</v>
      </c>
      <c r="G554">
        <v>5.48</v>
      </c>
      <c r="H554">
        <v>6.15</v>
      </c>
      <c r="I554">
        <v>11.63</v>
      </c>
      <c r="J554" t="s">
        <v>355</v>
      </c>
      <c r="K554" t="str">
        <f t="shared" si="21"/>
        <v>alyssa7</v>
      </c>
      <c r="L554">
        <f t="shared" si="22"/>
        <v>37.822500000000005</v>
      </c>
    </row>
    <row r="555" spans="1:12" x14ac:dyDescent="0.25">
      <c r="A555">
        <v>7</v>
      </c>
      <c r="B555" t="s">
        <v>160</v>
      </c>
      <c r="C555" t="s">
        <v>10</v>
      </c>
      <c r="D555" s="1" t="s">
        <v>912</v>
      </c>
      <c r="E555">
        <v>11.47</v>
      </c>
      <c r="F555">
        <v>15.73</v>
      </c>
      <c r="G555">
        <v>4.1100000000000003</v>
      </c>
      <c r="H555">
        <v>5.81</v>
      </c>
      <c r="I555">
        <v>9.92</v>
      </c>
      <c r="J555" t="s">
        <v>356</v>
      </c>
      <c r="K555" t="str">
        <f t="shared" si="21"/>
        <v>chris7</v>
      </c>
      <c r="L555">
        <f t="shared" si="22"/>
        <v>33.756099999999996</v>
      </c>
    </row>
    <row r="556" spans="1:12" x14ac:dyDescent="0.25">
      <c r="A556">
        <v>7</v>
      </c>
      <c r="B556" t="s">
        <v>913</v>
      </c>
      <c r="C556" t="s">
        <v>10</v>
      </c>
      <c r="D556" s="1" t="s">
        <v>914</v>
      </c>
      <c r="E556">
        <v>7.97</v>
      </c>
      <c r="F556">
        <v>11.81</v>
      </c>
      <c r="G556">
        <v>1.77</v>
      </c>
      <c r="H556">
        <v>5.0199999999999996</v>
      </c>
      <c r="I556">
        <v>6.79</v>
      </c>
      <c r="J556" t="s">
        <v>356</v>
      </c>
      <c r="K556" t="str">
        <f t="shared" si="21"/>
        <v>chris7</v>
      </c>
      <c r="L556">
        <f t="shared" si="22"/>
        <v>25.200399999999995</v>
      </c>
    </row>
    <row r="557" spans="1:12" x14ac:dyDescent="0.25">
      <c r="A557">
        <v>7</v>
      </c>
      <c r="B557" t="s">
        <v>158</v>
      </c>
      <c r="C557" t="s">
        <v>10</v>
      </c>
      <c r="D557" s="1" t="s">
        <v>915</v>
      </c>
      <c r="E557">
        <v>21.02</v>
      </c>
      <c r="F557">
        <v>28.77</v>
      </c>
      <c r="G557">
        <v>8.99</v>
      </c>
      <c r="H557">
        <v>9.89</v>
      </c>
      <c r="I557">
        <v>18.88</v>
      </c>
      <c r="J557" t="s">
        <v>357</v>
      </c>
      <c r="K557" t="str">
        <f t="shared" si="21"/>
        <v>jordan7</v>
      </c>
      <c r="L557">
        <f t="shared" si="22"/>
        <v>97.812100000000015</v>
      </c>
    </row>
    <row r="558" spans="1:12" x14ac:dyDescent="0.25">
      <c r="A558">
        <v>7</v>
      </c>
      <c r="B558" t="s">
        <v>284</v>
      </c>
      <c r="C558" t="s">
        <v>10</v>
      </c>
      <c r="D558" s="1" t="s">
        <v>916</v>
      </c>
      <c r="E558">
        <v>12.09</v>
      </c>
      <c r="F558">
        <v>18.239999999999998</v>
      </c>
      <c r="G558">
        <v>2.86</v>
      </c>
      <c r="H558">
        <v>7.69</v>
      </c>
      <c r="I558">
        <v>10.55</v>
      </c>
      <c r="J558" t="s">
        <v>357</v>
      </c>
      <c r="K558" t="str">
        <f t="shared" si="21"/>
        <v>jordan7</v>
      </c>
      <c r="L558">
        <f t="shared" si="22"/>
        <v>59.136100000000006</v>
      </c>
    </row>
    <row r="559" spans="1:12" x14ac:dyDescent="0.25">
      <c r="A559">
        <v>7</v>
      </c>
      <c r="B559" t="s">
        <v>157</v>
      </c>
      <c r="C559" t="s">
        <v>10</v>
      </c>
      <c r="D559" s="1" t="s">
        <v>917</v>
      </c>
      <c r="E559">
        <v>9.52</v>
      </c>
      <c r="F559">
        <v>17.05</v>
      </c>
      <c r="G559">
        <v>1.1499999999999999</v>
      </c>
      <c r="H559">
        <v>7.95</v>
      </c>
      <c r="I559">
        <v>9.1</v>
      </c>
      <c r="J559" t="s">
        <v>357</v>
      </c>
      <c r="K559" t="str">
        <f t="shared" si="21"/>
        <v>jordan7</v>
      </c>
      <c r="L559">
        <f t="shared" si="22"/>
        <v>63.202500000000001</v>
      </c>
    </row>
    <row r="560" spans="1:12" x14ac:dyDescent="0.25">
      <c r="A560">
        <v>7</v>
      </c>
      <c r="B560" t="s">
        <v>12</v>
      </c>
      <c r="C560" t="s">
        <v>10</v>
      </c>
      <c r="D560" s="1" t="s">
        <v>918</v>
      </c>
      <c r="E560">
        <v>14.35</v>
      </c>
      <c r="F560">
        <v>20.27</v>
      </c>
      <c r="G560">
        <v>5.83</v>
      </c>
      <c r="H560">
        <v>7.22</v>
      </c>
      <c r="I560">
        <v>13.05</v>
      </c>
      <c r="J560" t="s">
        <v>358</v>
      </c>
      <c r="K560" t="str">
        <f t="shared" si="21"/>
        <v>alex7</v>
      </c>
      <c r="L560">
        <f t="shared" si="22"/>
        <v>52.128399999999999</v>
      </c>
    </row>
    <row r="561" spans="1:12" x14ac:dyDescent="0.25">
      <c r="A561">
        <v>7</v>
      </c>
      <c r="B561" t="s">
        <v>14</v>
      </c>
      <c r="C561" t="s">
        <v>10</v>
      </c>
      <c r="D561" s="1" t="s">
        <v>919</v>
      </c>
      <c r="E561">
        <v>12.12</v>
      </c>
      <c r="F561">
        <v>17.13</v>
      </c>
      <c r="G561">
        <v>4.45</v>
      </c>
      <c r="H561">
        <v>6.34</v>
      </c>
      <c r="I561">
        <v>10.79</v>
      </c>
      <c r="J561" t="s">
        <v>358</v>
      </c>
      <c r="K561" t="str">
        <f t="shared" si="21"/>
        <v>alex7</v>
      </c>
      <c r="L561">
        <f t="shared" si="22"/>
        <v>40.195599999999999</v>
      </c>
    </row>
    <row r="562" spans="1:12" x14ac:dyDescent="0.25">
      <c r="A562">
        <v>7</v>
      </c>
      <c r="B562" t="s">
        <v>152</v>
      </c>
      <c r="C562" t="s">
        <v>10</v>
      </c>
      <c r="D562" s="1" t="s">
        <v>920</v>
      </c>
      <c r="E562">
        <v>16.43</v>
      </c>
      <c r="F562">
        <v>19.850000000000001</v>
      </c>
      <c r="G562">
        <v>7.15</v>
      </c>
      <c r="H562">
        <v>6.35</v>
      </c>
      <c r="I562">
        <v>13.5</v>
      </c>
      <c r="J562" t="s">
        <v>359</v>
      </c>
      <c r="K562" t="str">
        <f t="shared" si="21"/>
        <v>colin7</v>
      </c>
      <c r="L562">
        <f t="shared" si="22"/>
        <v>40.322499999999998</v>
      </c>
    </row>
    <row r="563" spans="1:12" x14ac:dyDescent="0.25">
      <c r="A563">
        <v>7</v>
      </c>
      <c r="B563" t="s">
        <v>265</v>
      </c>
      <c r="C563" t="s">
        <v>10</v>
      </c>
      <c r="D563" s="1" t="s">
        <v>921</v>
      </c>
      <c r="E563">
        <v>7.68</v>
      </c>
      <c r="F563">
        <v>11.4</v>
      </c>
      <c r="G563">
        <v>0.68</v>
      </c>
      <c r="H563">
        <v>5.36</v>
      </c>
      <c r="I563">
        <v>6.04</v>
      </c>
      <c r="J563" t="s">
        <v>359</v>
      </c>
      <c r="K563" t="str">
        <f t="shared" si="21"/>
        <v>colin7</v>
      </c>
      <c r="L563">
        <f t="shared" si="22"/>
        <v>28.729600000000005</v>
      </c>
    </row>
    <row r="564" spans="1:12" x14ac:dyDescent="0.25">
      <c r="A564">
        <v>7</v>
      </c>
      <c r="B564" t="s">
        <v>13</v>
      </c>
      <c r="C564" t="s">
        <v>10</v>
      </c>
      <c r="D564" s="1" t="s">
        <v>922</v>
      </c>
      <c r="E564">
        <v>15.85</v>
      </c>
      <c r="F564">
        <v>20.96</v>
      </c>
      <c r="G564">
        <v>7.54</v>
      </c>
      <c r="H564">
        <v>6.71</v>
      </c>
      <c r="I564">
        <v>14.25</v>
      </c>
      <c r="J564" t="s">
        <v>360</v>
      </c>
      <c r="K564" t="str">
        <f t="shared" si="21"/>
        <v>paul7</v>
      </c>
      <c r="L564">
        <f t="shared" si="22"/>
        <v>45.024099999999997</v>
      </c>
    </row>
    <row r="565" spans="1:12" x14ac:dyDescent="0.25">
      <c r="A565">
        <v>7</v>
      </c>
      <c r="B565" t="s">
        <v>115</v>
      </c>
      <c r="C565" t="s">
        <v>10</v>
      </c>
      <c r="D565" s="1" t="s">
        <v>923</v>
      </c>
      <c r="E565">
        <v>12.88</v>
      </c>
      <c r="F565">
        <v>16.670000000000002</v>
      </c>
      <c r="G565">
        <v>6.25</v>
      </c>
      <c r="H565">
        <v>5.21</v>
      </c>
      <c r="I565">
        <v>11.46</v>
      </c>
      <c r="J565" t="s">
        <v>360</v>
      </c>
      <c r="K565" t="str">
        <f t="shared" si="21"/>
        <v>paul7</v>
      </c>
      <c r="L565">
        <f t="shared" si="22"/>
        <v>27.144099999999998</v>
      </c>
    </row>
    <row r="566" spans="1:12" x14ac:dyDescent="0.25">
      <c r="A566">
        <v>7</v>
      </c>
      <c r="B566" t="s">
        <v>186</v>
      </c>
      <c r="C566" t="s">
        <v>10</v>
      </c>
      <c r="D566" s="1" t="s">
        <v>924</v>
      </c>
      <c r="E566">
        <v>12.25</v>
      </c>
      <c r="F566">
        <v>19.13</v>
      </c>
      <c r="G566">
        <v>2.4500000000000002</v>
      </c>
      <c r="H566">
        <v>8.34</v>
      </c>
      <c r="I566">
        <v>10.79</v>
      </c>
      <c r="J566" t="s">
        <v>360</v>
      </c>
      <c r="K566" t="str">
        <f t="shared" si="21"/>
        <v>paul7</v>
      </c>
      <c r="L566">
        <f t="shared" si="22"/>
        <v>69.555599999999998</v>
      </c>
    </row>
    <row r="567" spans="1:12" x14ac:dyDescent="0.25">
      <c r="A567">
        <v>7</v>
      </c>
      <c r="B567" t="s">
        <v>37</v>
      </c>
      <c r="C567" t="s">
        <v>32</v>
      </c>
      <c r="D567" s="1" t="s">
        <v>925</v>
      </c>
      <c r="E567">
        <v>11.69</v>
      </c>
      <c r="F567">
        <v>16.489999999999998</v>
      </c>
      <c r="G567">
        <v>2.59</v>
      </c>
      <c r="H567">
        <v>6.95</v>
      </c>
      <c r="I567">
        <v>9.5399999999999991</v>
      </c>
      <c r="J567" t="s">
        <v>351</v>
      </c>
      <c r="K567" t="str">
        <f t="shared" si="21"/>
        <v>andrew7</v>
      </c>
      <c r="L567">
        <f t="shared" si="22"/>
        <v>48.302500000000002</v>
      </c>
    </row>
    <row r="568" spans="1:12" x14ac:dyDescent="0.25">
      <c r="A568">
        <v>7</v>
      </c>
      <c r="B568" t="s">
        <v>451</v>
      </c>
      <c r="C568" t="s">
        <v>32</v>
      </c>
      <c r="D568" s="1" t="s">
        <v>926</v>
      </c>
      <c r="E568">
        <v>8.51</v>
      </c>
      <c r="F568">
        <v>12.07</v>
      </c>
      <c r="G568">
        <v>1.17</v>
      </c>
      <c r="H568">
        <v>5.45</v>
      </c>
      <c r="I568">
        <v>6.62</v>
      </c>
      <c r="J568" t="s">
        <v>351</v>
      </c>
      <c r="K568" t="str">
        <f t="shared" si="21"/>
        <v>andrew7</v>
      </c>
      <c r="L568">
        <f t="shared" si="22"/>
        <v>29.702500000000001</v>
      </c>
    </row>
    <row r="569" spans="1:12" x14ac:dyDescent="0.25">
      <c r="A569">
        <v>7</v>
      </c>
      <c r="B569" t="s">
        <v>33</v>
      </c>
      <c r="C569" t="s">
        <v>32</v>
      </c>
      <c r="D569" s="1" t="s">
        <v>927</v>
      </c>
      <c r="E569">
        <v>18.760000000000002</v>
      </c>
      <c r="F569">
        <v>23.43</v>
      </c>
      <c r="G569">
        <v>7.13</v>
      </c>
      <c r="H569">
        <v>8.15</v>
      </c>
      <c r="I569">
        <v>15.28</v>
      </c>
      <c r="J569" t="s">
        <v>352</v>
      </c>
      <c r="K569" t="str">
        <f t="shared" si="21"/>
        <v>jake7</v>
      </c>
      <c r="L569">
        <f t="shared" si="22"/>
        <v>66.422499999999999</v>
      </c>
    </row>
    <row r="570" spans="1:12" x14ac:dyDescent="0.25">
      <c r="A570">
        <v>7</v>
      </c>
      <c r="B570" t="s">
        <v>39</v>
      </c>
      <c r="C570" t="s">
        <v>32</v>
      </c>
      <c r="D570" s="1" t="s">
        <v>928</v>
      </c>
      <c r="E570">
        <v>13.73</v>
      </c>
      <c r="F570">
        <v>17.47</v>
      </c>
      <c r="G570">
        <v>3.65</v>
      </c>
      <c r="H570">
        <v>6.91</v>
      </c>
      <c r="I570">
        <v>10.56</v>
      </c>
      <c r="J570" t="s">
        <v>352</v>
      </c>
      <c r="K570" t="str">
        <f t="shared" si="21"/>
        <v>jake7</v>
      </c>
      <c r="L570">
        <f t="shared" si="22"/>
        <v>47.748100000000001</v>
      </c>
    </row>
    <row r="571" spans="1:12" x14ac:dyDescent="0.25">
      <c r="A571">
        <v>7</v>
      </c>
      <c r="B571" t="s">
        <v>285</v>
      </c>
      <c r="C571" t="s">
        <v>32</v>
      </c>
      <c r="D571" s="1" t="s">
        <v>929</v>
      </c>
      <c r="E571">
        <v>13.19</v>
      </c>
      <c r="F571">
        <v>18.649999999999999</v>
      </c>
      <c r="G571">
        <v>2.0299999999999998</v>
      </c>
      <c r="H571">
        <v>8.31</v>
      </c>
      <c r="I571">
        <v>10.34</v>
      </c>
      <c r="J571" t="s">
        <v>352</v>
      </c>
      <c r="K571" t="str">
        <f t="shared" si="21"/>
        <v>jake7</v>
      </c>
      <c r="L571">
        <f t="shared" si="22"/>
        <v>69.056100000000015</v>
      </c>
    </row>
    <row r="572" spans="1:12" x14ac:dyDescent="0.25">
      <c r="A572">
        <v>7</v>
      </c>
      <c r="B572" t="s">
        <v>48</v>
      </c>
      <c r="C572" t="s">
        <v>32</v>
      </c>
      <c r="D572" s="1" t="s">
        <v>930</v>
      </c>
      <c r="E572">
        <v>11.9</v>
      </c>
      <c r="F572">
        <v>14.77</v>
      </c>
      <c r="G572">
        <v>4.37</v>
      </c>
      <c r="H572">
        <v>5.2</v>
      </c>
      <c r="I572">
        <v>9.57</v>
      </c>
      <c r="J572" t="s">
        <v>353</v>
      </c>
      <c r="K572" t="str">
        <f t="shared" si="21"/>
        <v>breanna7</v>
      </c>
      <c r="L572">
        <f t="shared" si="22"/>
        <v>27.040000000000003</v>
      </c>
    </row>
    <row r="573" spans="1:12" x14ac:dyDescent="0.25">
      <c r="A573">
        <v>7</v>
      </c>
      <c r="B573" t="s">
        <v>165</v>
      </c>
      <c r="C573" t="s">
        <v>32</v>
      </c>
      <c r="D573" s="1" t="s">
        <v>931</v>
      </c>
      <c r="E573">
        <v>11.05</v>
      </c>
      <c r="F573">
        <v>16.82</v>
      </c>
      <c r="G573">
        <v>1.28</v>
      </c>
      <c r="H573">
        <v>7.77</v>
      </c>
      <c r="I573">
        <v>9.0500000000000007</v>
      </c>
      <c r="J573" t="s">
        <v>353</v>
      </c>
      <c r="K573" t="str">
        <f t="shared" si="21"/>
        <v>breanna7</v>
      </c>
      <c r="L573">
        <f t="shared" si="22"/>
        <v>60.372899999999994</v>
      </c>
    </row>
    <row r="574" spans="1:12" x14ac:dyDescent="0.25">
      <c r="A574">
        <v>7</v>
      </c>
      <c r="B574" t="s">
        <v>42</v>
      </c>
      <c r="C574" t="s">
        <v>32</v>
      </c>
      <c r="D574" s="1" t="s">
        <v>932</v>
      </c>
      <c r="E574">
        <v>14.33</v>
      </c>
      <c r="F574">
        <v>17.86</v>
      </c>
      <c r="G574">
        <v>5.28</v>
      </c>
      <c r="H574">
        <v>6.29</v>
      </c>
      <c r="I574">
        <v>11.57</v>
      </c>
      <c r="J574" t="s">
        <v>354</v>
      </c>
      <c r="K574" t="str">
        <f t="shared" si="21"/>
        <v>joseph7</v>
      </c>
      <c r="L574">
        <f t="shared" si="22"/>
        <v>39.564100000000003</v>
      </c>
    </row>
    <row r="575" spans="1:12" x14ac:dyDescent="0.25">
      <c r="A575">
        <v>7</v>
      </c>
      <c r="B575" t="s">
        <v>43</v>
      </c>
      <c r="C575" t="s">
        <v>32</v>
      </c>
      <c r="D575" s="1" t="s">
        <v>933</v>
      </c>
      <c r="E575">
        <v>13.33</v>
      </c>
      <c r="F575">
        <v>16.79</v>
      </c>
      <c r="G575">
        <v>4.59</v>
      </c>
      <c r="H575">
        <v>6.1</v>
      </c>
      <c r="I575">
        <v>10.69</v>
      </c>
      <c r="J575" t="s">
        <v>354</v>
      </c>
      <c r="K575" t="str">
        <f t="shared" si="21"/>
        <v>joseph7</v>
      </c>
      <c r="L575">
        <f t="shared" si="22"/>
        <v>37.209999999999994</v>
      </c>
    </row>
    <row r="576" spans="1:12" x14ac:dyDescent="0.25">
      <c r="A576">
        <v>7</v>
      </c>
      <c r="B576" t="s">
        <v>69</v>
      </c>
      <c r="C576" t="s">
        <v>32</v>
      </c>
      <c r="D576" s="1" t="s">
        <v>934</v>
      </c>
      <c r="E576">
        <v>13.93</v>
      </c>
      <c r="F576">
        <v>17.03</v>
      </c>
      <c r="G576">
        <v>4.09</v>
      </c>
      <c r="H576">
        <v>6.47</v>
      </c>
      <c r="I576">
        <v>10.56</v>
      </c>
      <c r="J576" t="s">
        <v>355</v>
      </c>
      <c r="K576" t="str">
        <f t="shared" si="21"/>
        <v>alyssa7</v>
      </c>
      <c r="L576">
        <f t="shared" si="22"/>
        <v>41.860899999999994</v>
      </c>
    </row>
    <row r="577" spans="1:12" x14ac:dyDescent="0.25">
      <c r="A577">
        <v>7</v>
      </c>
      <c r="B577" t="s">
        <v>71</v>
      </c>
      <c r="C577" t="s">
        <v>32</v>
      </c>
      <c r="D577" s="1" t="s">
        <v>935</v>
      </c>
      <c r="E577">
        <v>13.13</v>
      </c>
      <c r="F577">
        <v>15.84</v>
      </c>
      <c r="G577">
        <v>4.04</v>
      </c>
      <c r="H577">
        <v>5.9</v>
      </c>
      <c r="I577">
        <v>9.94</v>
      </c>
      <c r="J577" t="s">
        <v>355</v>
      </c>
      <c r="K577" t="str">
        <f t="shared" si="21"/>
        <v>alyssa7</v>
      </c>
      <c r="L577">
        <f t="shared" si="22"/>
        <v>34.81</v>
      </c>
    </row>
    <row r="578" spans="1:12" x14ac:dyDescent="0.25">
      <c r="A578">
        <v>7</v>
      </c>
      <c r="B578" t="s">
        <v>51</v>
      </c>
      <c r="C578" t="s">
        <v>32</v>
      </c>
      <c r="D578" s="1" t="s">
        <v>936</v>
      </c>
      <c r="E578">
        <v>12.66</v>
      </c>
      <c r="F578">
        <v>15.85</v>
      </c>
      <c r="G578">
        <v>3.53</v>
      </c>
      <c r="H578">
        <v>6.16</v>
      </c>
      <c r="I578">
        <v>9.69</v>
      </c>
      <c r="J578" t="s">
        <v>355</v>
      </c>
      <c r="K578" t="str">
        <f t="shared" si="21"/>
        <v>alyssa7</v>
      </c>
      <c r="L578">
        <f t="shared" si="22"/>
        <v>37.945599999999999</v>
      </c>
    </row>
    <row r="579" spans="1:12" x14ac:dyDescent="0.25">
      <c r="A579">
        <v>7</v>
      </c>
      <c r="B579" t="s">
        <v>47</v>
      </c>
      <c r="C579" t="s">
        <v>32</v>
      </c>
      <c r="D579" s="1" t="s">
        <v>937</v>
      </c>
      <c r="E579">
        <v>12.72</v>
      </c>
      <c r="F579">
        <v>15.82</v>
      </c>
      <c r="G579">
        <v>4.16</v>
      </c>
      <c r="H579">
        <v>5.83</v>
      </c>
      <c r="I579">
        <v>9.99</v>
      </c>
      <c r="J579" t="s">
        <v>356</v>
      </c>
      <c r="K579" t="str">
        <f t="shared" ref="K579:K642" si="23">J579&amp;A579</f>
        <v>chris7</v>
      </c>
      <c r="L579">
        <f t="shared" ref="L579:L642" si="24">H579^2</f>
        <v>33.988900000000001</v>
      </c>
    </row>
    <row r="580" spans="1:12" x14ac:dyDescent="0.25">
      <c r="A580">
        <v>7</v>
      </c>
      <c r="B580" t="s">
        <v>46</v>
      </c>
      <c r="C580" t="s">
        <v>32</v>
      </c>
      <c r="D580" s="1" t="s">
        <v>938</v>
      </c>
      <c r="E580">
        <v>10.83</v>
      </c>
      <c r="F580">
        <v>12.54</v>
      </c>
      <c r="G580">
        <v>3.62</v>
      </c>
      <c r="H580">
        <v>4.46</v>
      </c>
      <c r="I580">
        <v>8.08</v>
      </c>
      <c r="J580" t="s">
        <v>356</v>
      </c>
      <c r="K580" t="str">
        <f t="shared" si="23"/>
        <v>chris7</v>
      </c>
      <c r="L580">
        <f t="shared" si="24"/>
        <v>19.8916</v>
      </c>
    </row>
    <row r="581" spans="1:12" x14ac:dyDescent="0.25">
      <c r="A581">
        <v>7</v>
      </c>
      <c r="B581" t="s">
        <v>224</v>
      </c>
      <c r="C581" t="s">
        <v>32</v>
      </c>
      <c r="D581" s="1" t="s">
        <v>926</v>
      </c>
      <c r="E581">
        <v>8.51</v>
      </c>
      <c r="F581">
        <v>12.07</v>
      </c>
      <c r="G581">
        <v>1.17</v>
      </c>
      <c r="H581">
        <v>5.45</v>
      </c>
      <c r="I581">
        <v>6.62</v>
      </c>
      <c r="J581" t="s">
        <v>356</v>
      </c>
      <c r="K581" t="str">
        <f t="shared" si="23"/>
        <v>chris7</v>
      </c>
      <c r="L581">
        <f t="shared" si="24"/>
        <v>29.702500000000001</v>
      </c>
    </row>
    <row r="582" spans="1:12" x14ac:dyDescent="0.25">
      <c r="A582">
        <v>7</v>
      </c>
      <c r="B582" t="s">
        <v>35</v>
      </c>
      <c r="C582" t="s">
        <v>32</v>
      </c>
      <c r="D582" s="1" t="s">
        <v>395</v>
      </c>
      <c r="E582">
        <v>14.22</v>
      </c>
      <c r="F582">
        <v>16.579999999999998</v>
      </c>
      <c r="G582">
        <v>4.4400000000000004</v>
      </c>
      <c r="H582">
        <v>6.07</v>
      </c>
      <c r="I582">
        <v>10.51</v>
      </c>
      <c r="J582" t="s">
        <v>357</v>
      </c>
      <c r="K582" t="str">
        <f t="shared" si="23"/>
        <v>jordan7</v>
      </c>
      <c r="L582">
        <f t="shared" si="24"/>
        <v>36.844900000000003</v>
      </c>
    </row>
    <row r="583" spans="1:12" x14ac:dyDescent="0.25">
      <c r="A583">
        <v>7</v>
      </c>
      <c r="B583" t="s">
        <v>222</v>
      </c>
      <c r="C583" t="s">
        <v>32</v>
      </c>
      <c r="D583" s="1" t="s">
        <v>939</v>
      </c>
      <c r="E583">
        <v>9.4499999999999993</v>
      </c>
      <c r="F583">
        <v>14.91</v>
      </c>
      <c r="G583">
        <v>0.59</v>
      </c>
      <c r="H583">
        <v>7.16</v>
      </c>
      <c r="I583">
        <v>7.75</v>
      </c>
      <c r="J583" t="s">
        <v>357</v>
      </c>
      <c r="K583" t="str">
        <f t="shared" si="23"/>
        <v>jordan7</v>
      </c>
      <c r="L583">
        <f t="shared" si="24"/>
        <v>51.265599999999999</v>
      </c>
    </row>
    <row r="584" spans="1:12" x14ac:dyDescent="0.25">
      <c r="A584">
        <v>7</v>
      </c>
      <c r="B584" t="s">
        <v>34</v>
      </c>
      <c r="C584" t="s">
        <v>32</v>
      </c>
      <c r="D584" s="1" t="s">
        <v>940</v>
      </c>
      <c r="E584">
        <v>17.809999999999999</v>
      </c>
      <c r="F584">
        <v>23.5</v>
      </c>
      <c r="G584">
        <v>6.42</v>
      </c>
      <c r="H584">
        <v>8.5399999999999991</v>
      </c>
      <c r="I584">
        <v>14.96</v>
      </c>
      <c r="J584" t="s">
        <v>358</v>
      </c>
      <c r="K584" t="str">
        <f t="shared" si="23"/>
        <v>alex7</v>
      </c>
      <c r="L584">
        <f t="shared" si="24"/>
        <v>72.931599999999989</v>
      </c>
    </row>
    <row r="585" spans="1:12" x14ac:dyDescent="0.25">
      <c r="A585">
        <v>7</v>
      </c>
      <c r="B585" t="s">
        <v>36</v>
      </c>
      <c r="C585" t="s">
        <v>32</v>
      </c>
      <c r="D585" s="1" t="s">
        <v>941</v>
      </c>
      <c r="E585">
        <v>13.59</v>
      </c>
      <c r="F585">
        <v>17.05</v>
      </c>
      <c r="G585">
        <v>4.83</v>
      </c>
      <c r="H585">
        <v>6.11</v>
      </c>
      <c r="I585">
        <v>10.94</v>
      </c>
      <c r="J585" t="s">
        <v>358</v>
      </c>
      <c r="K585" t="str">
        <f t="shared" si="23"/>
        <v>alex7</v>
      </c>
      <c r="L585">
        <f t="shared" si="24"/>
        <v>37.332100000000004</v>
      </c>
    </row>
    <row r="586" spans="1:12" x14ac:dyDescent="0.25">
      <c r="A586">
        <v>7</v>
      </c>
      <c r="B586" t="s">
        <v>184</v>
      </c>
      <c r="C586" t="s">
        <v>32</v>
      </c>
      <c r="D586" s="1" t="s">
        <v>942</v>
      </c>
      <c r="E586">
        <v>13.88</v>
      </c>
      <c r="F586">
        <v>20.34</v>
      </c>
      <c r="G586">
        <v>1.46</v>
      </c>
      <c r="H586">
        <v>9.44</v>
      </c>
      <c r="I586">
        <v>10.9</v>
      </c>
      <c r="J586" t="s">
        <v>358</v>
      </c>
      <c r="K586" t="str">
        <f t="shared" si="23"/>
        <v>alex7</v>
      </c>
      <c r="L586">
        <f t="shared" si="24"/>
        <v>89.113599999999991</v>
      </c>
    </row>
    <row r="587" spans="1:12" x14ac:dyDescent="0.25">
      <c r="A587">
        <v>7</v>
      </c>
      <c r="B587" t="s">
        <v>234</v>
      </c>
      <c r="C587" t="s">
        <v>32</v>
      </c>
      <c r="D587" s="1" t="s">
        <v>943</v>
      </c>
      <c r="E587">
        <v>11.36</v>
      </c>
      <c r="F587">
        <v>14.5</v>
      </c>
      <c r="G587">
        <v>3.42</v>
      </c>
      <c r="H587">
        <v>5.54</v>
      </c>
      <c r="I587">
        <v>8.9600000000000009</v>
      </c>
      <c r="J587" t="s">
        <v>359</v>
      </c>
      <c r="K587" t="str">
        <f t="shared" si="23"/>
        <v>colin7</v>
      </c>
      <c r="L587">
        <f t="shared" si="24"/>
        <v>30.691600000000001</v>
      </c>
    </row>
    <row r="588" spans="1:12" x14ac:dyDescent="0.25">
      <c r="A588">
        <v>7</v>
      </c>
      <c r="B588" t="s">
        <v>161</v>
      </c>
      <c r="C588" t="s">
        <v>32</v>
      </c>
      <c r="D588" s="1" t="s">
        <v>944</v>
      </c>
      <c r="E588">
        <v>9.16</v>
      </c>
      <c r="F588">
        <v>11.8</v>
      </c>
      <c r="G588">
        <v>2.88</v>
      </c>
      <c r="H588">
        <v>4.46</v>
      </c>
      <c r="I588">
        <v>7.34</v>
      </c>
      <c r="J588" t="s">
        <v>359</v>
      </c>
      <c r="K588" t="str">
        <f t="shared" si="23"/>
        <v>colin7</v>
      </c>
      <c r="L588">
        <f t="shared" si="24"/>
        <v>19.8916</v>
      </c>
    </row>
    <row r="589" spans="1:12" x14ac:dyDescent="0.25">
      <c r="A589">
        <v>7</v>
      </c>
      <c r="B589" t="s">
        <v>183</v>
      </c>
      <c r="C589" t="s">
        <v>32</v>
      </c>
      <c r="D589" s="1" t="s">
        <v>945</v>
      </c>
      <c r="E589">
        <v>9.2799999999999994</v>
      </c>
      <c r="F589">
        <v>13.14</v>
      </c>
      <c r="G589">
        <v>1.22</v>
      </c>
      <c r="H589">
        <v>5.96</v>
      </c>
      <c r="I589">
        <v>7.18</v>
      </c>
      <c r="J589" t="s">
        <v>359</v>
      </c>
      <c r="K589" t="str">
        <f t="shared" si="23"/>
        <v>colin7</v>
      </c>
      <c r="L589">
        <f t="shared" si="24"/>
        <v>35.521599999999999</v>
      </c>
    </row>
    <row r="590" spans="1:12" x14ac:dyDescent="0.25">
      <c r="A590">
        <v>7</v>
      </c>
      <c r="B590" t="s">
        <v>49</v>
      </c>
      <c r="C590" t="s">
        <v>32</v>
      </c>
      <c r="D590" s="1" t="s">
        <v>946</v>
      </c>
      <c r="E590">
        <v>14.46</v>
      </c>
      <c r="F590">
        <v>17.93</v>
      </c>
      <c r="G590">
        <v>5.41</v>
      </c>
      <c r="H590">
        <v>6.26</v>
      </c>
      <c r="I590">
        <v>11.67</v>
      </c>
      <c r="J590" t="s">
        <v>360</v>
      </c>
      <c r="K590" t="str">
        <f t="shared" si="23"/>
        <v>paul7</v>
      </c>
      <c r="L590">
        <f t="shared" si="24"/>
        <v>39.187599999999996</v>
      </c>
    </row>
    <row r="591" spans="1:12" x14ac:dyDescent="0.25">
      <c r="A591">
        <v>7</v>
      </c>
      <c r="B591" t="s">
        <v>38</v>
      </c>
      <c r="C591" t="s">
        <v>32</v>
      </c>
      <c r="D591" s="1" t="s">
        <v>947</v>
      </c>
      <c r="E591">
        <v>13.09</v>
      </c>
      <c r="F591">
        <v>17.07</v>
      </c>
      <c r="G591">
        <v>4.41</v>
      </c>
      <c r="H591">
        <v>6.33</v>
      </c>
      <c r="I591">
        <v>10.74</v>
      </c>
      <c r="J591" t="s">
        <v>360</v>
      </c>
      <c r="K591" t="str">
        <f t="shared" si="23"/>
        <v>paul7</v>
      </c>
      <c r="L591">
        <f t="shared" si="24"/>
        <v>40.068899999999999</v>
      </c>
    </row>
    <row r="592" spans="1:12" x14ac:dyDescent="0.25">
      <c r="A592">
        <v>7</v>
      </c>
      <c r="B592" t="s">
        <v>248</v>
      </c>
      <c r="C592" t="s">
        <v>53</v>
      </c>
      <c r="D592" s="1" t="s">
        <v>948</v>
      </c>
      <c r="E592">
        <v>15.86</v>
      </c>
      <c r="F592">
        <v>21.61</v>
      </c>
      <c r="G592">
        <v>7.75</v>
      </c>
      <c r="H592">
        <v>6.93</v>
      </c>
      <c r="I592">
        <v>14.68</v>
      </c>
      <c r="J592" t="s">
        <v>351</v>
      </c>
      <c r="K592" t="str">
        <f t="shared" si="23"/>
        <v>andrew7</v>
      </c>
      <c r="L592">
        <f t="shared" si="24"/>
        <v>48.024899999999995</v>
      </c>
    </row>
    <row r="593" spans="1:12" x14ac:dyDescent="0.25">
      <c r="A593">
        <v>7</v>
      </c>
      <c r="B593" t="s">
        <v>204</v>
      </c>
      <c r="C593" t="s">
        <v>53</v>
      </c>
      <c r="D593" s="1" t="s">
        <v>949</v>
      </c>
      <c r="E593">
        <v>22.4</v>
      </c>
      <c r="F593">
        <v>28.93</v>
      </c>
      <c r="G593">
        <v>14.71</v>
      </c>
      <c r="H593">
        <v>7.11</v>
      </c>
      <c r="I593">
        <v>21.82</v>
      </c>
      <c r="J593" t="s">
        <v>352</v>
      </c>
      <c r="K593" t="str">
        <f t="shared" si="23"/>
        <v>jake7</v>
      </c>
      <c r="L593">
        <f t="shared" si="24"/>
        <v>50.552100000000003</v>
      </c>
    </row>
    <row r="594" spans="1:12" x14ac:dyDescent="0.25">
      <c r="A594">
        <v>7</v>
      </c>
      <c r="B594" t="s">
        <v>148</v>
      </c>
      <c r="C594" t="s">
        <v>53</v>
      </c>
      <c r="D594" s="1" t="s">
        <v>950</v>
      </c>
      <c r="E594">
        <v>19.670000000000002</v>
      </c>
      <c r="F594">
        <v>26.2</v>
      </c>
      <c r="G594">
        <v>11.4</v>
      </c>
      <c r="H594">
        <v>7.4</v>
      </c>
      <c r="I594">
        <v>18.8</v>
      </c>
      <c r="J594" t="s">
        <v>353</v>
      </c>
      <c r="K594" t="str">
        <f t="shared" si="23"/>
        <v>breanna7</v>
      </c>
      <c r="L594">
        <f t="shared" si="24"/>
        <v>54.760000000000005</v>
      </c>
    </row>
    <row r="595" spans="1:12" x14ac:dyDescent="0.25">
      <c r="A595">
        <v>7</v>
      </c>
      <c r="B595" t="s">
        <v>364</v>
      </c>
      <c r="C595" t="s">
        <v>53</v>
      </c>
      <c r="D595" s="1" t="s">
        <v>951</v>
      </c>
      <c r="E595">
        <v>18.05</v>
      </c>
      <c r="F595">
        <v>23.96</v>
      </c>
      <c r="G595">
        <v>10.119999999999999</v>
      </c>
      <c r="H595">
        <v>6.92</v>
      </c>
      <c r="I595">
        <v>17.04</v>
      </c>
      <c r="J595" t="s">
        <v>354</v>
      </c>
      <c r="K595" t="str">
        <f t="shared" si="23"/>
        <v>joseph7</v>
      </c>
      <c r="L595">
        <f t="shared" si="24"/>
        <v>47.886400000000002</v>
      </c>
    </row>
    <row r="596" spans="1:12" x14ac:dyDescent="0.25">
      <c r="A596">
        <v>7</v>
      </c>
      <c r="B596" t="s">
        <v>386</v>
      </c>
      <c r="C596" t="s">
        <v>53</v>
      </c>
      <c r="D596" s="1" t="s">
        <v>952</v>
      </c>
      <c r="E596">
        <v>21.63</v>
      </c>
      <c r="F596">
        <v>27.49</v>
      </c>
      <c r="G596">
        <v>14.05</v>
      </c>
      <c r="H596">
        <v>6.72</v>
      </c>
      <c r="I596">
        <v>20.77</v>
      </c>
      <c r="J596" t="s">
        <v>355</v>
      </c>
      <c r="K596" t="str">
        <f t="shared" si="23"/>
        <v>alyssa7</v>
      </c>
      <c r="L596">
        <f t="shared" si="24"/>
        <v>45.158399999999993</v>
      </c>
    </row>
    <row r="597" spans="1:12" x14ac:dyDescent="0.25">
      <c r="A597">
        <v>7</v>
      </c>
      <c r="B597" t="s">
        <v>156</v>
      </c>
      <c r="C597" t="s">
        <v>53</v>
      </c>
      <c r="D597" s="1" t="s">
        <v>953</v>
      </c>
      <c r="E597">
        <v>22.09</v>
      </c>
      <c r="F597">
        <v>29.57</v>
      </c>
      <c r="G597">
        <v>13.43</v>
      </c>
      <c r="H597">
        <v>8.07</v>
      </c>
      <c r="I597">
        <v>21.5</v>
      </c>
      <c r="J597" t="s">
        <v>356</v>
      </c>
      <c r="K597" t="str">
        <f t="shared" si="23"/>
        <v>chris7</v>
      </c>
      <c r="L597">
        <f t="shared" si="24"/>
        <v>65.124900000000011</v>
      </c>
    </row>
    <row r="598" spans="1:12" x14ac:dyDescent="0.25">
      <c r="A598">
        <v>7</v>
      </c>
      <c r="B598" t="s">
        <v>390</v>
      </c>
      <c r="C598" t="s">
        <v>53</v>
      </c>
      <c r="D598" s="1" t="s">
        <v>954</v>
      </c>
      <c r="E598">
        <v>20.77</v>
      </c>
      <c r="F598">
        <v>27.05</v>
      </c>
      <c r="G598">
        <v>13.53</v>
      </c>
      <c r="H598">
        <v>6.76</v>
      </c>
      <c r="I598">
        <v>20.29</v>
      </c>
      <c r="J598" t="s">
        <v>357</v>
      </c>
      <c r="K598" t="str">
        <f t="shared" si="23"/>
        <v>jordan7</v>
      </c>
      <c r="L598">
        <f t="shared" si="24"/>
        <v>45.697599999999994</v>
      </c>
    </row>
    <row r="599" spans="1:12" x14ac:dyDescent="0.25">
      <c r="A599">
        <v>7</v>
      </c>
      <c r="B599" t="s">
        <v>280</v>
      </c>
      <c r="C599" t="s">
        <v>53</v>
      </c>
      <c r="D599" s="1" t="s">
        <v>955</v>
      </c>
      <c r="E599">
        <v>19.47</v>
      </c>
      <c r="F599">
        <v>26.28</v>
      </c>
      <c r="G599">
        <v>11.18</v>
      </c>
      <c r="H599">
        <v>7.55</v>
      </c>
      <c r="I599">
        <v>18.73</v>
      </c>
      <c r="J599" t="s">
        <v>358</v>
      </c>
      <c r="K599" t="str">
        <f t="shared" si="23"/>
        <v>alex7</v>
      </c>
      <c r="L599">
        <f t="shared" si="24"/>
        <v>57.002499999999998</v>
      </c>
    </row>
    <row r="600" spans="1:12" x14ac:dyDescent="0.25">
      <c r="A600">
        <v>7</v>
      </c>
      <c r="B600" t="s">
        <v>52</v>
      </c>
      <c r="C600" t="s">
        <v>53</v>
      </c>
      <c r="D600" s="1" t="s">
        <v>956</v>
      </c>
      <c r="E600">
        <v>18.829999999999998</v>
      </c>
      <c r="F600">
        <v>24.53</v>
      </c>
      <c r="G600">
        <v>10.93</v>
      </c>
      <c r="H600">
        <v>6.8</v>
      </c>
      <c r="I600">
        <v>17.73</v>
      </c>
      <c r="J600" t="s">
        <v>359</v>
      </c>
      <c r="K600" t="str">
        <f t="shared" si="23"/>
        <v>colin7</v>
      </c>
      <c r="L600">
        <f t="shared" si="24"/>
        <v>46.239999999999995</v>
      </c>
    </row>
    <row r="601" spans="1:12" x14ac:dyDescent="0.25">
      <c r="A601">
        <v>7</v>
      </c>
      <c r="B601" t="s">
        <v>289</v>
      </c>
      <c r="C601" t="s">
        <v>53</v>
      </c>
      <c r="D601" s="1" t="s">
        <v>957</v>
      </c>
      <c r="E601">
        <v>19.059999999999999</v>
      </c>
      <c r="F601">
        <v>25.97</v>
      </c>
      <c r="G601">
        <v>10.31</v>
      </c>
      <c r="H601">
        <v>7.83</v>
      </c>
      <c r="I601">
        <v>18.14</v>
      </c>
      <c r="J601" t="s">
        <v>360</v>
      </c>
      <c r="K601" t="str">
        <f t="shared" si="23"/>
        <v>paul7</v>
      </c>
      <c r="L601">
        <f t="shared" si="24"/>
        <v>61.308900000000001</v>
      </c>
    </row>
    <row r="602" spans="1:12" x14ac:dyDescent="0.25">
      <c r="A602">
        <v>7</v>
      </c>
      <c r="B602" t="s">
        <v>281</v>
      </c>
      <c r="C602" t="s">
        <v>57</v>
      </c>
      <c r="D602" s="1" t="s">
        <v>958</v>
      </c>
      <c r="E602">
        <v>6</v>
      </c>
      <c r="F602">
        <v>8.5500000000000007</v>
      </c>
      <c r="G602">
        <v>0.49</v>
      </c>
      <c r="H602">
        <v>4.03</v>
      </c>
      <c r="I602">
        <v>4.5199999999999996</v>
      </c>
      <c r="J602" t="s">
        <v>351</v>
      </c>
      <c r="K602" t="str">
        <f t="shared" si="23"/>
        <v>andrew7</v>
      </c>
      <c r="L602">
        <f t="shared" si="24"/>
        <v>16.240900000000003</v>
      </c>
    </row>
    <row r="603" spans="1:12" x14ac:dyDescent="0.25">
      <c r="A603">
        <v>7</v>
      </c>
      <c r="B603" t="s">
        <v>518</v>
      </c>
      <c r="C603" t="s">
        <v>57</v>
      </c>
      <c r="D603" s="1" t="s">
        <v>959</v>
      </c>
      <c r="E603">
        <v>7.92</v>
      </c>
      <c r="F603">
        <v>11.75</v>
      </c>
      <c r="G603">
        <v>0.31</v>
      </c>
      <c r="H603">
        <v>5.72</v>
      </c>
      <c r="I603">
        <v>6.03</v>
      </c>
      <c r="J603" t="s">
        <v>352</v>
      </c>
      <c r="K603" t="str">
        <f t="shared" si="23"/>
        <v>jake7</v>
      </c>
      <c r="L603">
        <f t="shared" si="24"/>
        <v>32.718399999999995</v>
      </c>
    </row>
    <row r="604" spans="1:12" x14ac:dyDescent="0.25">
      <c r="A604">
        <v>7</v>
      </c>
      <c r="B604" t="s">
        <v>368</v>
      </c>
      <c r="C604" t="s">
        <v>57</v>
      </c>
      <c r="D604" s="1" t="s">
        <v>960</v>
      </c>
      <c r="E604">
        <v>6.74</v>
      </c>
      <c r="F604">
        <v>9.39</v>
      </c>
      <c r="G604">
        <v>0.81</v>
      </c>
      <c r="H604">
        <v>4.29</v>
      </c>
      <c r="I604">
        <v>5.0999999999999996</v>
      </c>
      <c r="J604" t="s">
        <v>353</v>
      </c>
      <c r="K604" t="str">
        <f t="shared" si="23"/>
        <v>breanna7</v>
      </c>
      <c r="L604">
        <f t="shared" si="24"/>
        <v>18.4041</v>
      </c>
    </row>
    <row r="605" spans="1:12" x14ac:dyDescent="0.25">
      <c r="A605">
        <v>7</v>
      </c>
      <c r="B605" t="s">
        <v>61</v>
      </c>
      <c r="C605" t="s">
        <v>57</v>
      </c>
      <c r="D605" s="1" t="s">
        <v>961</v>
      </c>
      <c r="E605">
        <v>11.79</v>
      </c>
      <c r="F605">
        <v>14.98</v>
      </c>
      <c r="G605">
        <v>3.02</v>
      </c>
      <c r="H605">
        <v>5.98</v>
      </c>
      <c r="I605">
        <v>9</v>
      </c>
      <c r="J605" t="s">
        <v>354</v>
      </c>
      <c r="K605" t="str">
        <f t="shared" si="23"/>
        <v>joseph7</v>
      </c>
      <c r="L605">
        <f t="shared" si="24"/>
        <v>35.760400000000004</v>
      </c>
    </row>
    <row r="606" spans="1:12" x14ac:dyDescent="0.25">
      <c r="A606">
        <v>7</v>
      </c>
      <c r="B606" t="s">
        <v>962</v>
      </c>
      <c r="C606" t="s">
        <v>57</v>
      </c>
      <c r="D606" s="1" t="s">
        <v>958</v>
      </c>
      <c r="E606">
        <v>6</v>
      </c>
      <c r="F606">
        <v>8.5500000000000007</v>
      </c>
      <c r="G606">
        <v>0.49</v>
      </c>
      <c r="H606">
        <v>4.03</v>
      </c>
      <c r="I606">
        <v>4.5199999999999996</v>
      </c>
      <c r="J606" t="s">
        <v>355</v>
      </c>
      <c r="K606" t="str">
        <f t="shared" si="23"/>
        <v>alyssa7</v>
      </c>
      <c r="L606">
        <f t="shared" si="24"/>
        <v>16.240900000000003</v>
      </c>
    </row>
    <row r="607" spans="1:12" x14ac:dyDescent="0.25">
      <c r="A607">
        <v>7</v>
      </c>
      <c r="B607" t="s">
        <v>58</v>
      </c>
      <c r="C607" t="s">
        <v>57</v>
      </c>
      <c r="D607" s="1" t="s">
        <v>963</v>
      </c>
      <c r="E607">
        <v>9.08</v>
      </c>
      <c r="F607">
        <v>11.18</v>
      </c>
      <c r="G607">
        <v>2.64</v>
      </c>
      <c r="H607">
        <v>4.2699999999999996</v>
      </c>
      <c r="I607">
        <v>6.91</v>
      </c>
      <c r="J607" t="s">
        <v>356</v>
      </c>
      <c r="K607" t="str">
        <f t="shared" si="23"/>
        <v>chris7</v>
      </c>
      <c r="L607">
        <f t="shared" si="24"/>
        <v>18.232899999999997</v>
      </c>
    </row>
    <row r="608" spans="1:12" x14ac:dyDescent="0.25">
      <c r="A608">
        <v>7</v>
      </c>
      <c r="B608" t="s">
        <v>62</v>
      </c>
      <c r="C608" t="s">
        <v>57</v>
      </c>
      <c r="D608" s="1" t="s">
        <v>964</v>
      </c>
      <c r="E608">
        <v>11.93</v>
      </c>
      <c r="F608">
        <v>15.09</v>
      </c>
      <c r="G608">
        <v>3.83</v>
      </c>
      <c r="H608">
        <v>5.63</v>
      </c>
      <c r="I608">
        <v>9.4600000000000009</v>
      </c>
      <c r="J608" t="s">
        <v>357</v>
      </c>
      <c r="K608" t="str">
        <f t="shared" si="23"/>
        <v>jordan7</v>
      </c>
      <c r="L608">
        <f t="shared" si="24"/>
        <v>31.696899999999999</v>
      </c>
    </row>
    <row r="609" spans="1:12" x14ac:dyDescent="0.25">
      <c r="A609">
        <v>7</v>
      </c>
      <c r="B609" t="s">
        <v>150</v>
      </c>
      <c r="C609" t="s">
        <v>57</v>
      </c>
      <c r="D609" s="1" t="s">
        <v>965</v>
      </c>
      <c r="E609">
        <v>8.57</v>
      </c>
      <c r="F609">
        <v>10.74</v>
      </c>
      <c r="G609">
        <v>1.92</v>
      </c>
      <c r="H609">
        <v>4.41</v>
      </c>
      <c r="I609">
        <v>6.33</v>
      </c>
      <c r="J609" t="s">
        <v>358</v>
      </c>
      <c r="K609" t="str">
        <f t="shared" si="23"/>
        <v>alex7</v>
      </c>
      <c r="L609">
        <f t="shared" si="24"/>
        <v>19.4481</v>
      </c>
    </row>
    <row r="610" spans="1:12" x14ac:dyDescent="0.25">
      <c r="A610">
        <v>7</v>
      </c>
      <c r="B610" t="s">
        <v>73</v>
      </c>
      <c r="C610" t="s">
        <v>57</v>
      </c>
      <c r="D610" s="1" t="s">
        <v>966</v>
      </c>
      <c r="E610">
        <v>11.82</v>
      </c>
      <c r="F610">
        <v>13.83</v>
      </c>
      <c r="G610">
        <v>4.43</v>
      </c>
      <c r="H610">
        <v>4.7</v>
      </c>
      <c r="I610">
        <v>9.1300000000000008</v>
      </c>
      <c r="J610" t="s">
        <v>359</v>
      </c>
      <c r="K610" t="str">
        <f t="shared" si="23"/>
        <v>colin7</v>
      </c>
      <c r="L610">
        <f t="shared" si="24"/>
        <v>22.090000000000003</v>
      </c>
    </row>
    <row r="611" spans="1:12" x14ac:dyDescent="0.25">
      <c r="A611">
        <v>7</v>
      </c>
      <c r="B611" t="s">
        <v>59</v>
      </c>
      <c r="C611" t="s">
        <v>57</v>
      </c>
      <c r="D611" s="1" t="s">
        <v>967</v>
      </c>
      <c r="E611">
        <v>9.3000000000000007</v>
      </c>
      <c r="F611">
        <v>12.68</v>
      </c>
      <c r="G611">
        <v>1.1599999999999999</v>
      </c>
      <c r="H611">
        <v>5.76</v>
      </c>
      <c r="I611">
        <v>6.92</v>
      </c>
      <c r="J611" t="s">
        <v>360</v>
      </c>
      <c r="K611" t="str">
        <f t="shared" si="23"/>
        <v>paul7</v>
      </c>
      <c r="L611">
        <f t="shared" si="24"/>
        <v>33.177599999999998</v>
      </c>
    </row>
    <row r="612" spans="1:12" x14ac:dyDescent="0.25">
      <c r="A612">
        <v>7</v>
      </c>
      <c r="B612" t="s">
        <v>196</v>
      </c>
      <c r="C612" t="s">
        <v>63</v>
      </c>
      <c r="D612" s="1" t="s">
        <v>968</v>
      </c>
      <c r="E612">
        <v>8.1807999999999996</v>
      </c>
      <c r="F612">
        <v>13.17</v>
      </c>
      <c r="G612">
        <v>3.19</v>
      </c>
      <c r="H612">
        <v>4.99</v>
      </c>
      <c r="I612">
        <v>8.1807999999999996</v>
      </c>
      <c r="J612" t="s">
        <v>351</v>
      </c>
      <c r="K612" t="str">
        <f t="shared" si="23"/>
        <v>andrew7</v>
      </c>
      <c r="L612">
        <f t="shared" si="24"/>
        <v>24.900100000000002</v>
      </c>
    </row>
    <row r="613" spans="1:12" x14ac:dyDescent="0.25">
      <c r="A613">
        <v>7</v>
      </c>
      <c r="B613" t="s">
        <v>318</v>
      </c>
      <c r="C613" t="s">
        <v>63</v>
      </c>
      <c r="D613" s="1" t="s">
        <v>288</v>
      </c>
      <c r="E613">
        <v>8.1603999999999992</v>
      </c>
      <c r="F613">
        <v>13.71</v>
      </c>
      <c r="G613">
        <v>2.61</v>
      </c>
      <c r="H613">
        <v>5.55</v>
      </c>
      <c r="I613">
        <v>8.1603999999999992</v>
      </c>
      <c r="J613" t="s">
        <v>352</v>
      </c>
      <c r="K613" t="str">
        <f t="shared" si="23"/>
        <v>jake7</v>
      </c>
      <c r="L613">
        <f t="shared" si="24"/>
        <v>30.802499999999998</v>
      </c>
    </row>
    <row r="614" spans="1:12" x14ac:dyDescent="0.25">
      <c r="A614">
        <v>7</v>
      </c>
      <c r="B614" t="s">
        <v>335</v>
      </c>
      <c r="C614" t="s">
        <v>63</v>
      </c>
      <c r="D614" s="1" t="s">
        <v>969</v>
      </c>
      <c r="E614">
        <v>7.6609999999999996</v>
      </c>
      <c r="F614">
        <v>13.98</v>
      </c>
      <c r="G614">
        <v>1.36</v>
      </c>
      <c r="H614">
        <v>6.31</v>
      </c>
      <c r="I614">
        <v>7.6609999999999996</v>
      </c>
      <c r="J614" t="s">
        <v>353</v>
      </c>
      <c r="K614" t="str">
        <f t="shared" si="23"/>
        <v>breanna7</v>
      </c>
      <c r="L614">
        <f t="shared" si="24"/>
        <v>39.816099999999992</v>
      </c>
    </row>
    <row r="615" spans="1:12" x14ac:dyDescent="0.25">
      <c r="A615">
        <v>7</v>
      </c>
      <c r="B615" t="s">
        <v>372</v>
      </c>
      <c r="C615" t="s">
        <v>63</v>
      </c>
      <c r="D615" s="1" t="s">
        <v>970</v>
      </c>
      <c r="E615">
        <v>5.3951000000000002</v>
      </c>
      <c r="F615">
        <v>9.5</v>
      </c>
      <c r="G615">
        <v>1.28</v>
      </c>
      <c r="H615">
        <v>4.1100000000000003</v>
      </c>
      <c r="I615">
        <v>5.3951000000000002</v>
      </c>
      <c r="J615" t="s">
        <v>354</v>
      </c>
      <c r="K615" t="str">
        <f t="shared" si="23"/>
        <v>joseph7</v>
      </c>
      <c r="L615">
        <f t="shared" si="24"/>
        <v>16.892100000000003</v>
      </c>
    </row>
    <row r="616" spans="1:12" x14ac:dyDescent="0.25">
      <c r="A616">
        <v>7</v>
      </c>
      <c r="B616" t="s">
        <v>389</v>
      </c>
      <c r="C616" t="s">
        <v>63</v>
      </c>
      <c r="D616" s="1" t="s">
        <v>971</v>
      </c>
      <c r="E616">
        <v>4.7938000000000001</v>
      </c>
      <c r="F616">
        <v>9.43</v>
      </c>
      <c r="G616">
        <v>0.15</v>
      </c>
      <c r="H616">
        <v>4.6399999999999997</v>
      </c>
      <c r="I616">
        <v>4.7938000000000001</v>
      </c>
      <c r="J616" t="s">
        <v>355</v>
      </c>
      <c r="K616" t="str">
        <f t="shared" si="23"/>
        <v>alyssa7</v>
      </c>
      <c r="L616">
        <f t="shared" si="24"/>
        <v>21.529599999999999</v>
      </c>
    </row>
    <row r="617" spans="1:12" x14ac:dyDescent="0.25">
      <c r="A617">
        <v>7</v>
      </c>
      <c r="B617" t="s">
        <v>154</v>
      </c>
      <c r="C617" t="s">
        <v>63</v>
      </c>
      <c r="D617" s="1" t="s">
        <v>972</v>
      </c>
      <c r="E617">
        <v>11.0397</v>
      </c>
      <c r="F617">
        <v>17.100000000000001</v>
      </c>
      <c r="G617">
        <v>4.9800000000000004</v>
      </c>
      <c r="H617">
        <v>6.06</v>
      </c>
      <c r="I617">
        <v>11.0397</v>
      </c>
      <c r="J617" t="s">
        <v>356</v>
      </c>
      <c r="K617" t="str">
        <f t="shared" si="23"/>
        <v>chris7</v>
      </c>
      <c r="L617">
        <f t="shared" si="24"/>
        <v>36.723599999999998</v>
      </c>
    </row>
    <row r="618" spans="1:12" x14ac:dyDescent="0.25">
      <c r="A618">
        <v>7</v>
      </c>
      <c r="B618" t="s">
        <v>166</v>
      </c>
      <c r="C618" t="s">
        <v>63</v>
      </c>
      <c r="D618" s="1" t="s">
        <v>973</v>
      </c>
      <c r="E618">
        <v>8.9687000000000001</v>
      </c>
      <c r="F618">
        <v>15.02</v>
      </c>
      <c r="G618">
        <v>2.9</v>
      </c>
      <c r="H618">
        <v>6.06</v>
      </c>
      <c r="I618">
        <v>8.9687000000000001</v>
      </c>
      <c r="J618" t="s">
        <v>357</v>
      </c>
      <c r="K618" t="str">
        <f t="shared" si="23"/>
        <v>jordan7</v>
      </c>
      <c r="L618">
        <f t="shared" si="24"/>
        <v>36.723599999999998</v>
      </c>
    </row>
    <row r="619" spans="1:12" x14ac:dyDescent="0.25">
      <c r="A619">
        <v>7</v>
      </c>
      <c r="B619" t="s">
        <v>178</v>
      </c>
      <c r="C619" t="s">
        <v>63</v>
      </c>
      <c r="D619" s="1" t="s">
        <v>974</v>
      </c>
      <c r="E619">
        <v>6.5080999999999998</v>
      </c>
      <c r="F619">
        <v>11.53</v>
      </c>
      <c r="G619">
        <v>1.49</v>
      </c>
      <c r="H619">
        <v>5.0199999999999996</v>
      </c>
      <c r="I619">
        <v>6.5080999999999998</v>
      </c>
      <c r="J619" t="s">
        <v>358</v>
      </c>
      <c r="K619" t="str">
        <f t="shared" si="23"/>
        <v>alex7</v>
      </c>
      <c r="L619">
        <f t="shared" si="24"/>
        <v>25.200399999999995</v>
      </c>
    </row>
    <row r="620" spans="1:12" x14ac:dyDescent="0.25">
      <c r="A620">
        <v>7</v>
      </c>
      <c r="B620" t="s">
        <v>257</v>
      </c>
      <c r="C620" t="s">
        <v>63</v>
      </c>
      <c r="D620" s="1" t="s">
        <v>975</v>
      </c>
      <c r="E620">
        <v>12.240600000000001</v>
      </c>
      <c r="F620">
        <v>18.62</v>
      </c>
      <c r="G620">
        <v>5.86</v>
      </c>
      <c r="H620">
        <v>6.38</v>
      </c>
      <c r="I620">
        <v>12.240600000000001</v>
      </c>
      <c r="J620" t="s">
        <v>359</v>
      </c>
      <c r="K620" t="str">
        <f t="shared" si="23"/>
        <v>colin7</v>
      </c>
      <c r="L620">
        <f t="shared" si="24"/>
        <v>40.7044</v>
      </c>
    </row>
    <row r="621" spans="1:12" x14ac:dyDescent="0.25">
      <c r="A621">
        <v>7</v>
      </c>
      <c r="B621" t="s">
        <v>255</v>
      </c>
      <c r="C621" t="s">
        <v>63</v>
      </c>
      <c r="D621" s="1" t="s">
        <v>976</v>
      </c>
      <c r="E621">
        <v>6.1420000000000003</v>
      </c>
      <c r="F621">
        <v>11.53</v>
      </c>
      <c r="G621">
        <v>0.75</v>
      </c>
      <c r="H621">
        <v>5.39</v>
      </c>
      <c r="I621">
        <v>6.1420000000000003</v>
      </c>
      <c r="J621" t="s">
        <v>360</v>
      </c>
      <c r="K621" t="str">
        <f t="shared" si="23"/>
        <v>paul7</v>
      </c>
      <c r="L621">
        <f t="shared" si="24"/>
        <v>29.052099999999996</v>
      </c>
    </row>
    <row r="622" spans="1:12" x14ac:dyDescent="0.25">
      <c r="A622">
        <v>7</v>
      </c>
      <c r="B622" t="s">
        <v>159</v>
      </c>
      <c r="C622" t="s">
        <v>64</v>
      </c>
      <c r="D622" s="1" t="s">
        <v>977</v>
      </c>
      <c r="E622">
        <v>7.58</v>
      </c>
      <c r="F622">
        <v>11.63</v>
      </c>
      <c r="G622">
        <v>3.47</v>
      </c>
      <c r="H622">
        <v>4.08</v>
      </c>
      <c r="I622">
        <v>7.55</v>
      </c>
      <c r="J622" t="s">
        <v>351</v>
      </c>
      <c r="K622" t="str">
        <f t="shared" si="23"/>
        <v>andrew7</v>
      </c>
      <c r="L622">
        <f t="shared" si="24"/>
        <v>16.6464</v>
      </c>
    </row>
    <row r="623" spans="1:12" x14ac:dyDescent="0.25">
      <c r="A623">
        <v>7</v>
      </c>
      <c r="B623" t="s">
        <v>155</v>
      </c>
      <c r="C623" t="s">
        <v>64</v>
      </c>
      <c r="D623" s="1" t="s">
        <v>978</v>
      </c>
      <c r="E623">
        <v>8.4</v>
      </c>
      <c r="F623">
        <v>12.45</v>
      </c>
      <c r="G623">
        <v>4.2699999999999996</v>
      </c>
      <c r="H623">
        <v>4.09</v>
      </c>
      <c r="I623">
        <v>8.36</v>
      </c>
      <c r="J623" t="s">
        <v>352</v>
      </c>
      <c r="K623" t="str">
        <f t="shared" si="23"/>
        <v>jake7</v>
      </c>
      <c r="L623">
        <f t="shared" si="24"/>
        <v>16.728099999999998</v>
      </c>
    </row>
    <row r="624" spans="1:12" x14ac:dyDescent="0.25">
      <c r="A624">
        <v>7</v>
      </c>
      <c r="B624" t="s">
        <v>979</v>
      </c>
      <c r="C624" t="s">
        <v>64</v>
      </c>
      <c r="D624" s="1" t="s">
        <v>980</v>
      </c>
      <c r="E624">
        <v>7.88</v>
      </c>
      <c r="F624">
        <v>12.08</v>
      </c>
      <c r="G624">
        <v>3.74</v>
      </c>
      <c r="H624">
        <v>4.17</v>
      </c>
      <c r="I624">
        <v>7.91</v>
      </c>
      <c r="J624" t="s">
        <v>353</v>
      </c>
      <c r="K624" t="str">
        <f t="shared" si="23"/>
        <v>breanna7</v>
      </c>
      <c r="L624">
        <f t="shared" si="24"/>
        <v>17.3889</v>
      </c>
    </row>
    <row r="625" spans="1:12" x14ac:dyDescent="0.25">
      <c r="A625">
        <v>7</v>
      </c>
      <c r="B625" t="s">
        <v>376</v>
      </c>
      <c r="C625" t="s">
        <v>64</v>
      </c>
      <c r="D625" s="1" t="s">
        <v>981</v>
      </c>
      <c r="E625">
        <v>7.84</v>
      </c>
      <c r="F625">
        <v>11.21</v>
      </c>
      <c r="G625">
        <v>4.49</v>
      </c>
      <c r="H625">
        <v>3.36</v>
      </c>
      <c r="I625">
        <v>7.85</v>
      </c>
      <c r="J625" t="s">
        <v>354</v>
      </c>
      <c r="K625" t="str">
        <f t="shared" si="23"/>
        <v>joseph7</v>
      </c>
      <c r="L625">
        <f t="shared" si="24"/>
        <v>11.289599999999998</v>
      </c>
    </row>
    <row r="626" spans="1:12" x14ac:dyDescent="0.25">
      <c r="A626">
        <v>7</v>
      </c>
      <c r="B626" t="s">
        <v>65</v>
      </c>
      <c r="C626" t="s">
        <v>64</v>
      </c>
      <c r="D626" s="1" t="s">
        <v>982</v>
      </c>
      <c r="E626">
        <v>8.2100000000000009</v>
      </c>
      <c r="F626">
        <v>12.55</v>
      </c>
      <c r="G626">
        <v>3.85</v>
      </c>
      <c r="H626">
        <v>4.3499999999999996</v>
      </c>
      <c r="I626">
        <v>8.1999999999999993</v>
      </c>
      <c r="J626" t="s">
        <v>355</v>
      </c>
      <c r="K626" t="str">
        <f t="shared" si="23"/>
        <v>alyssa7</v>
      </c>
      <c r="L626">
        <f t="shared" si="24"/>
        <v>18.922499999999996</v>
      </c>
    </row>
    <row r="627" spans="1:12" x14ac:dyDescent="0.25">
      <c r="A627">
        <v>7</v>
      </c>
      <c r="B627" t="s">
        <v>262</v>
      </c>
      <c r="C627" t="s">
        <v>64</v>
      </c>
      <c r="D627" s="1" t="s">
        <v>983</v>
      </c>
      <c r="E627">
        <v>8.91</v>
      </c>
      <c r="F627">
        <v>13.81</v>
      </c>
      <c r="G627">
        <v>4.03</v>
      </c>
      <c r="H627">
        <v>4.8899999999999997</v>
      </c>
      <c r="I627">
        <v>8.92</v>
      </c>
      <c r="J627" t="s">
        <v>356</v>
      </c>
      <c r="K627" t="str">
        <f t="shared" si="23"/>
        <v>chris7</v>
      </c>
      <c r="L627">
        <f t="shared" si="24"/>
        <v>23.912099999999995</v>
      </c>
    </row>
    <row r="628" spans="1:12" x14ac:dyDescent="0.25">
      <c r="A628">
        <v>7</v>
      </c>
      <c r="B628" t="s">
        <v>66</v>
      </c>
      <c r="C628" t="s">
        <v>64</v>
      </c>
      <c r="D628" s="1" t="s">
        <v>984</v>
      </c>
      <c r="E628">
        <v>9.07</v>
      </c>
      <c r="F628">
        <v>13.69</v>
      </c>
      <c r="G628">
        <v>4.51</v>
      </c>
      <c r="H628">
        <v>4.59</v>
      </c>
      <c r="I628">
        <v>9.1</v>
      </c>
      <c r="J628" t="s">
        <v>357</v>
      </c>
      <c r="K628" t="str">
        <f t="shared" si="23"/>
        <v>jordan7</v>
      </c>
      <c r="L628">
        <f t="shared" si="24"/>
        <v>21.068099999999998</v>
      </c>
    </row>
    <row r="629" spans="1:12" x14ac:dyDescent="0.25">
      <c r="A629">
        <v>7</v>
      </c>
      <c r="B629" t="s">
        <v>378</v>
      </c>
      <c r="C629" t="s">
        <v>64</v>
      </c>
      <c r="D629" s="1" t="s">
        <v>985</v>
      </c>
      <c r="E629">
        <v>8.23</v>
      </c>
      <c r="F629">
        <v>12.44</v>
      </c>
      <c r="G629">
        <v>3.96</v>
      </c>
      <c r="H629">
        <v>4.24</v>
      </c>
      <c r="I629">
        <v>8.1999999999999993</v>
      </c>
      <c r="J629" t="s">
        <v>358</v>
      </c>
      <c r="K629" t="str">
        <f t="shared" si="23"/>
        <v>alex7</v>
      </c>
      <c r="L629">
        <f t="shared" si="24"/>
        <v>17.977600000000002</v>
      </c>
    </row>
    <row r="630" spans="1:12" x14ac:dyDescent="0.25">
      <c r="A630">
        <v>7</v>
      </c>
      <c r="B630" t="s">
        <v>261</v>
      </c>
      <c r="C630" t="s">
        <v>64</v>
      </c>
      <c r="D630" s="1" t="s">
        <v>986</v>
      </c>
      <c r="E630">
        <v>7.89</v>
      </c>
      <c r="F630">
        <v>12.78</v>
      </c>
      <c r="G630">
        <v>2.98</v>
      </c>
      <c r="H630">
        <v>4.9000000000000004</v>
      </c>
      <c r="I630">
        <v>7.88</v>
      </c>
      <c r="J630" t="s">
        <v>359</v>
      </c>
      <c r="K630" t="str">
        <f t="shared" si="23"/>
        <v>colin7</v>
      </c>
      <c r="L630">
        <f t="shared" si="24"/>
        <v>24.010000000000005</v>
      </c>
    </row>
    <row r="631" spans="1:12" x14ac:dyDescent="0.25">
      <c r="A631">
        <v>7</v>
      </c>
      <c r="B631" t="s">
        <v>979</v>
      </c>
      <c r="C631" t="s">
        <v>64</v>
      </c>
      <c r="D631" s="1" t="s">
        <v>980</v>
      </c>
      <c r="E631">
        <v>7.88</v>
      </c>
      <c r="F631">
        <v>12.08</v>
      </c>
      <c r="G631">
        <v>3.74</v>
      </c>
      <c r="H631">
        <v>4.17</v>
      </c>
      <c r="I631">
        <v>7.91</v>
      </c>
      <c r="J631" t="s">
        <v>360</v>
      </c>
      <c r="K631" t="str">
        <f t="shared" si="23"/>
        <v>paul7</v>
      </c>
      <c r="L631">
        <f t="shared" si="24"/>
        <v>17.3889</v>
      </c>
    </row>
    <row r="632" spans="1:12" x14ac:dyDescent="0.25">
      <c r="A632">
        <v>8</v>
      </c>
      <c r="B632" t="s">
        <v>30</v>
      </c>
      <c r="C632" t="s">
        <v>10</v>
      </c>
      <c r="D632" s="1" t="s">
        <v>987</v>
      </c>
      <c r="E632">
        <v>14.1</v>
      </c>
      <c r="F632">
        <v>19.98</v>
      </c>
      <c r="G632">
        <v>5.04</v>
      </c>
      <c r="H632">
        <v>7.47</v>
      </c>
      <c r="I632">
        <v>12.51</v>
      </c>
      <c r="J632" t="s">
        <v>351</v>
      </c>
      <c r="K632" t="str">
        <f t="shared" si="23"/>
        <v>andrew8</v>
      </c>
      <c r="L632">
        <f t="shared" si="24"/>
        <v>55.800899999999999</v>
      </c>
    </row>
    <row r="633" spans="1:12" x14ac:dyDescent="0.25">
      <c r="A633">
        <v>8</v>
      </c>
      <c r="B633" t="s">
        <v>68</v>
      </c>
      <c r="C633" t="s">
        <v>10</v>
      </c>
      <c r="D633" s="1" t="s">
        <v>988</v>
      </c>
      <c r="E633">
        <v>12.78</v>
      </c>
      <c r="F633">
        <v>18.079999999999998</v>
      </c>
      <c r="G633">
        <v>5.14</v>
      </c>
      <c r="H633">
        <v>6.47</v>
      </c>
      <c r="I633">
        <v>11.61</v>
      </c>
      <c r="J633" t="s">
        <v>351</v>
      </c>
      <c r="K633" t="str">
        <f t="shared" si="23"/>
        <v>andrew8</v>
      </c>
      <c r="L633">
        <f t="shared" si="24"/>
        <v>41.860899999999994</v>
      </c>
    </row>
    <row r="634" spans="1:12" x14ac:dyDescent="0.25">
      <c r="A634">
        <v>8</v>
      </c>
      <c r="B634" t="s">
        <v>20</v>
      </c>
      <c r="C634" t="s">
        <v>10</v>
      </c>
      <c r="D634" s="1" t="s">
        <v>989</v>
      </c>
      <c r="E634">
        <v>15.99</v>
      </c>
      <c r="F634">
        <v>21.57</v>
      </c>
      <c r="G634">
        <v>6.65</v>
      </c>
      <c r="H634">
        <v>7.46</v>
      </c>
      <c r="I634">
        <v>14.11</v>
      </c>
      <c r="J634" t="s">
        <v>352</v>
      </c>
      <c r="K634" t="str">
        <f t="shared" si="23"/>
        <v>jake8</v>
      </c>
      <c r="L634">
        <f t="shared" si="24"/>
        <v>55.651600000000002</v>
      </c>
    </row>
    <row r="635" spans="1:12" x14ac:dyDescent="0.25">
      <c r="A635">
        <v>8</v>
      </c>
      <c r="B635" t="s">
        <v>181</v>
      </c>
      <c r="C635" t="s">
        <v>10</v>
      </c>
      <c r="D635" s="1" t="s">
        <v>990</v>
      </c>
      <c r="E635">
        <v>14.58</v>
      </c>
      <c r="F635">
        <v>20.079999999999998</v>
      </c>
      <c r="G635">
        <v>4.8</v>
      </c>
      <c r="H635">
        <v>7.64</v>
      </c>
      <c r="I635">
        <v>12.44</v>
      </c>
      <c r="J635" t="s">
        <v>352</v>
      </c>
      <c r="K635" t="str">
        <f t="shared" si="23"/>
        <v>jake8</v>
      </c>
      <c r="L635">
        <f t="shared" si="24"/>
        <v>58.369599999999998</v>
      </c>
    </row>
    <row r="636" spans="1:12" x14ac:dyDescent="0.25">
      <c r="A636">
        <v>8</v>
      </c>
      <c r="B636" t="s">
        <v>219</v>
      </c>
      <c r="C636" t="s">
        <v>10</v>
      </c>
      <c r="D636" s="1" t="s">
        <v>991</v>
      </c>
      <c r="E636">
        <v>16.440000000000001</v>
      </c>
      <c r="F636">
        <v>20.81</v>
      </c>
      <c r="G636">
        <v>9.41</v>
      </c>
      <c r="H636">
        <v>5.7</v>
      </c>
      <c r="I636">
        <v>15.11</v>
      </c>
      <c r="J636" t="s">
        <v>353</v>
      </c>
      <c r="K636" t="str">
        <f t="shared" si="23"/>
        <v>breanna8</v>
      </c>
      <c r="L636">
        <f t="shared" si="24"/>
        <v>32.49</v>
      </c>
    </row>
    <row r="637" spans="1:12" x14ac:dyDescent="0.25">
      <c r="A637">
        <v>8</v>
      </c>
      <c r="B637" t="s">
        <v>22</v>
      </c>
      <c r="C637" t="s">
        <v>10</v>
      </c>
      <c r="D637" s="1" t="s">
        <v>992</v>
      </c>
      <c r="E637">
        <v>9</v>
      </c>
      <c r="F637">
        <v>14.23</v>
      </c>
      <c r="G637">
        <v>1.29</v>
      </c>
      <c r="H637">
        <v>6.47</v>
      </c>
      <c r="I637">
        <v>7.76</v>
      </c>
      <c r="J637" t="s">
        <v>353</v>
      </c>
      <c r="K637" t="str">
        <f t="shared" si="23"/>
        <v>breanna8</v>
      </c>
      <c r="L637">
        <f t="shared" si="24"/>
        <v>41.860899999999994</v>
      </c>
    </row>
    <row r="638" spans="1:12" x14ac:dyDescent="0.25">
      <c r="A638">
        <v>8</v>
      </c>
      <c r="B638" t="s">
        <v>74</v>
      </c>
      <c r="C638" t="s">
        <v>10</v>
      </c>
      <c r="D638" s="1" t="s">
        <v>993</v>
      </c>
      <c r="E638">
        <v>15.02</v>
      </c>
      <c r="F638">
        <v>22.36</v>
      </c>
      <c r="G638">
        <v>5.4</v>
      </c>
      <c r="H638">
        <v>8.48</v>
      </c>
      <c r="I638">
        <v>13.88</v>
      </c>
      <c r="J638" t="s">
        <v>354</v>
      </c>
      <c r="K638" t="str">
        <f t="shared" si="23"/>
        <v>joseph8</v>
      </c>
      <c r="L638">
        <f t="shared" si="24"/>
        <v>71.91040000000001</v>
      </c>
    </row>
    <row r="639" spans="1:12" x14ac:dyDescent="0.25">
      <c r="A639">
        <v>8</v>
      </c>
      <c r="B639" t="s">
        <v>216</v>
      </c>
      <c r="C639" t="s">
        <v>10</v>
      </c>
      <c r="D639" s="1" t="s">
        <v>994</v>
      </c>
      <c r="E639">
        <v>15.23</v>
      </c>
      <c r="F639">
        <v>19.170000000000002</v>
      </c>
      <c r="G639">
        <v>6.59</v>
      </c>
      <c r="H639">
        <v>6.29</v>
      </c>
      <c r="I639">
        <v>12.88</v>
      </c>
      <c r="J639" t="s">
        <v>354</v>
      </c>
      <c r="K639" t="str">
        <f t="shared" si="23"/>
        <v>joseph8</v>
      </c>
      <c r="L639">
        <f t="shared" si="24"/>
        <v>39.564100000000003</v>
      </c>
    </row>
    <row r="640" spans="1:12" x14ac:dyDescent="0.25">
      <c r="A640">
        <v>8</v>
      </c>
      <c r="B640" t="s">
        <v>164</v>
      </c>
      <c r="C640" t="s">
        <v>10</v>
      </c>
      <c r="D640" s="1" t="s">
        <v>995</v>
      </c>
      <c r="E640">
        <v>10.95</v>
      </c>
      <c r="F640">
        <v>15.51</v>
      </c>
      <c r="G640">
        <v>2.97</v>
      </c>
      <c r="H640">
        <v>6.27</v>
      </c>
      <c r="I640">
        <v>9.24</v>
      </c>
      <c r="J640" t="s">
        <v>354</v>
      </c>
      <c r="K640" t="str">
        <f t="shared" si="23"/>
        <v>joseph8</v>
      </c>
      <c r="L640">
        <f t="shared" si="24"/>
        <v>39.312899999999992</v>
      </c>
    </row>
    <row r="641" spans="1:12" x14ac:dyDescent="0.25">
      <c r="A641">
        <v>8</v>
      </c>
      <c r="B641" t="s">
        <v>28</v>
      </c>
      <c r="C641" t="s">
        <v>10</v>
      </c>
      <c r="D641" s="1" t="s">
        <v>996</v>
      </c>
      <c r="E641">
        <v>15.43</v>
      </c>
      <c r="F641">
        <v>19.02</v>
      </c>
      <c r="G641">
        <v>6.18</v>
      </c>
      <c r="H641">
        <v>6.42</v>
      </c>
      <c r="I641">
        <v>12.6</v>
      </c>
      <c r="J641" t="s">
        <v>355</v>
      </c>
      <c r="K641" t="str">
        <f t="shared" si="23"/>
        <v>alyssa8</v>
      </c>
      <c r="L641">
        <f t="shared" si="24"/>
        <v>41.2164</v>
      </c>
    </row>
    <row r="642" spans="1:12" x14ac:dyDescent="0.25">
      <c r="A642">
        <v>8</v>
      </c>
      <c r="B642" t="s">
        <v>202</v>
      </c>
      <c r="C642" t="s">
        <v>10</v>
      </c>
      <c r="D642" s="1" t="s">
        <v>997</v>
      </c>
      <c r="E642">
        <v>9.5299999999999994</v>
      </c>
      <c r="F642">
        <v>15.39</v>
      </c>
      <c r="G642">
        <v>1.55</v>
      </c>
      <c r="H642">
        <v>6.92</v>
      </c>
      <c r="I642">
        <v>8.4700000000000006</v>
      </c>
      <c r="J642" t="s">
        <v>355</v>
      </c>
      <c r="K642" t="str">
        <f t="shared" si="23"/>
        <v>alyssa8</v>
      </c>
      <c r="L642">
        <f t="shared" si="24"/>
        <v>47.886400000000002</v>
      </c>
    </row>
    <row r="643" spans="1:12" x14ac:dyDescent="0.25">
      <c r="A643">
        <v>8</v>
      </c>
      <c r="B643" t="s">
        <v>25</v>
      </c>
      <c r="C643" t="s">
        <v>10</v>
      </c>
      <c r="D643" s="1" t="s">
        <v>998</v>
      </c>
      <c r="E643">
        <v>8.9499999999999993</v>
      </c>
      <c r="F643">
        <v>11.16</v>
      </c>
      <c r="G643">
        <v>4.24</v>
      </c>
      <c r="H643">
        <v>3.46</v>
      </c>
      <c r="I643">
        <v>7.7</v>
      </c>
      <c r="J643" t="s">
        <v>356</v>
      </c>
      <c r="K643" t="str">
        <f t="shared" ref="K643:K706" si="25">J643&amp;A643</f>
        <v>chris8</v>
      </c>
      <c r="L643">
        <f t="shared" ref="L643:L706" si="26">H643^2</f>
        <v>11.9716</v>
      </c>
    </row>
    <row r="644" spans="1:12" x14ac:dyDescent="0.25">
      <c r="A644">
        <v>8</v>
      </c>
      <c r="B644" t="s">
        <v>999</v>
      </c>
      <c r="C644" t="s">
        <v>10</v>
      </c>
      <c r="D644" s="1" t="s">
        <v>1000</v>
      </c>
      <c r="E644">
        <v>7.84</v>
      </c>
      <c r="F644">
        <v>11.83</v>
      </c>
      <c r="G644">
        <v>1.41</v>
      </c>
      <c r="H644">
        <v>5.21</v>
      </c>
      <c r="I644">
        <v>6.62</v>
      </c>
      <c r="J644" t="s">
        <v>356</v>
      </c>
      <c r="K644" t="str">
        <f t="shared" si="25"/>
        <v>chris8</v>
      </c>
      <c r="L644">
        <f t="shared" si="26"/>
        <v>27.144099999999998</v>
      </c>
    </row>
    <row r="645" spans="1:12" x14ac:dyDescent="0.25">
      <c r="A645">
        <v>8</v>
      </c>
      <c r="B645" t="s">
        <v>158</v>
      </c>
      <c r="C645" t="s">
        <v>10</v>
      </c>
      <c r="D645" s="1" t="s">
        <v>1001</v>
      </c>
      <c r="E645">
        <v>23.28</v>
      </c>
      <c r="F645">
        <v>31.44</v>
      </c>
      <c r="G645">
        <v>11</v>
      </c>
      <c r="H645">
        <v>10.220000000000001</v>
      </c>
      <c r="I645">
        <v>21.22</v>
      </c>
      <c r="J645" t="s">
        <v>357</v>
      </c>
      <c r="K645" t="str">
        <f t="shared" si="25"/>
        <v>jordan8</v>
      </c>
      <c r="L645">
        <f t="shared" si="26"/>
        <v>104.44840000000001</v>
      </c>
    </row>
    <row r="646" spans="1:12" x14ac:dyDescent="0.25">
      <c r="A646">
        <v>8</v>
      </c>
      <c r="B646" t="s">
        <v>284</v>
      </c>
      <c r="C646" t="s">
        <v>10</v>
      </c>
      <c r="D646" s="1" t="s">
        <v>1002</v>
      </c>
      <c r="E646">
        <v>11.59</v>
      </c>
      <c r="F646">
        <v>17.53</v>
      </c>
      <c r="G646">
        <v>2.61</v>
      </c>
      <c r="H646">
        <v>7.46</v>
      </c>
      <c r="I646">
        <v>10.07</v>
      </c>
      <c r="J646" t="s">
        <v>357</v>
      </c>
      <c r="K646" t="str">
        <f t="shared" si="25"/>
        <v>jordan8</v>
      </c>
      <c r="L646">
        <f t="shared" si="26"/>
        <v>55.651600000000002</v>
      </c>
    </row>
    <row r="647" spans="1:12" x14ac:dyDescent="0.25">
      <c r="A647">
        <v>8</v>
      </c>
      <c r="B647" t="s">
        <v>282</v>
      </c>
      <c r="C647" t="s">
        <v>10</v>
      </c>
      <c r="D647" s="1" t="s">
        <v>1003</v>
      </c>
      <c r="E647">
        <v>8.17</v>
      </c>
      <c r="F647">
        <v>14</v>
      </c>
      <c r="G647">
        <v>-0.16</v>
      </c>
      <c r="H647">
        <v>7.08</v>
      </c>
      <c r="I647">
        <v>6.92</v>
      </c>
      <c r="J647" t="s">
        <v>357</v>
      </c>
      <c r="K647" t="str">
        <f t="shared" si="25"/>
        <v>jordan8</v>
      </c>
      <c r="L647">
        <f t="shared" si="26"/>
        <v>50.126400000000004</v>
      </c>
    </row>
    <row r="648" spans="1:12" x14ac:dyDescent="0.25">
      <c r="A648">
        <v>8</v>
      </c>
      <c r="B648" t="s">
        <v>14</v>
      </c>
      <c r="C648" t="s">
        <v>10</v>
      </c>
      <c r="D648" s="1" t="s">
        <v>1004</v>
      </c>
      <c r="E648">
        <v>14.53</v>
      </c>
      <c r="F648">
        <v>21.47</v>
      </c>
      <c r="G648">
        <v>4.87</v>
      </c>
      <c r="H648">
        <v>8.3000000000000007</v>
      </c>
      <c r="I648">
        <v>13.17</v>
      </c>
      <c r="J648" t="s">
        <v>358</v>
      </c>
      <c r="K648" t="str">
        <f t="shared" si="25"/>
        <v>alex8</v>
      </c>
      <c r="L648">
        <f t="shared" si="26"/>
        <v>68.890000000000015</v>
      </c>
    </row>
    <row r="649" spans="1:12" x14ac:dyDescent="0.25">
      <c r="A649">
        <v>8</v>
      </c>
      <c r="B649" t="s">
        <v>12</v>
      </c>
      <c r="C649" t="s">
        <v>10</v>
      </c>
      <c r="D649" s="1" t="s">
        <v>1005</v>
      </c>
      <c r="E649">
        <v>13.99</v>
      </c>
      <c r="F649">
        <v>19.07</v>
      </c>
      <c r="G649">
        <v>5.87</v>
      </c>
      <c r="H649">
        <v>6.6</v>
      </c>
      <c r="I649">
        <v>12.47</v>
      </c>
      <c r="J649" t="s">
        <v>358</v>
      </c>
      <c r="K649" t="str">
        <f t="shared" si="25"/>
        <v>alex8</v>
      </c>
      <c r="L649">
        <f t="shared" si="26"/>
        <v>43.559999999999995</v>
      </c>
    </row>
    <row r="650" spans="1:12" x14ac:dyDescent="0.25">
      <c r="A650">
        <v>8</v>
      </c>
      <c r="B650" t="s">
        <v>152</v>
      </c>
      <c r="C650" t="s">
        <v>10</v>
      </c>
      <c r="D650" s="1" t="s">
        <v>1006</v>
      </c>
      <c r="E650">
        <v>16.72</v>
      </c>
      <c r="F650">
        <v>19.899999999999999</v>
      </c>
      <c r="G650">
        <v>7.52</v>
      </c>
      <c r="H650">
        <v>6.19</v>
      </c>
      <c r="I650">
        <v>13.71</v>
      </c>
      <c r="J650" t="s">
        <v>359</v>
      </c>
      <c r="K650" t="str">
        <f t="shared" si="25"/>
        <v>colin8</v>
      </c>
      <c r="L650">
        <f t="shared" si="26"/>
        <v>38.316100000000006</v>
      </c>
    </row>
    <row r="651" spans="1:12" x14ac:dyDescent="0.25">
      <c r="A651">
        <v>8</v>
      </c>
      <c r="B651" t="s">
        <v>265</v>
      </c>
      <c r="C651" t="s">
        <v>10</v>
      </c>
      <c r="D651" s="1" t="s">
        <v>1007</v>
      </c>
      <c r="E651">
        <v>9.56</v>
      </c>
      <c r="F651">
        <v>13.88</v>
      </c>
      <c r="G651">
        <v>1.82</v>
      </c>
      <c r="H651">
        <v>6.03</v>
      </c>
      <c r="I651">
        <v>7.85</v>
      </c>
      <c r="J651" t="s">
        <v>359</v>
      </c>
      <c r="K651" t="str">
        <f t="shared" si="25"/>
        <v>colin8</v>
      </c>
      <c r="L651">
        <f t="shared" si="26"/>
        <v>36.360900000000001</v>
      </c>
    </row>
    <row r="652" spans="1:12" x14ac:dyDescent="0.25">
      <c r="A652">
        <v>8</v>
      </c>
      <c r="B652" t="s">
        <v>115</v>
      </c>
      <c r="C652" t="s">
        <v>10</v>
      </c>
      <c r="D652" s="1" t="s">
        <v>1008</v>
      </c>
      <c r="E652">
        <v>13.33</v>
      </c>
      <c r="F652">
        <v>17.489999999999998</v>
      </c>
      <c r="G652">
        <v>6.17</v>
      </c>
      <c r="H652">
        <v>5.66</v>
      </c>
      <c r="I652">
        <v>11.83</v>
      </c>
      <c r="J652" t="s">
        <v>360</v>
      </c>
      <c r="K652" t="str">
        <f t="shared" si="25"/>
        <v>paul8</v>
      </c>
      <c r="L652">
        <f t="shared" si="26"/>
        <v>32.035600000000002</v>
      </c>
    </row>
    <row r="653" spans="1:12" x14ac:dyDescent="0.25">
      <c r="A653">
        <v>8</v>
      </c>
      <c r="B653" t="s">
        <v>13</v>
      </c>
      <c r="C653" t="s">
        <v>10</v>
      </c>
      <c r="D653" s="1" t="s">
        <v>1009</v>
      </c>
      <c r="E653">
        <v>12.9</v>
      </c>
      <c r="F653">
        <v>16.97</v>
      </c>
      <c r="G653">
        <v>5.61</v>
      </c>
      <c r="H653">
        <v>5.68</v>
      </c>
      <c r="I653">
        <v>11.29</v>
      </c>
      <c r="J653" t="s">
        <v>360</v>
      </c>
      <c r="K653" t="str">
        <f t="shared" si="25"/>
        <v>paul8</v>
      </c>
      <c r="L653">
        <f t="shared" si="26"/>
        <v>32.2624</v>
      </c>
    </row>
    <row r="654" spans="1:12" x14ac:dyDescent="0.25">
      <c r="A654">
        <v>8</v>
      </c>
      <c r="B654" t="s">
        <v>41</v>
      </c>
      <c r="C654" t="s">
        <v>32</v>
      </c>
      <c r="D654" s="1" t="s">
        <v>1010</v>
      </c>
      <c r="E654">
        <v>19.309999999999999</v>
      </c>
      <c r="F654">
        <v>22.47</v>
      </c>
      <c r="G654">
        <v>8.51</v>
      </c>
      <c r="H654">
        <v>6.98</v>
      </c>
      <c r="I654">
        <v>15.49</v>
      </c>
      <c r="J654" t="s">
        <v>351</v>
      </c>
      <c r="K654" t="str">
        <f t="shared" si="25"/>
        <v>andrew8</v>
      </c>
      <c r="L654">
        <f t="shared" si="26"/>
        <v>48.720400000000005</v>
      </c>
    </row>
    <row r="655" spans="1:12" x14ac:dyDescent="0.25">
      <c r="A655">
        <v>8</v>
      </c>
      <c r="B655" t="s">
        <v>162</v>
      </c>
      <c r="C655" t="s">
        <v>32</v>
      </c>
      <c r="D655" s="1" t="s">
        <v>1011</v>
      </c>
      <c r="E655">
        <v>12.71</v>
      </c>
      <c r="F655">
        <v>16.3</v>
      </c>
      <c r="G655">
        <v>4.38</v>
      </c>
      <c r="H655">
        <v>5.96</v>
      </c>
      <c r="I655">
        <v>10.34</v>
      </c>
      <c r="J655" t="s">
        <v>351</v>
      </c>
      <c r="K655" t="str">
        <f t="shared" si="25"/>
        <v>andrew8</v>
      </c>
      <c r="L655">
        <f t="shared" si="26"/>
        <v>35.521599999999999</v>
      </c>
    </row>
    <row r="656" spans="1:12" x14ac:dyDescent="0.25">
      <c r="A656">
        <v>8</v>
      </c>
      <c r="B656" t="s">
        <v>72</v>
      </c>
      <c r="C656" t="s">
        <v>32</v>
      </c>
      <c r="D656" s="1" t="s">
        <v>1012</v>
      </c>
      <c r="E656">
        <v>12.89</v>
      </c>
      <c r="F656">
        <v>16.64</v>
      </c>
      <c r="G656">
        <v>3.46</v>
      </c>
      <c r="H656">
        <v>6.59</v>
      </c>
      <c r="I656">
        <v>10.050000000000001</v>
      </c>
      <c r="J656" t="s">
        <v>351</v>
      </c>
      <c r="K656" t="str">
        <f t="shared" si="25"/>
        <v>andrew8</v>
      </c>
      <c r="L656">
        <f t="shared" si="26"/>
        <v>43.428100000000001</v>
      </c>
    </row>
    <row r="657" spans="1:12" x14ac:dyDescent="0.25">
      <c r="A657">
        <v>8</v>
      </c>
      <c r="B657" t="s">
        <v>39</v>
      </c>
      <c r="C657" t="s">
        <v>32</v>
      </c>
      <c r="D657" s="1" t="s">
        <v>1013</v>
      </c>
      <c r="E657">
        <v>14.2</v>
      </c>
      <c r="F657">
        <v>17.97</v>
      </c>
      <c r="G657">
        <v>3.41</v>
      </c>
      <c r="H657">
        <v>7.28</v>
      </c>
      <c r="I657">
        <v>10.69</v>
      </c>
      <c r="J657" t="s">
        <v>352</v>
      </c>
      <c r="K657" t="str">
        <f t="shared" si="25"/>
        <v>jake8</v>
      </c>
      <c r="L657">
        <f t="shared" si="26"/>
        <v>52.998400000000004</v>
      </c>
    </row>
    <row r="658" spans="1:12" x14ac:dyDescent="0.25">
      <c r="A658">
        <v>8</v>
      </c>
      <c r="B658" t="s">
        <v>45</v>
      </c>
      <c r="C658" t="s">
        <v>32</v>
      </c>
      <c r="D658" s="1" t="s">
        <v>298</v>
      </c>
      <c r="E658">
        <v>13.45</v>
      </c>
      <c r="F658">
        <v>15.92</v>
      </c>
      <c r="G658">
        <v>4.54</v>
      </c>
      <c r="H658">
        <v>5.69</v>
      </c>
      <c r="I658">
        <v>10.23</v>
      </c>
      <c r="J658" t="s">
        <v>352</v>
      </c>
      <c r="K658" t="str">
        <f t="shared" si="25"/>
        <v>jake8</v>
      </c>
      <c r="L658">
        <f t="shared" si="26"/>
        <v>32.376100000000001</v>
      </c>
    </row>
    <row r="659" spans="1:12" x14ac:dyDescent="0.25">
      <c r="A659">
        <v>8</v>
      </c>
      <c r="B659" t="s">
        <v>285</v>
      </c>
      <c r="C659" t="s">
        <v>32</v>
      </c>
      <c r="D659" s="1" t="s">
        <v>1014</v>
      </c>
      <c r="E659">
        <v>11.24</v>
      </c>
      <c r="F659">
        <v>15.4</v>
      </c>
      <c r="G659">
        <v>1.96</v>
      </c>
      <c r="H659">
        <v>6.72</v>
      </c>
      <c r="I659">
        <v>8.68</v>
      </c>
      <c r="J659" t="s">
        <v>352</v>
      </c>
      <c r="K659" t="str">
        <f t="shared" si="25"/>
        <v>jake8</v>
      </c>
      <c r="L659">
        <f t="shared" si="26"/>
        <v>45.158399999999993</v>
      </c>
    </row>
    <row r="660" spans="1:12" x14ac:dyDescent="0.25">
      <c r="A660">
        <v>8</v>
      </c>
      <c r="B660" t="s">
        <v>44</v>
      </c>
      <c r="C660" t="s">
        <v>32</v>
      </c>
      <c r="D660" s="1" t="s">
        <v>1015</v>
      </c>
      <c r="E660">
        <v>14.2</v>
      </c>
      <c r="F660">
        <v>20.61</v>
      </c>
      <c r="G660">
        <v>1.47</v>
      </c>
      <c r="H660">
        <v>9.57</v>
      </c>
      <c r="I660">
        <v>11.04</v>
      </c>
      <c r="J660" t="s">
        <v>353</v>
      </c>
      <c r="K660" t="str">
        <f t="shared" si="25"/>
        <v>breanna8</v>
      </c>
      <c r="L660">
        <f t="shared" si="26"/>
        <v>91.584900000000005</v>
      </c>
    </row>
    <row r="661" spans="1:12" x14ac:dyDescent="0.25">
      <c r="A661">
        <v>8</v>
      </c>
      <c r="B661" t="s">
        <v>48</v>
      </c>
      <c r="C661" t="s">
        <v>32</v>
      </c>
      <c r="D661" s="1" t="s">
        <v>1016</v>
      </c>
      <c r="E661">
        <v>12.96</v>
      </c>
      <c r="F661">
        <v>15.84</v>
      </c>
      <c r="G661">
        <v>5.42</v>
      </c>
      <c r="H661">
        <v>5.21</v>
      </c>
      <c r="I661">
        <v>10.63</v>
      </c>
      <c r="J661" t="s">
        <v>353</v>
      </c>
      <c r="K661" t="str">
        <f t="shared" si="25"/>
        <v>breanna8</v>
      </c>
      <c r="L661">
        <f t="shared" si="26"/>
        <v>27.144099999999998</v>
      </c>
    </row>
    <row r="662" spans="1:12" x14ac:dyDescent="0.25">
      <c r="A662">
        <v>8</v>
      </c>
      <c r="B662" t="s">
        <v>165</v>
      </c>
      <c r="C662" t="s">
        <v>32</v>
      </c>
      <c r="D662" s="1" t="s">
        <v>1017</v>
      </c>
      <c r="E662">
        <v>11.29</v>
      </c>
      <c r="F662">
        <v>16.350000000000001</v>
      </c>
      <c r="G662">
        <v>2.19</v>
      </c>
      <c r="H662">
        <v>7.08</v>
      </c>
      <c r="I662">
        <v>9.27</v>
      </c>
      <c r="J662" t="s">
        <v>353</v>
      </c>
      <c r="K662" t="str">
        <f t="shared" si="25"/>
        <v>breanna8</v>
      </c>
      <c r="L662">
        <f t="shared" si="26"/>
        <v>50.126400000000004</v>
      </c>
    </row>
    <row r="663" spans="1:12" x14ac:dyDescent="0.25">
      <c r="A663">
        <v>8</v>
      </c>
      <c r="B663" t="s">
        <v>42</v>
      </c>
      <c r="C663" t="s">
        <v>32</v>
      </c>
      <c r="D663" s="1" t="s">
        <v>1018</v>
      </c>
      <c r="E663">
        <v>15.66</v>
      </c>
      <c r="F663">
        <v>19.34</v>
      </c>
      <c r="G663">
        <v>6.16</v>
      </c>
      <c r="H663">
        <v>6.59</v>
      </c>
      <c r="I663">
        <v>12.75</v>
      </c>
      <c r="J663" t="s">
        <v>354</v>
      </c>
      <c r="K663" t="str">
        <f t="shared" si="25"/>
        <v>joseph8</v>
      </c>
      <c r="L663">
        <f t="shared" si="26"/>
        <v>43.428100000000001</v>
      </c>
    </row>
    <row r="664" spans="1:12" x14ac:dyDescent="0.25">
      <c r="A664">
        <v>8</v>
      </c>
      <c r="B664" t="s">
        <v>43</v>
      </c>
      <c r="C664" t="s">
        <v>32</v>
      </c>
      <c r="D664" s="1" t="s">
        <v>1019</v>
      </c>
      <c r="E664">
        <v>14.6</v>
      </c>
      <c r="F664">
        <v>19.91</v>
      </c>
      <c r="G664">
        <v>4.03</v>
      </c>
      <c r="H664">
        <v>7.94</v>
      </c>
      <c r="I664">
        <v>11.97</v>
      </c>
      <c r="J664" t="s">
        <v>354</v>
      </c>
      <c r="K664" t="str">
        <f t="shared" si="25"/>
        <v>joseph8</v>
      </c>
      <c r="L664">
        <f t="shared" si="26"/>
        <v>63.043600000000005</v>
      </c>
    </row>
    <row r="665" spans="1:12" x14ac:dyDescent="0.25">
      <c r="A665">
        <v>8</v>
      </c>
      <c r="B665" t="s">
        <v>71</v>
      </c>
      <c r="C665" t="s">
        <v>32</v>
      </c>
      <c r="D665" s="1" t="s">
        <v>1020</v>
      </c>
      <c r="E665">
        <v>13.85</v>
      </c>
      <c r="F665">
        <v>17.34</v>
      </c>
      <c r="G665">
        <v>4.5</v>
      </c>
      <c r="H665">
        <v>6.42</v>
      </c>
      <c r="I665">
        <v>10.92</v>
      </c>
      <c r="J665" t="s">
        <v>355</v>
      </c>
      <c r="K665" t="str">
        <f t="shared" si="25"/>
        <v>alyssa8</v>
      </c>
      <c r="L665">
        <f t="shared" si="26"/>
        <v>41.2164</v>
      </c>
    </row>
    <row r="666" spans="1:12" x14ac:dyDescent="0.25">
      <c r="A666">
        <v>8</v>
      </c>
      <c r="B666" t="s">
        <v>69</v>
      </c>
      <c r="C666" t="s">
        <v>32</v>
      </c>
      <c r="D666" s="1" t="s">
        <v>1021</v>
      </c>
      <c r="E666">
        <v>14.21</v>
      </c>
      <c r="F666">
        <v>17.52</v>
      </c>
      <c r="G666">
        <v>4.0999999999999996</v>
      </c>
      <c r="H666">
        <v>6.71</v>
      </c>
      <c r="I666">
        <v>10.81</v>
      </c>
      <c r="J666" t="s">
        <v>355</v>
      </c>
      <c r="K666" t="str">
        <f t="shared" si="25"/>
        <v>alyssa8</v>
      </c>
      <c r="L666">
        <f t="shared" si="26"/>
        <v>45.024099999999997</v>
      </c>
    </row>
    <row r="667" spans="1:12" x14ac:dyDescent="0.25">
      <c r="A667">
        <v>8</v>
      </c>
      <c r="B667" t="s">
        <v>51</v>
      </c>
      <c r="C667" t="s">
        <v>32</v>
      </c>
      <c r="D667" s="1" t="s">
        <v>1022</v>
      </c>
      <c r="E667">
        <v>11.97</v>
      </c>
      <c r="F667">
        <v>15.12</v>
      </c>
      <c r="G667">
        <v>3.66</v>
      </c>
      <c r="H667">
        <v>5.73</v>
      </c>
      <c r="I667">
        <v>9.39</v>
      </c>
      <c r="J667" t="s">
        <v>355</v>
      </c>
      <c r="K667" t="str">
        <f t="shared" si="25"/>
        <v>alyssa8</v>
      </c>
      <c r="L667">
        <f t="shared" si="26"/>
        <v>32.832900000000002</v>
      </c>
    </row>
    <row r="668" spans="1:12" x14ac:dyDescent="0.25">
      <c r="A668">
        <v>8</v>
      </c>
      <c r="B668" t="s">
        <v>47</v>
      </c>
      <c r="C668" t="s">
        <v>32</v>
      </c>
      <c r="D668" s="1" t="s">
        <v>1023</v>
      </c>
      <c r="E668">
        <v>15.11</v>
      </c>
      <c r="F668">
        <v>19.32</v>
      </c>
      <c r="G668">
        <v>4.96</v>
      </c>
      <c r="H668">
        <v>7.18</v>
      </c>
      <c r="I668">
        <v>12.14</v>
      </c>
      <c r="J668" t="s">
        <v>356</v>
      </c>
      <c r="K668" t="str">
        <f t="shared" si="25"/>
        <v>chris8</v>
      </c>
      <c r="L668">
        <f t="shared" si="26"/>
        <v>51.552399999999999</v>
      </c>
    </row>
    <row r="669" spans="1:12" x14ac:dyDescent="0.25">
      <c r="A669">
        <v>8</v>
      </c>
      <c r="B669" t="s">
        <v>46</v>
      </c>
      <c r="C669" t="s">
        <v>32</v>
      </c>
      <c r="D669" s="1" t="s">
        <v>1024</v>
      </c>
      <c r="E669">
        <v>12.41</v>
      </c>
      <c r="F669">
        <v>15.86</v>
      </c>
      <c r="G669">
        <v>3.14</v>
      </c>
      <c r="H669">
        <v>6.36</v>
      </c>
      <c r="I669">
        <v>9.5</v>
      </c>
      <c r="J669" t="s">
        <v>356</v>
      </c>
      <c r="K669" t="str">
        <f t="shared" si="25"/>
        <v>chris8</v>
      </c>
      <c r="L669">
        <f t="shared" si="26"/>
        <v>40.449600000000004</v>
      </c>
    </row>
    <row r="670" spans="1:12" x14ac:dyDescent="0.25">
      <c r="A670">
        <v>8</v>
      </c>
      <c r="B670" t="s">
        <v>224</v>
      </c>
      <c r="C670" t="s">
        <v>32</v>
      </c>
      <c r="D670" s="1" t="s">
        <v>1025</v>
      </c>
      <c r="E670">
        <v>9.18</v>
      </c>
      <c r="F670">
        <v>11.74</v>
      </c>
      <c r="G670">
        <v>2.08</v>
      </c>
      <c r="H670">
        <v>4.83</v>
      </c>
      <c r="I670">
        <v>6.91</v>
      </c>
      <c r="J670" t="s">
        <v>356</v>
      </c>
      <c r="K670" t="str">
        <f t="shared" si="25"/>
        <v>chris8</v>
      </c>
      <c r="L670">
        <f t="shared" si="26"/>
        <v>23.328900000000001</v>
      </c>
    </row>
    <row r="671" spans="1:12" x14ac:dyDescent="0.25">
      <c r="A671">
        <v>8</v>
      </c>
      <c r="B671" t="s">
        <v>35</v>
      </c>
      <c r="C671" t="s">
        <v>32</v>
      </c>
      <c r="D671" s="1" t="s">
        <v>1026</v>
      </c>
      <c r="E671">
        <v>13.69</v>
      </c>
      <c r="F671">
        <v>17.940000000000001</v>
      </c>
      <c r="G671">
        <v>2.64</v>
      </c>
      <c r="H671">
        <v>7.65</v>
      </c>
      <c r="I671">
        <v>10.29</v>
      </c>
      <c r="J671" t="s">
        <v>357</v>
      </c>
      <c r="K671" t="str">
        <f t="shared" si="25"/>
        <v>jordan8</v>
      </c>
      <c r="L671">
        <f t="shared" si="26"/>
        <v>58.522500000000008</v>
      </c>
    </row>
    <row r="672" spans="1:12" x14ac:dyDescent="0.25">
      <c r="A672">
        <v>8</v>
      </c>
      <c r="B672" t="s">
        <v>222</v>
      </c>
      <c r="C672" t="s">
        <v>32</v>
      </c>
      <c r="D672" s="1" t="s">
        <v>1027</v>
      </c>
      <c r="E672">
        <v>9.51</v>
      </c>
      <c r="F672">
        <v>15.23</v>
      </c>
      <c r="G672">
        <v>0.23</v>
      </c>
      <c r="H672">
        <v>7.5</v>
      </c>
      <c r="I672">
        <v>7.73</v>
      </c>
      <c r="J672" t="s">
        <v>357</v>
      </c>
      <c r="K672" t="str">
        <f t="shared" si="25"/>
        <v>jordan8</v>
      </c>
      <c r="L672">
        <f t="shared" si="26"/>
        <v>56.25</v>
      </c>
    </row>
    <row r="673" spans="1:12" x14ac:dyDescent="0.25">
      <c r="A673">
        <v>8</v>
      </c>
      <c r="B673" t="s">
        <v>36</v>
      </c>
      <c r="C673" t="s">
        <v>32</v>
      </c>
      <c r="D673" s="1" t="s">
        <v>1028</v>
      </c>
      <c r="E673">
        <v>13.58</v>
      </c>
      <c r="F673">
        <v>17.010000000000002</v>
      </c>
      <c r="G673">
        <v>4.8099999999999996</v>
      </c>
      <c r="H673">
        <v>6.1</v>
      </c>
      <c r="I673">
        <v>10.91</v>
      </c>
      <c r="J673" t="s">
        <v>358</v>
      </c>
      <c r="K673" t="str">
        <f t="shared" si="25"/>
        <v>alex8</v>
      </c>
      <c r="L673">
        <f t="shared" si="26"/>
        <v>37.209999999999994</v>
      </c>
    </row>
    <row r="674" spans="1:12" x14ac:dyDescent="0.25">
      <c r="A674">
        <v>8</v>
      </c>
      <c r="B674" t="s">
        <v>453</v>
      </c>
      <c r="C674" t="s">
        <v>32</v>
      </c>
      <c r="D674" s="1" t="s">
        <v>1029</v>
      </c>
      <c r="E674">
        <v>12.05</v>
      </c>
      <c r="F674">
        <v>15.35</v>
      </c>
      <c r="G674">
        <v>4.13</v>
      </c>
      <c r="H674">
        <v>5.61</v>
      </c>
      <c r="I674">
        <v>9.74</v>
      </c>
      <c r="J674" t="s">
        <v>358</v>
      </c>
      <c r="K674" t="str">
        <f t="shared" si="25"/>
        <v>alex8</v>
      </c>
      <c r="L674">
        <f t="shared" si="26"/>
        <v>31.472100000000005</v>
      </c>
    </row>
    <row r="675" spans="1:12" x14ac:dyDescent="0.25">
      <c r="A675">
        <v>8</v>
      </c>
      <c r="B675" t="s">
        <v>184</v>
      </c>
      <c r="C675" t="s">
        <v>32</v>
      </c>
      <c r="D675" s="1" t="s">
        <v>1030</v>
      </c>
      <c r="E675">
        <v>12.28</v>
      </c>
      <c r="F675">
        <v>17.399999999999999</v>
      </c>
      <c r="G675">
        <v>1.92</v>
      </c>
      <c r="H675">
        <v>7.74</v>
      </c>
      <c r="I675">
        <v>9.66</v>
      </c>
      <c r="J675" t="s">
        <v>358</v>
      </c>
      <c r="K675" t="str">
        <f t="shared" si="25"/>
        <v>alex8</v>
      </c>
      <c r="L675">
        <f t="shared" si="26"/>
        <v>59.907600000000002</v>
      </c>
    </row>
    <row r="676" spans="1:12" x14ac:dyDescent="0.25">
      <c r="A676">
        <v>8</v>
      </c>
      <c r="B676" t="s">
        <v>183</v>
      </c>
      <c r="C676" t="s">
        <v>32</v>
      </c>
      <c r="D676" s="1" t="s">
        <v>1031</v>
      </c>
      <c r="E676">
        <v>10.57</v>
      </c>
      <c r="F676">
        <v>14.46</v>
      </c>
      <c r="G676">
        <v>2.2799999999999998</v>
      </c>
      <c r="H676">
        <v>6.09</v>
      </c>
      <c r="I676">
        <v>8.3699999999999992</v>
      </c>
      <c r="J676" t="s">
        <v>359</v>
      </c>
      <c r="K676" t="str">
        <f t="shared" si="25"/>
        <v>colin8</v>
      </c>
      <c r="L676">
        <f t="shared" si="26"/>
        <v>37.088099999999997</v>
      </c>
    </row>
    <row r="677" spans="1:12" x14ac:dyDescent="0.25">
      <c r="A677">
        <v>8</v>
      </c>
      <c r="B677" t="s">
        <v>234</v>
      </c>
      <c r="C677" t="s">
        <v>32</v>
      </c>
      <c r="D677" s="1" t="s">
        <v>1032</v>
      </c>
      <c r="E677">
        <v>10.34</v>
      </c>
      <c r="F677">
        <v>13.53</v>
      </c>
      <c r="G677">
        <v>2.69</v>
      </c>
      <c r="H677">
        <v>5.42</v>
      </c>
      <c r="I677">
        <v>8.11</v>
      </c>
      <c r="J677" t="s">
        <v>359</v>
      </c>
      <c r="K677" t="str">
        <f t="shared" si="25"/>
        <v>colin8</v>
      </c>
      <c r="L677">
        <f t="shared" si="26"/>
        <v>29.3764</v>
      </c>
    </row>
    <row r="678" spans="1:12" x14ac:dyDescent="0.25">
      <c r="A678">
        <v>8</v>
      </c>
      <c r="B678" t="s">
        <v>161</v>
      </c>
      <c r="C678" t="s">
        <v>32</v>
      </c>
      <c r="D678" s="1" t="s">
        <v>1033</v>
      </c>
      <c r="E678">
        <v>8.73</v>
      </c>
      <c r="F678">
        <v>11.48</v>
      </c>
      <c r="G678">
        <v>2.48</v>
      </c>
      <c r="H678">
        <v>4.5</v>
      </c>
      <c r="I678">
        <v>6.98</v>
      </c>
      <c r="J678" t="s">
        <v>359</v>
      </c>
      <c r="K678" t="str">
        <f t="shared" si="25"/>
        <v>colin8</v>
      </c>
      <c r="L678">
        <f t="shared" si="26"/>
        <v>20.25</v>
      </c>
    </row>
    <row r="679" spans="1:12" x14ac:dyDescent="0.25">
      <c r="A679">
        <v>8</v>
      </c>
      <c r="B679" t="s">
        <v>38</v>
      </c>
      <c r="C679" t="s">
        <v>32</v>
      </c>
      <c r="D679" s="1" t="s">
        <v>1034</v>
      </c>
      <c r="E679">
        <v>14.47</v>
      </c>
      <c r="F679">
        <v>19.36</v>
      </c>
      <c r="G679">
        <v>4.22</v>
      </c>
      <c r="H679">
        <v>7.57</v>
      </c>
      <c r="I679">
        <v>11.79</v>
      </c>
      <c r="J679" t="s">
        <v>360</v>
      </c>
      <c r="K679" t="str">
        <f t="shared" si="25"/>
        <v>paul8</v>
      </c>
      <c r="L679">
        <f t="shared" si="26"/>
        <v>57.304900000000004</v>
      </c>
    </row>
    <row r="680" spans="1:12" x14ac:dyDescent="0.25">
      <c r="A680">
        <v>8</v>
      </c>
      <c r="B680" t="s">
        <v>147</v>
      </c>
      <c r="C680" t="s">
        <v>32</v>
      </c>
      <c r="D680" s="1" t="s">
        <v>1035</v>
      </c>
      <c r="E680">
        <v>12.79</v>
      </c>
      <c r="F680">
        <v>15.81</v>
      </c>
      <c r="G680">
        <v>5.21</v>
      </c>
      <c r="H680">
        <v>5.3</v>
      </c>
      <c r="I680">
        <v>10.51</v>
      </c>
      <c r="J680" t="s">
        <v>360</v>
      </c>
      <c r="K680" t="str">
        <f t="shared" si="25"/>
        <v>paul8</v>
      </c>
      <c r="L680">
        <f t="shared" si="26"/>
        <v>28.09</v>
      </c>
    </row>
    <row r="681" spans="1:12" x14ac:dyDescent="0.25">
      <c r="A681">
        <v>8</v>
      </c>
      <c r="B681" t="s">
        <v>49</v>
      </c>
      <c r="C681" t="s">
        <v>32</v>
      </c>
      <c r="D681" s="1" t="s">
        <v>1036</v>
      </c>
      <c r="E681">
        <v>12.26</v>
      </c>
      <c r="F681">
        <v>15.29</v>
      </c>
      <c r="G681">
        <v>3.61</v>
      </c>
      <c r="H681">
        <v>5.84</v>
      </c>
      <c r="I681">
        <v>9.4499999999999993</v>
      </c>
      <c r="J681" t="s">
        <v>360</v>
      </c>
      <c r="K681" t="str">
        <f t="shared" si="25"/>
        <v>paul8</v>
      </c>
      <c r="L681">
        <f t="shared" si="26"/>
        <v>34.105599999999995</v>
      </c>
    </row>
    <row r="682" spans="1:12" x14ac:dyDescent="0.25">
      <c r="A682">
        <v>8</v>
      </c>
      <c r="B682" t="s">
        <v>246</v>
      </c>
      <c r="C682" t="s">
        <v>53</v>
      </c>
      <c r="D682" s="1" t="s">
        <v>1037</v>
      </c>
      <c r="E682">
        <v>21.45</v>
      </c>
      <c r="F682">
        <v>28.66</v>
      </c>
      <c r="G682">
        <v>12.38</v>
      </c>
      <c r="H682">
        <v>8.14</v>
      </c>
      <c r="I682">
        <v>20.52</v>
      </c>
      <c r="J682" t="s">
        <v>351</v>
      </c>
      <c r="K682" t="str">
        <f t="shared" si="25"/>
        <v>andrew8</v>
      </c>
      <c r="L682">
        <f t="shared" si="26"/>
        <v>66.259600000000006</v>
      </c>
    </row>
    <row r="683" spans="1:12" x14ac:dyDescent="0.25">
      <c r="A683">
        <v>8</v>
      </c>
      <c r="B683" t="s">
        <v>1038</v>
      </c>
      <c r="C683" t="s">
        <v>53</v>
      </c>
      <c r="D683" s="1" t="s">
        <v>1039</v>
      </c>
      <c r="E683">
        <v>18.54</v>
      </c>
      <c r="F683">
        <v>24.33</v>
      </c>
      <c r="G683">
        <v>11.05</v>
      </c>
      <c r="H683">
        <v>6.64</v>
      </c>
      <c r="I683">
        <v>17.690000000000001</v>
      </c>
      <c r="J683" t="s">
        <v>352</v>
      </c>
      <c r="K683" t="str">
        <f t="shared" si="25"/>
        <v>jake8</v>
      </c>
      <c r="L683">
        <f t="shared" si="26"/>
        <v>44.089599999999997</v>
      </c>
    </row>
    <row r="684" spans="1:12" x14ac:dyDescent="0.25">
      <c r="A684">
        <v>8</v>
      </c>
      <c r="B684" t="s">
        <v>290</v>
      </c>
      <c r="C684" t="s">
        <v>53</v>
      </c>
      <c r="D684" s="1" t="s">
        <v>1040</v>
      </c>
      <c r="E684">
        <v>23.43</v>
      </c>
      <c r="F684">
        <v>31</v>
      </c>
      <c r="G684">
        <v>14.6</v>
      </c>
      <c r="H684">
        <v>8.1999999999999993</v>
      </c>
      <c r="I684">
        <v>22.8</v>
      </c>
      <c r="J684" t="s">
        <v>353</v>
      </c>
      <c r="K684" t="str">
        <f t="shared" si="25"/>
        <v>breanna8</v>
      </c>
      <c r="L684">
        <f t="shared" si="26"/>
        <v>67.239999999999995</v>
      </c>
    </row>
    <row r="685" spans="1:12" x14ac:dyDescent="0.25">
      <c r="A685">
        <v>8</v>
      </c>
      <c r="B685" t="s">
        <v>364</v>
      </c>
      <c r="C685" t="s">
        <v>53</v>
      </c>
      <c r="D685" s="1" t="s">
        <v>1041</v>
      </c>
      <c r="E685">
        <v>19.420000000000002</v>
      </c>
      <c r="F685">
        <v>25.08</v>
      </c>
      <c r="G685">
        <v>11.88</v>
      </c>
      <c r="H685">
        <v>6.6</v>
      </c>
      <c r="I685">
        <v>18.48</v>
      </c>
      <c r="J685" t="s">
        <v>354</v>
      </c>
      <c r="K685" t="str">
        <f t="shared" si="25"/>
        <v>joseph8</v>
      </c>
      <c r="L685">
        <f t="shared" si="26"/>
        <v>43.559999999999995</v>
      </c>
    </row>
    <row r="686" spans="1:12" x14ac:dyDescent="0.25">
      <c r="A686">
        <v>8</v>
      </c>
      <c r="B686" t="s">
        <v>1038</v>
      </c>
      <c r="C686" t="s">
        <v>53</v>
      </c>
      <c r="D686" s="1" t="s">
        <v>1039</v>
      </c>
      <c r="E686">
        <v>18.54</v>
      </c>
      <c r="F686">
        <v>24.33</v>
      </c>
      <c r="G686">
        <v>11.05</v>
      </c>
      <c r="H686">
        <v>6.64</v>
      </c>
      <c r="I686">
        <v>17.690000000000001</v>
      </c>
      <c r="J686" t="s">
        <v>355</v>
      </c>
      <c r="K686" t="str">
        <f t="shared" si="25"/>
        <v>alyssa8</v>
      </c>
      <c r="L686">
        <f t="shared" si="26"/>
        <v>44.089599999999997</v>
      </c>
    </row>
    <row r="687" spans="1:12" x14ac:dyDescent="0.25">
      <c r="A687">
        <v>8</v>
      </c>
      <c r="B687" t="s">
        <v>55</v>
      </c>
      <c r="C687" t="s">
        <v>53</v>
      </c>
      <c r="D687" s="1" t="s">
        <v>1042</v>
      </c>
      <c r="E687">
        <v>18.75</v>
      </c>
      <c r="F687">
        <v>25.78</v>
      </c>
      <c r="G687">
        <v>9.86</v>
      </c>
      <c r="H687">
        <v>7.96</v>
      </c>
      <c r="I687">
        <v>17.82</v>
      </c>
      <c r="J687" t="s">
        <v>356</v>
      </c>
      <c r="K687" t="str">
        <f t="shared" si="25"/>
        <v>chris8</v>
      </c>
      <c r="L687">
        <f t="shared" si="26"/>
        <v>63.361600000000003</v>
      </c>
    </row>
    <row r="688" spans="1:12" x14ac:dyDescent="0.25">
      <c r="A688">
        <v>8</v>
      </c>
      <c r="B688" t="s">
        <v>390</v>
      </c>
      <c r="C688" t="s">
        <v>53</v>
      </c>
      <c r="D688" s="1" t="s">
        <v>1043</v>
      </c>
      <c r="E688">
        <v>21.83</v>
      </c>
      <c r="F688">
        <v>28.14</v>
      </c>
      <c r="G688">
        <v>14.66</v>
      </c>
      <c r="H688">
        <v>6.74</v>
      </c>
      <c r="I688">
        <v>21.4</v>
      </c>
      <c r="J688" t="s">
        <v>357</v>
      </c>
      <c r="K688" t="str">
        <f t="shared" si="25"/>
        <v>jordan8</v>
      </c>
      <c r="L688">
        <f t="shared" si="26"/>
        <v>45.427600000000005</v>
      </c>
    </row>
    <row r="689" spans="1:12" x14ac:dyDescent="0.25">
      <c r="A689">
        <v>8</v>
      </c>
      <c r="B689" t="s">
        <v>280</v>
      </c>
      <c r="C689" t="s">
        <v>53</v>
      </c>
      <c r="D689" s="1" t="s">
        <v>1044</v>
      </c>
      <c r="E689">
        <v>21.9</v>
      </c>
      <c r="F689">
        <v>29.27</v>
      </c>
      <c r="G689">
        <v>13.09</v>
      </c>
      <c r="H689">
        <v>8.09</v>
      </c>
      <c r="I689">
        <v>21.18</v>
      </c>
      <c r="J689" t="s">
        <v>358</v>
      </c>
      <c r="K689" t="str">
        <f t="shared" si="25"/>
        <v>alex8</v>
      </c>
      <c r="L689">
        <f t="shared" si="26"/>
        <v>65.448099999999997</v>
      </c>
    </row>
    <row r="690" spans="1:12" x14ac:dyDescent="0.25">
      <c r="A690">
        <v>8</v>
      </c>
      <c r="B690" t="s">
        <v>52</v>
      </c>
      <c r="C690" t="s">
        <v>53</v>
      </c>
      <c r="D690" s="1" t="s">
        <v>1045</v>
      </c>
      <c r="E690">
        <v>20.32</v>
      </c>
      <c r="F690">
        <v>25.83</v>
      </c>
      <c r="G690">
        <v>13.07</v>
      </c>
      <c r="H690">
        <v>6.38</v>
      </c>
      <c r="I690">
        <v>19.45</v>
      </c>
      <c r="J690" t="s">
        <v>359</v>
      </c>
      <c r="K690" t="str">
        <f t="shared" si="25"/>
        <v>colin8</v>
      </c>
      <c r="L690">
        <f t="shared" si="26"/>
        <v>40.7044</v>
      </c>
    </row>
    <row r="691" spans="1:12" x14ac:dyDescent="0.25">
      <c r="A691">
        <v>8</v>
      </c>
      <c r="B691" t="s">
        <v>194</v>
      </c>
      <c r="C691" t="s">
        <v>53</v>
      </c>
      <c r="D691" s="1" t="s">
        <v>1046</v>
      </c>
      <c r="E691">
        <v>20.28</v>
      </c>
      <c r="F691">
        <v>27.49</v>
      </c>
      <c r="G691">
        <v>12.11</v>
      </c>
      <c r="H691">
        <v>7.69</v>
      </c>
      <c r="I691">
        <v>19.8</v>
      </c>
      <c r="J691" t="s">
        <v>360</v>
      </c>
      <c r="K691" t="str">
        <f t="shared" si="25"/>
        <v>paul8</v>
      </c>
      <c r="L691">
        <f t="shared" si="26"/>
        <v>59.136100000000006</v>
      </c>
    </row>
    <row r="692" spans="1:12" x14ac:dyDescent="0.25">
      <c r="A692">
        <v>8</v>
      </c>
      <c r="B692" t="s">
        <v>497</v>
      </c>
      <c r="C692" t="s">
        <v>57</v>
      </c>
      <c r="D692" s="1" t="s">
        <v>1047</v>
      </c>
      <c r="E692">
        <v>9.15</v>
      </c>
      <c r="F692">
        <v>13.03</v>
      </c>
      <c r="G692">
        <v>1.37</v>
      </c>
      <c r="H692">
        <v>5.83</v>
      </c>
      <c r="I692">
        <v>7.2</v>
      </c>
      <c r="J692" t="s">
        <v>351</v>
      </c>
      <c r="K692" t="str">
        <f t="shared" si="25"/>
        <v>andrew8</v>
      </c>
      <c r="L692">
        <f t="shared" si="26"/>
        <v>33.988900000000001</v>
      </c>
    </row>
    <row r="693" spans="1:12" x14ac:dyDescent="0.25">
      <c r="A693">
        <v>8</v>
      </c>
      <c r="B693" t="s">
        <v>60</v>
      </c>
      <c r="C693" t="s">
        <v>57</v>
      </c>
      <c r="D693" s="1" t="s">
        <v>1048</v>
      </c>
      <c r="E693">
        <v>9.32</v>
      </c>
      <c r="F693">
        <v>12</v>
      </c>
      <c r="G693">
        <v>1.7</v>
      </c>
      <c r="H693">
        <v>5.15</v>
      </c>
      <c r="I693">
        <v>6.85</v>
      </c>
      <c r="J693" t="s">
        <v>352</v>
      </c>
      <c r="K693" t="str">
        <f t="shared" si="25"/>
        <v>jake8</v>
      </c>
      <c r="L693">
        <f t="shared" si="26"/>
        <v>26.522500000000004</v>
      </c>
    </row>
    <row r="694" spans="1:12" x14ac:dyDescent="0.25">
      <c r="A694">
        <v>8</v>
      </c>
      <c r="B694" t="s">
        <v>368</v>
      </c>
      <c r="C694" t="s">
        <v>57</v>
      </c>
      <c r="D694" s="1" t="s">
        <v>1049</v>
      </c>
      <c r="E694">
        <v>5.9</v>
      </c>
      <c r="F694">
        <v>7.74</v>
      </c>
      <c r="G694">
        <v>0.74</v>
      </c>
      <c r="H694">
        <v>3.5</v>
      </c>
      <c r="I694">
        <v>4.24</v>
      </c>
      <c r="J694" t="s">
        <v>353</v>
      </c>
      <c r="K694" t="str">
        <f t="shared" si="25"/>
        <v>breanna8</v>
      </c>
      <c r="L694">
        <f t="shared" si="26"/>
        <v>12.25</v>
      </c>
    </row>
    <row r="695" spans="1:12" x14ac:dyDescent="0.25">
      <c r="A695">
        <v>8</v>
      </c>
      <c r="B695" t="s">
        <v>61</v>
      </c>
      <c r="C695" t="s">
        <v>57</v>
      </c>
      <c r="D695" s="1" t="s">
        <v>1050</v>
      </c>
      <c r="E695">
        <v>12.94</v>
      </c>
      <c r="F695">
        <v>16.41</v>
      </c>
      <c r="G695">
        <v>3.81</v>
      </c>
      <c r="H695">
        <v>6.3</v>
      </c>
      <c r="I695">
        <v>10.11</v>
      </c>
      <c r="J695" t="s">
        <v>354</v>
      </c>
      <c r="K695" t="str">
        <f t="shared" si="25"/>
        <v>joseph8</v>
      </c>
      <c r="L695">
        <f t="shared" si="26"/>
        <v>39.69</v>
      </c>
    </row>
    <row r="696" spans="1:12" x14ac:dyDescent="0.25">
      <c r="A696">
        <v>8</v>
      </c>
      <c r="B696" t="s">
        <v>521</v>
      </c>
      <c r="C696" t="s">
        <v>57</v>
      </c>
      <c r="D696" s="1" t="s">
        <v>1051</v>
      </c>
      <c r="E696">
        <v>2.99</v>
      </c>
      <c r="F696">
        <v>4.8099999999999996</v>
      </c>
      <c r="G696">
        <v>-0.13</v>
      </c>
      <c r="H696">
        <v>2.4700000000000002</v>
      </c>
      <c r="I696">
        <v>2.34</v>
      </c>
      <c r="J696" t="s">
        <v>355</v>
      </c>
      <c r="K696" t="str">
        <f t="shared" si="25"/>
        <v>alyssa8</v>
      </c>
      <c r="L696">
        <f t="shared" si="26"/>
        <v>6.1009000000000011</v>
      </c>
    </row>
    <row r="697" spans="1:12" x14ac:dyDescent="0.25">
      <c r="A697">
        <v>8</v>
      </c>
      <c r="B697" t="s">
        <v>58</v>
      </c>
      <c r="C697" t="s">
        <v>57</v>
      </c>
      <c r="D697" s="1" t="s">
        <v>1052</v>
      </c>
      <c r="E697">
        <v>9.17</v>
      </c>
      <c r="F697">
        <v>11.95</v>
      </c>
      <c r="G697">
        <v>2.23</v>
      </c>
      <c r="H697">
        <v>4.8600000000000003</v>
      </c>
      <c r="I697">
        <v>7.09</v>
      </c>
      <c r="J697" t="s">
        <v>356</v>
      </c>
      <c r="K697" t="str">
        <f t="shared" si="25"/>
        <v>chris8</v>
      </c>
      <c r="L697">
        <f t="shared" si="26"/>
        <v>23.619600000000002</v>
      </c>
    </row>
    <row r="698" spans="1:12" x14ac:dyDescent="0.25">
      <c r="A698">
        <v>8</v>
      </c>
      <c r="B698" t="s">
        <v>62</v>
      </c>
      <c r="C698" t="s">
        <v>57</v>
      </c>
      <c r="D698" s="1" t="s">
        <v>1053</v>
      </c>
      <c r="E698">
        <v>13.82</v>
      </c>
      <c r="F698">
        <v>17.64</v>
      </c>
      <c r="G698">
        <v>4.8</v>
      </c>
      <c r="H698">
        <v>6.42</v>
      </c>
      <c r="I698">
        <v>11.22</v>
      </c>
      <c r="J698" t="s">
        <v>357</v>
      </c>
      <c r="K698" t="str">
        <f t="shared" si="25"/>
        <v>jordan8</v>
      </c>
      <c r="L698">
        <f t="shared" si="26"/>
        <v>41.2164</v>
      </c>
    </row>
    <row r="699" spans="1:12" x14ac:dyDescent="0.25">
      <c r="A699">
        <v>8</v>
      </c>
      <c r="B699" t="s">
        <v>163</v>
      </c>
      <c r="C699" t="s">
        <v>57</v>
      </c>
      <c r="D699" s="1" t="s">
        <v>1054</v>
      </c>
      <c r="E699">
        <v>8.15</v>
      </c>
      <c r="F699">
        <v>10.23</v>
      </c>
      <c r="G699">
        <v>1.69</v>
      </c>
      <c r="H699">
        <v>4.2699999999999996</v>
      </c>
      <c r="I699">
        <v>5.96</v>
      </c>
      <c r="J699" t="s">
        <v>358</v>
      </c>
      <c r="K699" t="str">
        <f t="shared" si="25"/>
        <v>alex8</v>
      </c>
      <c r="L699">
        <f t="shared" si="26"/>
        <v>18.232899999999997</v>
      </c>
    </row>
    <row r="700" spans="1:12" x14ac:dyDescent="0.25">
      <c r="A700">
        <v>8</v>
      </c>
      <c r="B700" t="s">
        <v>73</v>
      </c>
      <c r="C700" t="s">
        <v>57</v>
      </c>
      <c r="D700" s="1" t="s">
        <v>1055</v>
      </c>
      <c r="E700">
        <v>10.53</v>
      </c>
      <c r="F700">
        <v>13.41</v>
      </c>
      <c r="G700">
        <v>2.81</v>
      </c>
      <c r="H700">
        <v>5.3</v>
      </c>
      <c r="I700">
        <v>8.11</v>
      </c>
      <c r="J700" t="s">
        <v>359</v>
      </c>
      <c r="K700" t="str">
        <f t="shared" si="25"/>
        <v>colin8</v>
      </c>
      <c r="L700">
        <f t="shared" si="26"/>
        <v>28.09</v>
      </c>
    </row>
    <row r="701" spans="1:12" x14ac:dyDescent="0.25">
      <c r="A701">
        <v>8</v>
      </c>
      <c r="B701" t="s">
        <v>59</v>
      </c>
      <c r="C701" t="s">
        <v>57</v>
      </c>
      <c r="D701" s="1" t="s">
        <v>1056</v>
      </c>
      <c r="E701">
        <v>8.91</v>
      </c>
      <c r="F701">
        <v>12.25</v>
      </c>
      <c r="G701">
        <v>0.85</v>
      </c>
      <c r="H701">
        <v>5.7</v>
      </c>
      <c r="I701">
        <v>6.55</v>
      </c>
      <c r="J701" t="s">
        <v>360</v>
      </c>
      <c r="K701" t="str">
        <f t="shared" si="25"/>
        <v>paul8</v>
      </c>
      <c r="L701">
        <f t="shared" si="26"/>
        <v>32.49</v>
      </c>
    </row>
    <row r="702" spans="1:12" x14ac:dyDescent="0.25">
      <c r="A702">
        <v>8</v>
      </c>
      <c r="B702" t="s">
        <v>787</v>
      </c>
      <c r="C702" t="s">
        <v>63</v>
      </c>
      <c r="D702" s="1" t="s">
        <v>1057</v>
      </c>
      <c r="E702">
        <v>9.6486000000000001</v>
      </c>
      <c r="F702">
        <v>15.7</v>
      </c>
      <c r="G702">
        <v>3.58</v>
      </c>
      <c r="H702">
        <v>6.06</v>
      </c>
      <c r="I702">
        <v>9.6486000000000001</v>
      </c>
      <c r="J702" t="s">
        <v>351</v>
      </c>
      <c r="K702" t="str">
        <f t="shared" si="25"/>
        <v>andrew8</v>
      </c>
      <c r="L702">
        <f t="shared" si="26"/>
        <v>36.723599999999998</v>
      </c>
    </row>
    <row r="703" spans="1:12" x14ac:dyDescent="0.25">
      <c r="A703">
        <v>8</v>
      </c>
      <c r="B703" t="s">
        <v>318</v>
      </c>
      <c r="C703" t="s">
        <v>63</v>
      </c>
      <c r="D703" s="1" t="s">
        <v>1058</v>
      </c>
      <c r="E703">
        <v>8.0714000000000006</v>
      </c>
      <c r="F703">
        <v>14.14</v>
      </c>
      <c r="G703">
        <v>1.98</v>
      </c>
      <c r="H703">
        <v>6.08</v>
      </c>
      <c r="I703">
        <v>8.0714000000000006</v>
      </c>
      <c r="J703" t="s">
        <v>352</v>
      </c>
      <c r="K703" t="str">
        <f t="shared" si="25"/>
        <v>jake8</v>
      </c>
      <c r="L703">
        <f t="shared" si="26"/>
        <v>36.9664</v>
      </c>
    </row>
    <row r="704" spans="1:12" x14ac:dyDescent="0.25">
      <c r="A704">
        <v>8</v>
      </c>
      <c r="B704" t="s">
        <v>195</v>
      </c>
      <c r="C704" t="s">
        <v>63</v>
      </c>
      <c r="D704" s="1" t="s">
        <v>1059</v>
      </c>
      <c r="E704">
        <v>9.6675000000000004</v>
      </c>
      <c r="F704">
        <v>16.149999999999999</v>
      </c>
      <c r="G704">
        <v>3.19</v>
      </c>
      <c r="H704">
        <v>6.48</v>
      </c>
      <c r="I704">
        <v>9.6675000000000004</v>
      </c>
      <c r="J704" t="s">
        <v>353</v>
      </c>
      <c r="K704" t="str">
        <f t="shared" si="25"/>
        <v>breanna8</v>
      </c>
      <c r="L704">
        <f t="shared" si="26"/>
        <v>41.990400000000008</v>
      </c>
    </row>
    <row r="705" spans="1:12" x14ac:dyDescent="0.25">
      <c r="A705">
        <v>8</v>
      </c>
      <c r="B705" t="s">
        <v>372</v>
      </c>
      <c r="C705" t="s">
        <v>63</v>
      </c>
      <c r="D705" s="1" t="s">
        <v>1060</v>
      </c>
      <c r="E705">
        <v>9.3765000000000001</v>
      </c>
      <c r="F705">
        <v>15.74</v>
      </c>
      <c r="G705">
        <v>3.02</v>
      </c>
      <c r="H705">
        <v>6.36</v>
      </c>
      <c r="I705">
        <v>9.3765000000000001</v>
      </c>
      <c r="J705" t="s">
        <v>354</v>
      </c>
      <c r="K705" t="str">
        <f t="shared" si="25"/>
        <v>joseph8</v>
      </c>
      <c r="L705">
        <f t="shared" si="26"/>
        <v>40.449600000000004</v>
      </c>
    </row>
    <row r="706" spans="1:12" x14ac:dyDescent="0.25">
      <c r="A706">
        <v>8</v>
      </c>
      <c r="B706" t="s">
        <v>374</v>
      </c>
      <c r="C706" t="s">
        <v>63</v>
      </c>
      <c r="D706" s="1" t="s">
        <v>1061</v>
      </c>
      <c r="E706">
        <v>9.7578999999999994</v>
      </c>
      <c r="F706">
        <v>16.82</v>
      </c>
      <c r="G706">
        <v>2.68</v>
      </c>
      <c r="H706">
        <v>7.07</v>
      </c>
      <c r="I706">
        <v>9.7578999999999994</v>
      </c>
      <c r="J706" t="s">
        <v>355</v>
      </c>
      <c r="K706" t="str">
        <f t="shared" si="25"/>
        <v>alyssa8</v>
      </c>
      <c r="L706">
        <f t="shared" si="26"/>
        <v>49.984900000000003</v>
      </c>
    </row>
    <row r="707" spans="1:12" x14ac:dyDescent="0.25">
      <c r="A707">
        <v>8</v>
      </c>
      <c r="B707" t="s">
        <v>154</v>
      </c>
      <c r="C707" t="s">
        <v>63</v>
      </c>
      <c r="D707" s="1" t="s">
        <v>1062</v>
      </c>
      <c r="E707">
        <v>6.3623000000000003</v>
      </c>
      <c r="F707">
        <v>11.85</v>
      </c>
      <c r="G707">
        <v>0.87</v>
      </c>
      <c r="H707">
        <v>5.49</v>
      </c>
      <c r="I707">
        <v>6.3623000000000003</v>
      </c>
      <c r="J707" t="s">
        <v>356</v>
      </c>
      <c r="K707" t="str">
        <f t="shared" ref="K707:K770" si="27">J707&amp;A707</f>
        <v>chris8</v>
      </c>
      <c r="L707">
        <f t="shared" ref="L707:L770" si="28">H707^2</f>
        <v>30.140100000000004</v>
      </c>
    </row>
    <row r="708" spans="1:12" x14ac:dyDescent="0.25">
      <c r="A708">
        <v>8</v>
      </c>
      <c r="B708" t="s">
        <v>166</v>
      </c>
      <c r="C708" t="s">
        <v>63</v>
      </c>
      <c r="D708" s="1" t="s">
        <v>1063</v>
      </c>
      <c r="E708">
        <v>8.6521000000000008</v>
      </c>
      <c r="F708">
        <v>13.89</v>
      </c>
      <c r="G708">
        <v>3.41</v>
      </c>
      <c r="H708">
        <v>5.24</v>
      </c>
      <c r="I708">
        <v>8.6521000000000008</v>
      </c>
      <c r="J708" t="s">
        <v>357</v>
      </c>
      <c r="K708" t="str">
        <f t="shared" si="27"/>
        <v>jordan8</v>
      </c>
      <c r="L708">
        <f t="shared" si="28"/>
        <v>27.457600000000003</v>
      </c>
    </row>
    <row r="709" spans="1:12" x14ac:dyDescent="0.25">
      <c r="A709">
        <v>8</v>
      </c>
      <c r="B709" t="s">
        <v>499</v>
      </c>
      <c r="C709" t="s">
        <v>63</v>
      </c>
      <c r="D709" s="1" t="s">
        <v>1064</v>
      </c>
      <c r="E709">
        <v>9.7149999999999999</v>
      </c>
      <c r="F709">
        <v>16.8</v>
      </c>
      <c r="G709">
        <v>2.62</v>
      </c>
      <c r="H709">
        <v>7.09</v>
      </c>
      <c r="I709">
        <v>9.7149999999999999</v>
      </c>
      <c r="J709" t="s">
        <v>358</v>
      </c>
      <c r="K709" t="str">
        <f t="shared" si="27"/>
        <v>alex8</v>
      </c>
      <c r="L709">
        <f t="shared" si="28"/>
        <v>50.268099999999997</v>
      </c>
    </row>
    <row r="710" spans="1:12" x14ac:dyDescent="0.25">
      <c r="A710">
        <v>8</v>
      </c>
      <c r="B710" t="s">
        <v>257</v>
      </c>
      <c r="C710" t="s">
        <v>63</v>
      </c>
      <c r="D710" s="1" t="s">
        <v>703</v>
      </c>
      <c r="E710">
        <v>5.9463999999999997</v>
      </c>
      <c r="F710">
        <v>11.73</v>
      </c>
      <c r="G710">
        <v>0.17</v>
      </c>
      <c r="H710">
        <v>5.78</v>
      </c>
      <c r="I710">
        <v>5.9463999999999997</v>
      </c>
      <c r="J710" t="s">
        <v>359</v>
      </c>
      <c r="K710" t="str">
        <f t="shared" si="27"/>
        <v>colin8</v>
      </c>
      <c r="L710">
        <f t="shared" si="28"/>
        <v>33.4084</v>
      </c>
    </row>
    <row r="711" spans="1:12" x14ac:dyDescent="0.25">
      <c r="A711">
        <v>8</v>
      </c>
      <c r="B711" t="s">
        <v>255</v>
      </c>
      <c r="C711" t="s">
        <v>63</v>
      </c>
      <c r="D711" s="1" t="s">
        <v>1065</v>
      </c>
      <c r="E711">
        <v>7.3815</v>
      </c>
      <c r="F711">
        <v>12.46</v>
      </c>
      <c r="G711">
        <v>2.2999999999999998</v>
      </c>
      <c r="H711">
        <v>5.08</v>
      </c>
      <c r="I711">
        <v>7.3815</v>
      </c>
      <c r="J711" t="s">
        <v>360</v>
      </c>
      <c r="K711" t="str">
        <f t="shared" si="27"/>
        <v>paul8</v>
      </c>
      <c r="L711">
        <f t="shared" si="28"/>
        <v>25.8064</v>
      </c>
    </row>
    <row r="712" spans="1:12" x14ac:dyDescent="0.25">
      <c r="A712">
        <v>8</v>
      </c>
      <c r="B712" t="s">
        <v>159</v>
      </c>
      <c r="C712" t="s">
        <v>64</v>
      </c>
      <c r="D712" s="1" t="s">
        <v>1066</v>
      </c>
      <c r="E712">
        <v>7.51</v>
      </c>
      <c r="F712">
        <v>12.18</v>
      </c>
      <c r="G712">
        <v>2.9</v>
      </c>
      <c r="H712">
        <v>4.6399999999999997</v>
      </c>
      <c r="I712">
        <v>7.54</v>
      </c>
      <c r="J712" t="s">
        <v>351</v>
      </c>
      <c r="K712" t="str">
        <f t="shared" si="27"/>
        <v>andrew8</v>
      </c>
      <c r="L712">
        <f t="shared" si="28"/>
        <v>21.529599999999999</v>
      </c>
    </row>
    <row r="713" spans="1:12" x14ac:dyDescent="0.25">
      <c r="A713">
        <v>8</v>
      </c>
      <c r="B713" t="s">
        <v>155</v>
      </c>
      <c r="C713" t="s">
        <v>64</v>
      </c>
      <c r="D713" s="1" t="s">
        <v>1067</v>
      </c>
      <c r="E713">
        <v>8.35</v>
      </c>
      <c r="F713">
        <v>12.48</v>
      </c>
      <c r="G713">
        <v>4.22</v>
      </c>
      <c r="H713">
        <v>4.13</v>
      </c>
      <c r="I713">
        <v>8.35</v>
      </c>
      <c r="J713" t="s">
        <v>352</v>
      </c>
      <c r="K713" t="str">
        <f t="shared" si="27"/>
        <v>jake8</v>
      </c>
      <c r="L713">
        <f t="shared" si="28"/>
        <v>17.056899999999999</v>
      </c>
    </row>
    <row r="714" spans="1:12" x14ac:dyDescent="0.25">
      <c r="A714">
        <v>8</v>
      </c>
      <c r="B714" t="s">
        <v>149</v>
      </c>
      <c r="C714" t="s">
        <v>64</v>
      </c>
      <c r="D714" s="1" t="s">
        <v>1068</v>
      </c>
      <c r="E714">
        <v>8.73</v>
      </c>
      <c r="F714">
        <v>12.71</v>
      </c>
      <c r="G714">
        <v>4.83</v>
      </c>
      <c r="H714">
        <v>3.94</v>
      </c>
      <c r="I714">
        <v>8.77</v>
      </c>
      <c r="J714" t="s">
        <v>353</v>
      </c>
      <c r="K714" t="str">
        <f t="shared" si="27"/>
        <v>breanna8</v>
      </c>
      <c r="L714">
        <f t="shared" si="28"/>
        <v>15.5236</v>
      </c>
    </row>
    <row r="715" spans="1:12" x14ac:dyDescent="0.25">
      <c r="A715">
        <v>8</v>
      </c>
      <c r="B715" t="s">
        <v>376</v>
      </c>
      <c r="C715" t="s">
        <v>64</v>
      </c>
      <c r="D715" s="1" t="s">
        <v>1069</v>
      </c>
      <c r="E715">
        <v>7.29</v>
      </c>
      <c r="F715">
        <v>10.31</v>
      </c>
      <c r="G715">
        <v>4.21</v>
      </c>
      <c r="H715">
        <v>3.05</v>
      </c>
      <c r="I715">
        <v>7.26</v>
      </c>
      <c r="J715" t="s">
        <v>354</v>
      </c>
      <c r="K715" t="str">
        <f t="shared" si="27"/>
        <v>joseph8</v>
      </c>
      <c r="L715">
        <f t="shared" si="28"/>
        <v>9.3024999999999984</v>
      </c>
    </row>
    <row r="716" spans="1:12" x14ac:dyDescent="0.25">
      <c r="A716">
        <v>8</v>
      </c>
      <c r="B716" t="s">
        <v>291</v>
      </c>
      <c r="C716" t="s">
        <v>64</v>
      </c>
      <c r="D716" s="1" t="s">
        <v>1067</v>
      </c>
      <c r="E716">
        <v>8.35</v>
      </c>
      <c r="F716">
        <v>12.48</v>
      </c>
      <c r="G716">
        <v>4.22</v>
      </c>
      <c r="H716">
        <v>4.13</v>
      </c>
      <c r="I716">
        <v>8.35</v>
      </c>
      <c r="J716" t="s">
        <v>355</v>
      </c>
      <c r="K716" t="str">
        <f t="shared" si="27"/>
        <v>alyssa8</v>
      </c>
      <c r="L716">
        <f t="shared" si="28"/>
        <v>17.056899999999999</v>
      </c>
    </row>
    <row r="717" spans="1:12" x14ac:dyDescent="0.25">
      <c r="A717">
        <v>8</v>
      </c>
      <c r="B717" t="s">
        <v>262</v>
      </c>
      <c r="C717" t="s">
        <v>64</v>
      </c>
      <c r="D717" s="1" t="s">
        <v>1070</v>
      </c>
      <c r="E717">
        <v>8.81</v>
      </c>
      <c r="F717">
        <v>13.76</v>
      </c>
      <c r="G717">
        <v>3.9</v>
      </c>
      <c r="H717">
        <v>4.93</v>
      </c>
      <c r="I717">
        <v>8.83</v>
      </c>
      <c r="J717" t="s">
        <v>356</v>
      </c>
      <c r="K717" t="str">
        <f t="shared" si="27"/>
        <v>chris8</v>
      </c>
      <c r="L717">
        <f t="shared" si="28"/>
        <v>24.304899999999996</v>
      </c>
    </row>
    <row r="718" spans="1:12" x14ac:dyDescent="0.25">
      <c r="A718">
        <v>8</v>
      </c>
      <c r="B718" t="s">
        <v>66</v>
      </c>
      <c r="C718" t="s">
        <v>64</v>
      </c>
      <c r="D718" s="1" t="s">
        <v>1071</v>
      </c>
      <c r="E718">
        <v>8.6199999999999992</v>
      </c>
      <c r="F718">
        <v>12.98</v>
      </c>
      <c r="G718">
        <v>4.18</v>
      </c>
      <c r="H718">
        <v>4.4000000000000004</v>
      </c>
      <c r="I718">
        <v>8.58</v>
      </c>
      <c r="J718" t="s">
        <v>357</v>
      </c>
      <c r="K718" t="str">
        <f t="shared" si="27"/>
        <v>jordan8</v>
      </c>
      <c r="L718">
        <f t="shared" si="28"/>
        <v>19.360000000000003</v>
      </c>
    </row>
    <row r="719" spans="1:12" x14ac:dyDescent="0.25">
      <c r="A719">
        <v>8</v>
      </c>
      <c r="B719" t="s">
        <v>378</v>
      </c>
      <c r="C719" t="s">
        <v>64</v>
      </c>
      <c r="D719" s="1" t="s">
        <v>1072</v>
      </c>
      <c r="E719">
        <v>8.5</v>
      </c>
      <c r="F719">
        <v>12</v>
      </c>
      <c r="G719">
        <v>4.92</v>
      </c>
      <c r="H719">
        <v>3.54</v>
      </c>
      <c r="I719">
        <v>8.4600000000000009</v>
      </c>
      <c r="J719" t="s">
        <v>358</v>
      </c>
      <c r="K719" t="str">
        <f t="shared" si="27"/>
        <v>alex8</v>
      </c>
      <c r="L719">
        <f t="shared" si="28"/>
        <v>12.531600000000001</v>
      </c>
    </row>
    <row r="720" spans="1:12" x14ac:dyDescent="0.25">
      <c r="A720">
        <v>8</v>
      </c>
      <c r="B720" t="s">
        <v>261</v>
      </c>
      <c r="C720" t="s">
        <v>64</v>
      </c>
      <c r="D720" s="1" t="s">
        <v>1073</v>
      </c>
      <c r="E720">
        <v>6.72</v>
      </c>
      <c r="F720">
        <v>10.96</v>
      </c>
      <c r="G720">
        <v>2.42</v>
      </c>
      <c r="H720">
        <v>4.2699999999999996</v>
      </c>
      <c r="I720">
        <v>6.69</v>
      </c>
      <c r="J720" t="s">
        <v>359</v>
      </c>
      <c r="K720" t="str">
        <f t="shared" si="27"/>
        <v>colin8</v>
      </c>
      <c r="L720">
        <f t="shared" si="28"/>
        <v>18.232899999999997</v>
      </c>
    </row>
    <row r="721" spans="1:12" x14ac:dyDescent="0.25">
      <c r="A721">
        <v>8</v>
      </c>
      <c r="B721" t="s">
        <v>167</v>
      </c>
      <c r="C721" t="s">
        <v>64</v>
      </c>
      <c r="D721" s="1" t="s">
        <v>1074</v>
      </c>
      <c r="E721">
        <v>8.83</v>
      </c>
      <c r="F721">
        <v>12.66</v>
      </c>
      <c r="G721">
        <v>5.0599999999999996</v>
      </c>
      <c r="H721">
        <v>3.8</v>
      </c>
      <c r="I721">
        <v>8.86</v>
      </c>
      <c r="J721" t="s">
        <v>360</v>
      </c>
      <c r="K721" t="str">
        <f t="shared" si="27"/>
        <v>paul8</v>
      </c>
      <c r="L721">
        <f t="shared" si="28"/>
        <v>14.44</v>
      </c>
    </row>
    <row r="722" spans="1:12" x14ac:dyDescent="0.25">
      <c r="A722">
        <v>9</v>
      </c>
      <c r="B722" t="s">
        <v>30</v>
      </c>
      <c r="C722" t="s">
        <v>10</v>
      </c>
      <c r="D722" s="1" t="s">
        <v>1075</v>
      </c>
      <c r="E722">
        <v>15.88</v>
      </c>
      <c r="F722">
        <v>21.57</v>
      </c>
      <c r="G722">
        <v>6.95</v>
      </c>
      <c r="H722">
        <v>7.31</v>
      </c>
      <c r="I722">
        <v>14.26</v>
      </c>
      <c r="J722" t="s">
        <v>351</v>
      </c>
      <c r="K722" t="str">
        <f t="shared" si="27"/>
        <v>andrew9</v>
      </c>
      <c r="L722">
        <f t="shared" si="28"/>
        <v>53.436099999999996</v>
      </c>
    </row>
    <row r="723" spans="1:12" x14ac:dyDescent="0.25">
      <c r="A723">
        <v>9</v>
      </c>
      <c r="B723" t="s">
        <v>391</v>
      </c>
      <c r="C723" t="s">
        <v>10</v>
      </c>
      <c r="D723" s="1" t="s">
        <v>1076</v>
      </c>
      <c r="E723">
        <v>10.56</v>
      </c>
      <c r="F723">
        <v>15.77</v>
      </c>
      <c r="G723">
        <v>3.33</v>
      </c>
      <c r="H723">
        <v>6.22</v>
      </c>
      <c r="I723">
        <v>9.5500000000000007</v>
      </c>
      <c r="J723" t="s">
        <v>351</v>
      </c>
      <c r="K723" t="str">
        <f t="shared" si="27"/>
        <v>andrew9</v>
      </c>
      <c r="L723">
        <f t="shared" si="28"/>
        <v>38.688399999999994</v>
      </c>
    </row>
    <row r="724" spans="1:12" x14ac:dyDescent="0.25">
      <c r="A724">
        <v>9</v>
      </c>
      <c r="B724" t="s">
        <v>1077</v>
      </c>
      <c r="C724" t="s">
        <v>10</v>
      </c>
      <c r="D724" s="1" t="s">
        <v>1078</v>
      </c>
      <c r="E724">
        <v>9.75</v>
      </c>
      <c r="F724">
        <v>14.19</v>
      </c>
      <c r="G724">
        <v>2.61</v>
      </c>
      <c r="H724">
        <v>5.79</v>
      </c>
      <c r="I724">
        <v>8.4</v>
      </c>
      <c r="J724" t="s">
        <v>351</v>
      </c>
      <c r="K724" t="str">
        <f t="shared" si="27"/>
        <v>andrew9</v>
      </c>
      <c r="L724">
        <f t="shared" si="28"/>
        <v>33.524099999999997</v>
      </c>
    </row>
    <row r="725" spans="1:12" x14ac:dyDescent="0.25">
      <c r="A725">
        <v>9</v>
      </c>
      <c r="B725" t="s">
        <v>9</v>
      </c>
      <c r="C725" t="s">
        <v>10</v>
      </c>
      <c r="D725" s="1" t="s">
        <v>1079</v>
      </c>
      <c r="E725">
        <v>12.23</v>
      </c>
      <c r="F725">
        <v>17.670000000000002</v>
      </c>
      <c r="G725">
        <v>4.33</v>
      </c>
      <c r="H725">
        <v>6.67</v>
      </c>
      <c r="I725">
        <v>11</v>
      </c>
      <c r="J725" t="s">
        <v>352</v>
      </c>
      <c r="K725" t="str">
        <f t="shared" si="27"/>
        <v>jake9</v>
      </c>
      <c r="L725">
        <f t="shared" si="28"/>
        <v>44.488900000000001</v>
      </c>
    </row>
    <row r="726" spans="1:12" x14ac:dyDescent="0.25">
      <c r="A726">
        <v>9</v>
      </c>
      <c r="B726" t="s">
        <v>1080</v>
      </c>
      <c r="C726" t="s">
        <v>10</v>
      </c>
      <c r="D726" s="1" t="s">
        <v>1081</v>
      </c>
      <c r="E726">
        <v>7.98</v>
      </c>
      <c r="F726">
        <v>11.37</v>
      </c>
      <c r="G726">
        <v>2.37</v>
      </c>
      <c r="H726">
        <v>4.5</v>
      </c>
      <c r="I726">
        <v>6.87</v>
      </c>
      <c r="J726" t="s">
        <v>352</v>
      </c>
      <c r="K726" t="str">
        <f t="shared" si="27"/>
        <v>jake9</v>
      </c>
      <c r="L726">
        <f t="shared" si="28"/>
        <v>20.25</v>
      </c>
    </row>
    <row r="727" spans="1:12" x14ac:dyDescent="0.25">
      <c r="A727">
        <v>9</v>
      </c>
      <c r="B727" t="s">
        <v>27</v>
      </c>
      <c r="C727" t="s">
        <v>10</v>
      </c>
      <c r="D727" s="1" t="s">
        <v>1082</v>
      </c>
      <c r="E727">
        <v>18.12</v>
      </c>
      <c r="F727">
        <v>23.16</v>
      </c>
      <c r="G727">
        <v>8.5</v>
      </c>
      <c r="H727">
        <v>7.33</v>
      </c>
      <c r="I727">
        <v>15.83</v>
      </c>
      <c r="J727" t="s">
        <v>353</v>
      </c>
      <c r="K727" t="str">
        <f t="shared" si="27"/>
        <v>breanna9</v>
      </c>
      <c r="L727">
        <f t="shared" si="28"/>
        <v>53.728900000000003</v>
      </c>
    </row>
    <row r="728" spans="1:12" x14ac:dyDescent="0.25">
      <c r="A728">
        <v>9</v>
      </c>
      <c r="B728" t="s">
        <v>219</v>
      </c>
      <c r="C728" t="s">
        <v>10</v>
      </c>
      <c r="D728" s="1" t="s">
        <v>1083</v>
      </c>
      <c r="E728">
        <v>15.5</v>
      </c>
      <c r="F728">
        <v>20.190000000000001</v>
      </c>
      <c r="G728">
        <v>8.33</v>
      </c>
      <c r="H728">
        <v>5.93</v>
      </c>
      <c r="I728">
        <v>14.26</v>
      </c>
      <c r="J728" t="s">
        <v>353</v>
      </c>
      <c r="K728" t="str">
        <f t="shared" si="27"/>
        <v>breanna9</v>
      </c>
      <c r="L728">
        <f t="shared" si="28"/>
        <v>35.164899999999996</v>
      </c>
    </row>
    <row r="729" spans="1:12" x14ac:dyDescent="0.25">
      <c r="A729">
        <v>9</v>
      </c>
      <c r="B729" t="s">
        <v>74</v>
      </c>
      <c r="C729" t="s">
        <v>10</v>
      </c>
      <c r="D729" s="1" t="s">
        <v>1084</v>
      </c>
      <c r="E729">
        <v>12.42</v>
      </c>
      <c r="F729">
        <v>19.5</v>
      </c>
      <c r="G729">
        <v>2.98</v>
      </c>
      <c r="H729">
        <v>8.26</v>
      </c>
      <c r="I729">
        <v>11.24</v>
      </c>
      <c r="J729" t="s">
        <v>354</v>
      </c>
      <c r="K729" t="str">
        <f t="shared" si="27"/>
        <v>joseph9</v>
      </c>
      <c r="L729">
        <f t="shared" si="28"/>
        <v>68.227599999999995</v>
      </c>
    </row>
    <row r="730" spans="1:12" x14ac:dyDescent="0.25">
      <c r="A730">
        <v>9</v>
      </c>
      <c r="B730" t="s">
        <v>164</v>
      </c>
      <c r="C730" t="s">
        <v>10</v>
      </c>
      <c r="D730" s="1" t="s">
        <v>1085</v>
      </c>
      <c r="E730">
        <v>11.44</v>
      </c>
      <c r="F730">
        <v>15.17</v>
      </c>
      <c r="G730">
        <v>3.71</v>
      </c>
      <c r="H730">
        <v>5.73</v>
      </c>
      <c r="I730">
        <v>9.44</v>
      </c>
      <c r="J730" t="s">
        <v>354</v>
      </c>
      <c r="K730" t="str">
        <f t="shared" si="27"/>
        <v>joseph9</v>
      </c>
      <c r="L730">
        <f t="shared" si="28"/>
        <v>32.832900000000002</v>
      </c>
    </row>
    <row r="731" spans="1:12" x14ac:dyDescent="0.25">
      <c r="A731">
        <v>9</v>
      </c>
      <c r="B731" t="s">
        <v>75</v>
      </c>
      <c r="C731" t="s">
        <v>10</v>
      </c>
      <c r="D731" s="1" t="s">
        <v>1086</v>
      </c>
      <c r="E731">
        <v>19.57</v>
      </c>
      <c r="F731">
        <v>27.78</v>
      </c>
      <c r="G731">
        <v>7.18</v>
      </c>
      <c r="H731">
        <v>10.3</v>
      </c>
      <c r="I731">
        <v>17.48</v>
      </c>
      <c r="J731" t="s">
        <v>355</v>
      </c>
      <c r="K731" t="str">
        <f t="shared" si="27"/>
        <v>alyssa9</v>
      </c>
      <c r="L731">
        <f t="shared" si="28"/>
        <v>106.09000000000002</v>
      </c>
    </row>
    <row r="732" spans="1:12" x14ac:dyDescent="0.25">
      <c r="A732">
        <v>9</v>
      </c>
      <c r="B732" t="s">
        <v>28</v>
      </c>
      <c r="C732" t="s">
        <v>10</v>
      </c>
      <c r="D732" s="1" t="s">
        <v>1087</v>
      </c>
      <c r="E732">
        <v>17.75</v>
      </c>
      <c r="F732">
        <v>23.61</v>
      </c>
      <c r="G732">
        <v>6.15</v>
      </c>
      <c r="H732">
        <v>8.73</v>
      </c>
      <c r="I732">
        <v>14.88</v>
      </c>
      <c r="J732" t="s">
        <v>355</v>
      </c>
      <c r="K732" t="str">
        <f t="shared" si="27"/>
        <v>alyssa9</v>
      </c>
      <c r="L732">
        <f t="shared" si="28"/>
        <v>76.212900000000005</v>
      </c>
    </row>
    <row r="733" spans="1:12" x14ac:dyDescent="0.25">
      <c r="A733">
        <v>9</v>
      </c>
      <c r="B733" t="s">
        <v>160</v>
      </c>
      <c r="C733" t="s">
        <v>10</v>
      </c>
      <c r="D733" s="1" t="s">
        <v>1088</v>
      </c>
      <c r="E733">
        <v>11.16</v>
      </c>
      <c r="F733">
        <v>15.13</v>
      </c>
      <c r="G733">
        <v>4.2699999999999996</v>
      </c>
      <c r="H733">
        <v>5.43</v>
      </c>
      <c r="I733">
        <v>9.6999999999999993</v>
      </c>
      <c r="J733" t="s">
        <v>356</v>
      </c>
      <c r="K733" t="str">
        <f t="shared" si="27"/>
        <v>chris9</v>
      </c>
      <c r="L733">
        <f t="shared" si="28"/>
        <v>29.484899999999996</v>
      </c>
    </row>
    <row r="734" spans="1:12" x14ac:dyDescent="0.25">
      <c r="A734">
        <v>9</v>
      </c>
      <c r="B734" t="s">
        <v>25</v>
      </c>
      <c r="C734" t="s">
        <v>10</v>
      </c>
      <c r="D734" s="1" t="s">
        <v>1089</v>
      </c>
      <c r="E734">
        <v>8.4700000000000006</v>
      </c>
      <c r="F734">
        <v>11.61</v>
      </c>
      <c r="G734">
        <v>3.35</v>
      </c>
      <c r="H734">
        <v>4.13</v>
      </c>
      <c r="I734">
        <v>7.48</v>
      </c>
      <c r="J734" t="s">
        <v>356</v>
      </c>
      <c r="K734" t="str">
        <f t="shared" si="27"/>
        <v>chris9</v>
      </c>
      <c r="L734">
        <f t="shared" si="28"/>
        <v>17.056899999999999</v>
      </c>
    </row>
    <row r="735" spans="1:12" x14ac:dyDescent="0.25">
      <c r="A735">
        <v>9</v>
      </c>
      <c r="B735" t="s">
        <v>158</v>
      </c>
      <c r="C735" t="s">
        <v>10</v>
      </c>
      <c r="D735" s="1" t="s">
        <v>1090</v>
      </c>
      <c r="E735">
        <v>20.82</v>
      </c>
      <c r="F735">
        <v>27.84</v>
      </c>
      <c r="G735">
        <v>9.6</v>
      </c>
      <c r="H735">
        <v>9.1199999999999992</v>
      </c>
      <c r="I735">
        <v>18.72</v>
      </c>
      <c r="J735" t="s">
        <v>357</v>
      </c>
      <c r="K735" t="str">
        <f t="shared" si="27"/>
        <v>jordan9</v>
      </c>
      <c r="L735">
        <f t="shared" si="28"/>
        <v>83.174399999999991</v>
      </c>
    </row>
    <row r="736" spans="1:12" x14ac:dyDescent="0.25">
      <c r="A736">
        <v>9</v>
      </c>
      <c r="B736" t="s">
        <v>284</v>
      </c>
      <c r="C736" t="s">
        <v>10</v>
      </c>
      <c r="D736" s="1" t="s">
        <v>1091</v>
      </c>
      <c r="E736">
        <v>15.05</v>
      </c>
      <c r="F736">
        <v>21.61</v>
      </c>
      <c r="G736">
        <v>5.07</v>
      </c>
      <c r="H736">
        <v>8.27</v>
      </c>
      <c r="I736">
        <v>13.34</v>
      </c>
      <c r="J736" t="s">
        <v>357</v>
      </c>
      <c r="K736" t="str">
        <f t="shared" si="27"/>
        <v>jordan9</v>
      </c>
      <c r="L736">
        <f t="shared" si="28"/>
        <v>68.392899999999997</v>
      </c>
    </row>
    <row r="737" spans="1:12" x14ac:dyDescent="0.25">
      <c r="A737">
        <v>9</v>
      </c>
      <c r="B737" t="s">
        <v>157</v>
      </c>
      <c r="C737" t="s">
        <v>10</v>
      </c>
      <c r="D737" s="1" t="s">
        <v>1092</v>
      </c>
      <c r="E737">
        <v>9.8800000000000008</v>
      </c>
      <c r="F737">
        <v>17.21</v>
      </c>
      <c r="G737">
        <v>1.67</v>
      </c>
      <c r="H737">
        <v>7.77</v>
      </c>
      <c r="I737">
        <v>9.44</v>
      </c>
      <c r="J737" t="s">
        <v>357</v>
      </c>
      <c r="K737" t="str">
        <f t="shared" si="27"/>
        <v>jordan9</v>
      </c>
      <c r="L737">
        <f t="shared" si="28"/>
        <v>60.372899999999994</v>
      </c>
    </row>
    <row r="738" spans="1:12" x14ac:dyDescent="0.25">
      <c r="A738">
        <v>9</v>
      </c>
      <c r="B738" t="s">
        <v>12</v>
      </c>
      <c r="C738" t="s">
        <v>10</v>
      </c>
      <c r="D738" s="1" t="s">
        <v>1093</v>
      </c>
      <c r="E738">
        <v>13.71</v>
      </c>
      <c r="F738">
        <v>20.07</v>
      </c>
      <c r="G738">
        <v>4.83</v>
      </c>
      <c r="H738">
        <v>7.62</v>
      </c>
      <c r="I738">
        <v>12.45</v>
      </c>
      <c r="J738" t="s">
        <v>358</v>
      </c>
      <c r="K738" t="str">
        <f t="shared" si="27"/>
        <v>alex9</v>
      </c>
      <c r="L738">
        <f t="shared" si="28"/>
        <v>58.064399999999999</v>
      </c>
    </row>
    <row r="739" spans="1:12" x14ac:dyDescent="0.25">
      <c r="A739">
        <v>9</v>
      </c>
      <c r="B739" t="s">
        <v>14</v>
      </c>
      <c r="C739" t="s">
        <v>10</v>
      </c>
      <c r="D739" s="1" t="s">
        <v>1094</v>
      </c>
      <c r="E739">
        <v>12.79</v>
      </c>
      <c r="F739">
        <v>18.399999999999999</v>
      </c>
      <c r="G739">
        <v>3.84</v>
      </c>
      <c r="H739">
        <v>7.28</v>
      </c>
      <c r="I739">
        <v>11.12</v>
      </c>
      <c r="J739" t="s">
        <v>358</v>
      </c>
      <c r="K739" t="str">
        <f t="shared" si="27"/>
        <v>alex9</v>
      </c>
      <c r="L739">
        <f t="shared" si="28"/>
        <v>52.998400000000004</v>
      </c>
    </row>
    <row r="740" spans="1:12" x14ac:dyDescent="0.25">
      <c r="A740">
        <v>9</v>
      </c>
      <c r="B740" t="s">
        <v>152</v>
      </c>
      <c r="C740" t="s">
        <v>10</v>
      </c>
      <c r="D740" s="1" t="s">
        <v>1095</v>
      </c>
      <c r="E740">
        <v>16.71</v>
      </c>
      <c r="F740">
        <v>21.03</v>
      </c>
      <c r="G740">
        <v>7.27</v>
      </c>
      <c r="H740">
        <v>6.88</v>
      </c>
      <c r="I740">
        <v>14.15</v>
      </c>
      <c r="J740" t="s">
        <v>359</v>
      </c>
      <c r="K740" t="str">
        <f t="shared" si="27"/>
        <v>colin9</v>
      </c>
      <c r="L740">
        <f t="shared" si="28"/>
        <v>47.334399999999995</v>
      </c>
    </row>
    <row r="741" spans="1:12" x14ac:dyDescent="0.25">
      <c r="A741">
        <v>9</v>
      </c>
      <c r="B741" t="s">
        <v>265</v>
      </c>
      <c r="C741" t="s">
        <v>10</v>
      </c>
      <c r="D741" s="1" t="s">
        <v>1096</v>
      </c>
      <c r="E741">
        <v>10.43</v>
      </c>
      <c r="F741">
        <v>14.94</v>
      </c>
      <c r="G741">
        <v>2.6</v>
      </c>
      <c r="H741">
        <v>6.17</v>
      </c>
      <c r="I741">
        <v>8.77</v>
      </c>
      <c r="J741" t="s">
        <v>359</v>
      </c>
      <c r="K741" t="str">
        <f t="shared" si="27"/>
        <v>colin9</v>
      </c>
      <c r="L741">
        <f t="shared" si="28"/>
        <v>38.068899999999999</v>
      </c>
    </row>
    <row r="742" spans="1:12" x14ac:dyDescent="0.25">
      <c r="A742">
        <v>9</v>
      </c>
      <c r="B742" t="s">
        <v>115</v>
      </c>
      <c r="C742" t="s">
        <v>10</v>
      </c>
      <c r="D742" s="1" t="s">
        <v>1097</v>
      </c>
      <c r="E742">
        <v>13.57</v>
      </c>
      <c r="F742">
        <v>18.23</v>
      </c>
      <c r="G742">
        <v>5.83</v>
      </c>
      <c r="H742">
        <v>6.2</v>
      </c>
      <c r="I742">
        <v>12.03</v>
      </c>
      <c r="J742" t="s">
        <v>360</v>
      </c>
      <c r="K742" t="str">
        <f t="shared" si="27"/>
        <v>paul9</v>
      </c>
      <c r="L742">
        <f t="shared" si="28"/>
        <v>38.440000000000005</v>
      </c>
    </row>
    <row r="743" spans="1:12" x14ac:dyDescent="0.25">
      <c r="A743">
        <v>9</v>
      </c>
      <c r="B743" t="s">
        <v>13</v>
      </c>
      <c r="C743" t="s">
        <v>10</v>
      </c>
      <c r="D743" s="1" t="s">
        <v>1098</v>
      </c>
      <c r="E743">
        <v>13.63</v>
      </c>
      <c r="F743">
        <v>18.36</v>
      </c>
      <c r="G743">
        <v>5.62</v>
      </c>
      <c r="H743">
        <v>6.37</v>
      </c>
      <c r="I743">
        <v>11.99</v>
      </c>
      <c r="J743" t="s">
        <v>360</v>
      </c>
      <c r="K743" t="str">
        <f t="shared" si="27"/>
        <v>paul9</v>
      </c>
      <c r="L743">
        <f t="shared" si="28"/>
        <v>40.576900000000002</v>
      </c>
    </row>
    <row r="744" spans="1:12" x14ac:dyDescent="0.25">
      <c r="A744">
        <v>9</v>
      </c>
      <c r="B744" t="s">
        <v>186</v>
      </c>
      <c r="C744" t="s">
        <v>10</v>
      </c>
      <c r="D744" s="1" t="s">
        <v>1099</v>
      </c>
      <c r="E744">
        <v>12.34</v>
      </c>
      <c r="F744">
        <v>18.5</v>
      </c>
      <c r="G744">
        <v>3.08</v>
      </c>
      <c r="H744">
        <v>7.71</v>
      </c>
      <c r="I744">
        <v>10.79</v>
      </c>
      <c r="J744" t="s">
        <v>360</v>
      </c>
      <c r="K744" t="str">
        <f t="shared" si="27"/>
        <v>paul9</v>
      </c>
      <c r="L744">
        <f t="shared" si="28"/>
        <v>59.444099999999999</v>
      </c>
    </row>
    <row r="745" spans="1:12" x14ac:dyDescent="0.25">
      <c r="A745">
        <v>9</v>
      </c>
      <c r="B745" t="s">
        <v>41</v>
      </c>
      <c r="C745" t="s">
        <v>32</v>
      </c>
      <c r="D745" s="1" t="s">
        <v>1100</v>
      </c>
      <c r="E745">
        <v>18.05</v>
      </c>
      <c r="F745">
        <v>23.13</v>
      </c>
      <c r="G745">
        <v>5.87</v>
      </c>
      <c r="H745">
        <v>8.6300000000000008</v>
      </c>
      <c r="I745">
        <v>14.5</v>
      </c>
      <c r="J745" t="s">
        <v>351</v>
      </c>
      <c r="K745" t="str">
        <f t="shared" si="27"/>
        <v>andrew9</v>
      </c>
      <c r="L745">
        <f t="shared" si="28"/>
        <v>74.476900000000015</v>
      </c>
    </row>
    <row r="746" spans="1:12" x14ac:dyDescent="0.25">
      <c r="A746">
        <v>9</v>
      </c>
      <c r="B746" t="s">
        <v>72</v>
      </c>
      <c r="C746" t="s">
        <v>32</v>
      </c>
      <c r="D746" s="1" t="s">
        <v>1101</v>
      </c>
      <c r="E746">
        <v>14.99</v>
      </c>
      <c r="F746">
        <v>19.079999999999998</v>
      </c>
      <c r="G746">
        <v>4.7</v>
      </c>
      <c r="H746">
        <v>7.19</v>
      </c>
      <c r="I746">
        <v>11.89</v>
      </c>
      <c r="J746" t="s">
        <v>351</v>
      </c>
      <c r="K746" t="str">
        <f t="shared" si="27"/>
        <v>andrew9</v>
      </c>
      <c r="L746">
        <f t="shared" si="28"/>
        <v>51.696100000000008</v>
      </c>
    </row>
    <row r="747" spans="1:12" x14ac:dyDescent="0.25">
      <c r="A747">
        <v>9</v>
      </c>
      <c r="B747" t="s">
        <v>33</v>
      </c>
      <c r="C747" t="s">
        <v>32</v>
      </c>
      <c r="D747" s="1" t="s">
        <v>1102</v>
      </c>
      <c r="E747">
        <v>15.05</v>
      </c>
      <c r="F747">
        <v>19.37</v>
      </c>
      <c r="G747">
        <v>5.03</v>
      </c>
      <c r="H747">
        <v>7.17</v>
      </c>
      <c r="I747">
        <v>12.2</v>
      </c>
      <c r="J747" t="s">
        <v>352</v>
      </c>
      <c r="K747" t="str">
        <f t="shared" si="27"/>
        <v>jake9</v>
      </c>
      <c r="L747">
        <f t="shared" si="28"/>
        <v>51.408899999999996</v>
      </c>
    </row>
    <row r="748" spans="1:12" x14ac:dyDescent="0.25">
      <c r="A748">
        <v>9</v>
      </c>
      <c r="B748" t="s">
        <v>285</v>
      </c>
      <c r="C748" t="s">
        <v>32</v>
      </c>
      <c r="D748" s="1" t="s">
        <v>1103</v>
      </c>
      <c r="E748">
        <v>12.05</v>
      </c>
      <c r="F748">
        <v>16.899999999999999</v>
      </c>
      <c r="G748">
        <v>2.16</v>
      </c>
      <c r="H748">
        <v>7.37</v>
      </c>
      <c r="I748">
        <v>9.5299999999999994</v>
      </c>
      <c r="J748" t="s">
        <v>352</v>
      </c>
      <c r="K748" t="str">
        <f t="shared" si="27"/>
        <v>jake9</v>
      </c>
      <c r="L748">
        <f t="shared" si="28"/>
        <v>54.316900000000004</v>
      </c>
    </row>
    <row r="749" spans="1:12" x14ac:dyDescent="0.25">
      <c r="A749">
        <v>9</v>
      </c>
      <c r="B749" t="s">
        <v>39</v>
      </c>
      <c r="C749" t="s">
        <v>32</v>
      </c>
      <c r="D749" s="1" t="s">
        <v>1104</v>
      </c>
      <c r="E749">
        <v>11.08</v>
      </c>
      <c r="F749">
        <v>12.68</v>
      </c>
      <c r="G749">
        <v>3.08</v>
      </c>
      <c r="H749">
        <v>4.8</v>
      </c>
      <c r="I749">
        <v>7.88</v>
      </c>
      <c r="J749" t="s">
        <v>352</v>
      </c>
      <c r="K749" t="str">
        <f t="shared" si="27"/>
        <v>jake9</v>
      </c>
      <c r="L749">
        <f t="shared" si="28"/>
        <v>23.04</v>
      </c>
    </row>
    <row r="750" spans="1:12" x14ac:dyDescent="0.25">
      <c r="A750">
        <v>9</v>
      </c>
      <c r="B750" t="s">
        <v>44</v>
      </c>
      <c r="C750" t="s">
        <v>32</v>
      </c>
      <c r="D750" s="1" t="s">
        <v>1105</v>
      </c>
      <c r="E750">
        <v>12.37</v>
      </c>
      <c r="F750">
        <v>18.059999999999999</v>
      </c>
      <c r="G750">
        <v>1.06</v>
      </c>
      <c r="H750">
        <v>8.5</v>
      </c>
      <c r="I750">
        <v>9.56</v>
      </c>
      <c r="J750" t="s">
        <v>353</v>
      </c>
      <c r="K750" t="str">
        <f t="shared" si="27"/>
        <v>breanna9</v>
      </c>
      <c r="L750">
        <f t="shared" si="28"/>
        <v>72.25</v>
      </c>
    </row>
    <row r="751" spans="1:12" x14ac:dyDescent="0.25">
      <c r="A751">
        <v>9</v>
      </c>
      <c r="B751" t="s">
        <v>48</v>
      </c>
      <c r="C751" t="s">
        <v>32</v>
      </c>
      <c r="D751" s="1" t="s">
        <v>1106</v>
      </c>
      <c r="E751">
        <v>11.06</v>
      </c>
      <c r="F751">
        <v>13.34</v>
      </c>
      <c r="G751">
        <v>4.58</v>
      </c>
      <c r="H751">
        <v>4.38</v>
      </c>
      <c r="I751">
        <v>8.9600000000000009</v>
      </c>
      <c r="J751" t="s">
        <v>353</v>
      </c>
      <c r="K751" t="str">
        <f t="shared" si="27"/>
        <v>breanna9</v>
      </c>
      <c r="L751">
        <f t="shared" si="28"/>
        <v>19.1844</v>
      </c>
    </row>
    <row r="752" spans="1:12" x14ac:dyDescent="0.25">
      <c r="A752">
        <v>9</v>
      </c>
      <c r="B752" t="s">
        <v>165</v>
      </c>
      <c r="C752" t="s">
        <v>32</v>
      </c>
      <c r="D752" s="1" t="s">
        <v>1107</v>
      </c>
      <c r="E752">
        <v>10.38</v>
      </c>
      <c r="F752">
        <v>14.65</v>
      </c>
      <c r="G752">
        <v>1.93</v>
      </c>
      <c r="H752">
        <v>6.36</v>
      </c>
      <c r="I752">
        <v>8.2899999999999991</v>
      </c>
      <c r="J752" t="s">
        <v>353</v>
      </c>
      <c r="K752" t="str">
        <f t="shared" si="27"/>
        <v>breanna9</v>
      </c>
      <c r="L752">
        <f t="shared" si="28"/>
        <v>40.449600000000004</v>
      </c>
    </row>
    <row r="753" spans="1:12" x14ac:dyDescent="0.25">
      <c r="A753">
        <v>9</v>
      </c>
      <c r="B753" t="s">
        <v>42</v>
      </c>
      <c r="C753" t="s">
        <v>32</v>
      </c>
      <c r="D753" s="1" t="s">
        <v>1108</v>
      </c>
      <c r="E753">
        <v>13.62</v>
      </c>
      <c r="F753">
        <v>16.670000000000002</v>
      </c>
      <c r="G753">
        <v>5.1100000000000003</v>
      </c>
      <c r="H753">
        <v>5.78</v>
      </c>
      <c r="I753">
        <v>10.89</v>
      </c>
      <c r="J753" t="s">
        <v>354</v>
      </c>
      <c r="K753" t="str">
        <f t="shared" si="27"/>
        <v>joseph9</v>
      </c>
      <c r="L753">
        <f t="shared" si="28"/>
        <v>33.4084</v>
      </c>
    </row>
    <row r="754" spans="1:12" x14ac:dyDescent="0.25">
      <c r="A754">
        <v>9</v>
      </c>
      <c r="B754" t="s">
        <v>43</v>
      </c>
      <c r="C754" t="s">
        <v>32</v>
      </c>
      <c r="D754" s="1" t="s">
        <v>1109</v>
      </c>
      <c r="E754">
        <v>12.82</v>
      </c>
      <c r="F754">
        <v>17.809999999999999</v>
      </c>
      <c r="G754">
        <v>2.75</v>
      </c>
      <c r="H754">
        <v>7.53</v>
      </c>
      <c r="I754">
        <v>10.28</v>
      </c>
      <c r="J754" t="s">
        <v>354</v>
      </c>
      <c r="K754" t="str">
        <f t="shared" si="27"/>
        <v>joseph9</v>
      </c>
      <c r="L754">
        <f t="shared" si="28"/>
        <v>56.700900000000004</v>
      </c>
    </row>
    <row r="755" spans="1:12" x14ac:dyDescent="0.25">
      <c r="A755">
        <v>9</v>
      </c>
      <c r="B755" t="s">
        <v>40</v>
      </c>
      <c r="C755" t="s">
        <v>32</v>
      </c>
      <c r="D755" s="1" t="s">
        <v>1110</v>
      </c>
      <c r="E755">
        <v>12.46</v>
      </c>
      <c r="F755">
        <v>16.16</v>
      </c>
      <c r="G755">
        <v>3.48</v>
      </c>
      <c r="H755">
        <v>6.34</v>
      </c>
      <c r="I755">
        <v>9.82</v>
      </c>
      <c r="J755" t="s">
        <v>354</v>
      </c>
      <c r="K755" t="str">
        <f t="shared" si="27"/>
        <v>joseph9</v>
      </c>
      <c r="L755">
        <f t="shared" si="28"/>
        <v>40.195599999999999</v>
      </c>
    </row>
    <row r="756" spans="1:12" x14ac:dyDescent="0.25">
      <c r="A756">
        <v>9</v>
      </c>
      <c r="B756" t="s">
        <v>69</v>
      </c>
      <c r="C756" t="s">
        <v>32</v>
      </c>
      <c r="D756" s="1" t="s">
        <v>1111</v>
      </c>
      <c r="E756">
        <v>15.48</v>
      </c>
      <c r="F756">
        <v>19.48</v>
      </c>
      <c r="G756">
        <v>5.18</v>
      </c>
      <c r="H756">
        <v>7.15</v>
      </c>
      <c r="I756">
        <v>12.33</v>
      </c>
      <c r="J756" t="s">
        <v>355</v>
      </c>
      <c r="K756" t="str">
        <f t="shared" si="27"/>
        <v>alyssa9</v>
      </c>
      <c r="L756">
        <f t="shared" si="28"/>
        <v>51.122500000000002</v>
      </c>
    </row>
    <row r="757" spans="1:12" x14ac:dyDescent="0.25">
      <c r="A757">
        <v>9</v>
      </c>
      <c r="B757" t="s">
        <v>71</v>
      </c>
      <c r="C757" t="s">
        <v>32</v>
      </c>
      <c r="D757" s="1" t="s">
        <v>1112</v>
      </c>
      <c r="E757">
        <v>14.09</v>
      </c>
      <c r="F757">
        <v>17.399999999999999</v>
      </c>
      <c r="G757">
        <v>4.7</v>
      </c>
      <c r="H757">
        <v>6.35</v>
      </c>
      <c r="I757">
        <v>11.05</v>
      </c>
      <c r="J757" t="s">
        <v>355</v>
      </c>
      <c r="K757" t="str">
        <f t="shared" si="27"/>
        <v>alyssa9</v>
      </c>
      <c r="L757">
        <f t="shared" si="28"/>
        <v>40.322499999999998</v>
      </c>
    </row>
    <row r="758" spans="1:12" x14ac:dyDescent="0.25">
      <c r="A758">
        <v>9</v>
      </c>
      <c r="B758" t="s">
        <v>76</v>
      </c>
      <c r="C758" t="s">
        <v>32</v>
      </c>
      <c r="D758" s="1" t="s">
        <v>1113</v>
      </c>
      <c r="E758">
        <v>11.99</v>
      </c>
      <c r="F758">
        <v>16.91</v>
      </c>
      <c r="G758">
        <v>3.07</v>
      </c>
      <c r="H758">
        <v>6.92</v>
      </c>
      <c r="I758">
        <v>9.99</v>
      </c>
      <c r="J758" t="s">
        <v>355</v>
      </c>
      <c r="K758" t="str">
        <f t="shared" si="27"/>
        <v>alyssa9</v>
      </c>
      <c r="L758">
        <f t="shared" si="28"/>
        <v>47.886400000000002</v>
      </c>
    </row>
    <row r="759" spans="1:12" x14ac:dyDescent="0.25">
      <c r="A759">
        <v>9</v>
      </c>
      <c r="B759" t="s">
        <v>46</v>
      </c>
      <c r="C759" t="s">
        <v>32</v>
      </c>
      <c r="D759" s="1" t="s">
        <v>1114</v>
      </c>
      <c r="E759">
        <v>12.18</v>
      </c>
      <c r="F759">
        <v>14.05</v>
      </c>
      <c r="G759">
        <v>4.6500000000000004</v>
      </c>
      <c r="H759">
        <v>4.7</v>
      </c>
      <c r="I759">
        <v>9.35</v>
      </c>
      <c r="J759" t="s">
        <v>356</v>
      </c>
      <c r="K759" t="str">
        <f t="shared" si="27"/>
        <v>chris9</v>
      </c>
      <c r="L759">
        <f t="shared" si="28"/>
        <v>22.090000000000003</v>
      </c>
    </row>
    <row r="760" spans="1:12" x14ac:dyDescent="0.25">
      <c r="A760">
        <v>9</v>
      </c>
      <c r="B760" t="s">
        <v>224</v>
      </c>
      <c r="C760" t="s">
        <v>32</v>
      </c>
      <c r="D760" s="1" t="s">
        <v>1115</v>
      </c>
      <c r="E760">
        <v>7.52</v>
      </c>
      <c r="F760">
        <v>10.25</v>
      </c>
      <c r="G760">
        <v>1.33</v>
      </c>
      <c r="H760">
        <v>4.46</v>
      </c>
      <c r="I760">
        <v>5.79</v>
      </c>
      <c r="J760" t="s">
        <v>356</v>
      </c>
      <c r="K760" t="str">
        <f t="shared" si="27"/>
        <v>chris9</v>
      </c>
      <c r="L760">
        <f t="shared" si="28"/>
        <v>19.8916</v>
      </c>
    </row>
    <row r="761" spans="1:12" x14ac:dyDescent="0.25">
      <c r="A761">
        <v>9</v>
      </c>
      <c r="B761" t="s">
        <v>70</v>
      </c>
      <c r="C761" t="s">
        <v>32</v>
      </c>
      <c r="D761" s="1" t="s">
        <v>1116</v>
      </c>
      <c r="E761">
        <v>7.74</v>
      </c>
      <c r="F761">
        <v>10.28</v>
      </c>
      <c r="G761">
        <v>1.28</v>
      </c>
      <c r="H761">
        <v>4.5</v>
      </c>
      <c r="I761">
        <v>5.78</v>
      </c>
      <c r="J761" t="s">
        <v>356</v>
      </c>
      <c r="K761" t="str">
        <f t="shared" si="27"/>
        <v>chris9</v>
      </c>
      <c r="L761">
        <f t="shared" si="28"/>
        <v>20.25</v>
      </c>
    </row>
    <row r="762" spans="1:12" x14ac:dyDescent="0.25">
      <c r="A762">
        <v>9</v>
      </c>
      <c r="B762" t="s">
        <v>35</v>
      </c>
      <c r="C762" t="s">
        <v>32</v>
      </c>
      <c r="D762" s="1" t="s">
        <v>1117</v>
      </c>
      <c r="E762">
        <v>13.56</v>
      </c>
      <c r="F762">
        <v>16.05</v>
      </c>
      <c r="G762">
        <v>3.99</v>
      </c>
      <c r="H762">
        <v>6.03</v>
      </c>
      <c r="I762">
        <v>10.02</v>
      </c>
      <c r="J762" t="s">
        <v>357</v>
      </c>
      <c r="K762" t="str">
        <f t="shared" si="27"/>
        <v>jordan9</v>
      </c>
      <c r="L762">
        <f t="shared" si="28"/>
        <v>36.360900000000001</v>
      </c>
    </row>
    <row r="763" spans="1:12" x14ac:dyDescent="0.25">
      <c r="A763">
        <v>9</v>
      </c>
      <c r="B763" t="s">
        <v>222</v>
      </c>
      <c r="C763" t="s">
        <v>32</v>
      </c>
      <c r="D763" s="1" t="s">
        <v>1118</v>
      </c>
      <c r="E763">
        <v>9.14</v>
      </c>
      <c r="F763">
        <v>13.47</v>
      </c>
      <c r="G763">
        <v>0.69</v>
      </c>
      <c r="H763">
        <v>6.39</v>
      </c>
      <c r="I763">
        <v>7.08</v>
      </c>
      <c r="J763" t="s">
        <v>357</v>
      </c>
      <c r="K763" t="str">
        <f t="shared" si="27"/>
        <v>jordan9</v>
      </c>
      <c r="L763">
        <f t="shared" si="28"/>
        <v>40.832099999999997</v>
      </c>
    </row>
    <row r="764" spans="1:12" x14ac:dyDescent="0.25">
      <c r="A764">
        <v>9</v>
      </c>
      <c r="B764" t="s">
        <v>34</v>
      </c>
      <c r="C764" t="s">
        <v>32</v>
      </c>
      <c r="D764" s="1" t="s">
        <v>1119</v>
      </c>
      <c r="E764">
        <v>14.88</v>
      </c>
      <c r="F764">
        <v>19.7</v>
      </c>
      <c r="G764">
        <v>4.24</v>
      </c>
      <c r="H764">
        <v>7.73</v>
      </c>
      <c r="I764">
        <v>11.97</v>
      </c>
      <c r="J764" t="s">
        <v>358</v>
      </c>
      <c r="K764" t="str">
        <f t="shared" si="27"/>
        <v>alex9</v>
      </c>
      <c r="L764">
        <f t="shared" si="28"/>
        <v>59.752900000000004</v>
      </c>
    </row>
    <row r="765" spans="1:12" x14ac:dyDescent="0.25">
      <c r="A765">
        <v>9</v>
      </c>
      <c r="B765" t="s">
        <v>36</v>
      </c>
      <c r="C765" t="s">
        <v>32</v>
      </c>
      <c r="D765" s="1" t="s">
        <v>1120</v>
      </c>
      <c r="E765">
        <v>13.21</v>
      </c>
      <c r="F765">
        <v>16.48</v>
      </c>
      <c r="G765">
        <v>4.72</v>
      </c>
      <c r="H765">
        <v>5.88</v>
      </c>
      <c r="I765">
        <v>10.6</v>
      </c>
      <c r="J765" t="s">
        <v>358</v>
      </c>
      <c r="K765" t="str">
        <f t="shared" si="27"/>
        <v>alex9</v>
      </c>
      <c r="L765">
        <f t="shared" si="28"/>
        <v>34.574399999999997</v>
      </c>
    </row>
    <row r="766" spans="1:12" x14ac:dyDescent="0.25">
      <c r="A766">
        <v>9</v>
      </c>
      <c r="B766" t="s">
        <v>1121</v>
      </c>
      <c r="C766" t="s">
        <v>32</v>
      </c>
      <c r="D766" s="1" t="s">
        <v>1122</v>
      </c>
      <c r="E766">
        <v>11.75</v>
      </c>
      <c r="F766">
        <v>15.79</v>
      </c>
      <c r="G766">
        <v>2.31</v>
      </c>
      <c r="H766">
        <v>6.74</v>
      </c>
      <c r="I766">
        <v>9.0500000000000007</v>
      </c>
      <c r="J766" t="s">
        <v>358</v>
      </c>
      <c r="K766" t="str">
        <f t="shared" si="27"/>
        <v>alex9</v>
      </c>
      <c r="L766">
        <f t="shared" si="28"/>
        <v>45.427600000000005</v>
      </c>
    </row>
    <row r="767" spans="1:12" x14ac:dyDescent="0.25">
      <c r="A767">
        <v>9</v>
      </c>
      <c r="B767" t="s">
        <v>234</v>
      </c>
      <c r="C767" t="s">
        <v>32</v>
      </c>
      <c r="D767" s="1" t="s">
        <v>1123</v>
      </c>
      <c r="E767">
        <v>11.1</v>
      </c>
      <c r="F767">
        <v>14.29</v>
      </c>
      <c r="G767">
        <v>3.31</v>
      </c>
      <c r="H767">
        <v>5.49</v>
      </c>
      <c r="I767">
        <v>8.8000000000000007</v>
      </c>
      <c r="J767" t="s">
        <v>359</v>
      </c>
      <c r="K767" t="str">
        <f t="shared" si="27"/>
        <v>colin9</v>
      </c>
      <c r="L767">
        <f t="shared" si="28"/>
        <v>30.140100000000004</v>
      </c>
    </row>
    <row r="768" spans="1:12" x14ac:dyDescent="0.25">
      <c r="A768">
        <v>9</v>
      </c>
      <c r="B768" t="s">
        <v>183</v>
      </c>
      <c r="C768" t="s">
        <v>32</v>
      </c>
      <c r="D768" s="1" t="s">
        <v>1124</v>
      </c>
      <c r="E768">
        <v>9.75</v>
      </c>
      <c r="F768">
        <v>14.13</v>
      </c>
      <c r="G768">
        <v>1.39</v>
      </c>
      <c r="H768">
        <v>6.37</v>
      </c>
      <c r="I768">
        <v>7.76</v>
      </c>
      <c r="J768" t="s">
        <v>359</v>
      </c>
      <c r="K768" t="str">
        <f t="shared" si="27"/>
        <v>colin9</v>
      </c>
      <c r="L768">
        <f t="shared" si="28"/>
        <v>40.576900000000002</v>
      </c>
    </row>
    <row r="769" spans="1:12" x14ac:dyDescent="0.25">
      <c r="A769">
        <v>9</v>
      </c>
      <c r="B769" t="s">
        <v>161</v>
      </c>
      <c r="C769" t="s">
        <v>32</v>
      </c>
      <c r="D769" s="1" t="s">
        <v>1125</v>
      </c>
      <c r="E769">
        <v>8.5</v>
      </c>
      <c r="F769">
        <v>11.29</v>
      </c>
      <c r="G769">
        <v>2.29</v>
      </c>
      <c r="H769">
        <v>4.5</v>
      </c>
      <c r="I769">
        <v>6.79</v>
      </c>
      <c r="J769" t="s">
        <v>359</v>
      </c>
      <c r="K769" t="str">
        <f t="shared" si="27"/>
        <v>colin9</v>
      </c>
      <c r="L769">
        <f t="shared" si="28"/>
        <v>20.25</v>
      </c>
    </row>
    <row r="770" spans="1:12" x14ac:dyDescent="0.25">
      <c r="A770">
        <v>9</v>
      </c>
      <c r="B770" t="s">
        <v>49</v>
      </c>
      <c r="C770" t="s">
        <v>32</v>
      </c>
      <c r="D770" s="1" t="s">
        <v>1126</v>
      </c>
      <c r="E770">
        <v>15.09</v>
      </c>
      <c r="F770">
        <v>20.99</v>
      </c>
      <c r="G770">
        <v>3.63</v>
      </c>
      <c r="H770">
        <v>8.68</v>
      </c>
      <c r="I770">
        <v>12.31</v>
      </c>
      <c r="J770" t="s">
        <v>360</v>
      </c>
      <c r="K770" t="str">
        <f t="shared" si="27"/>
        <v>paul9</v>
      </c>
      <c r="L770">
        <f t="shared" si="28"/>
        <v>75.342399999999998</v>
      </c>
    </row>
    <row r="771" spans="1:12" x14ac:dyDescent="0.25">
      <c r="A771">
        <v>9</v>
      </c>
      <c r="B771" t="s">
        <v>153</v>
      </c>
      <c r="C771" t="s">
        <v>32</v>
      </c>
      <c r="D771" s="1" t="s">
        <v>1127</v>
      </c>
      <c r="E771">
        <v>13.62</v>
      </c>
      <c r="F771">
        <v>18.2</v>
      </c>
      <c r="G771">
        <v>3.92</v>
      </c>
      <c r="H771">
        <v>7.14</v>
      </c>
      <c r="I771">
        <v>11.06</v>
      </c>
      <c r="J771" t="s">
        <v>360</v>
      </c>
      <c r="K771" t="str">
        <f t="shared" ref="K771:K834" si="29">J771&amp;A771</f>
        <v>paul9</v>
      </c>
      <c r="L771">
        <f t="shared" ref="L771:L834" si="30">H771^2</f>
        <v>50.979599999999998</v>
      </c>
    </row>
    <row r="772" spans="1:12" x14ac:dyDescent="0.25">
      <c r="A772">
        <v>9</v>
      </c>
      <c r="B772" t="s">
        <v>248</v>
      </c>
      <c r="C772" t="s">
        <v>53</v>
      </c>
      <c r="D772" s="1" t="s">
        <v>1128</v>
      </c>
      <c r="E772">
        <v>22.5</v>
      </c>
      <c r="F772">
        <v>28.93</v>
      </c>
      <c r="G772">
        <v>14.53</v>
      </c>
      <c r="H772">
        <v>7.2</v>
      </c>
      <c r="I772">
        <v>21.73</v>
      </c>
      <c r="J772" t="s">
        <v>351</v>
      </c>
      <c r="K772" t="str">
        <f t="shared" si="29"/>
        <v>andrew9</v>
      </c>
      <c r="L772">
        <f t="shared" si="30"/>
        <v>51.84</v>
      </c>
    </row>
    <row r="773" spans="1:12" x14ac:dyDescent="0.25">
      <c r="A773">
        <v>9</v>
      </c>
      <c r="B773" t="s">
        <v>204</v>
      </c>
      <c r="C773" t="s">
        <v>53</v>
      </c>
      <c r="D773" s="1" t="s">
        <v>1129</v>
      </c>
      <c r="E773">
        <v>18.84</v>
      </c>
      <c r="F773">
        <v>25.75</v>
      </c>
      <c r="G773">
        <v>10.33</v>
      </c>
      <c r="H773">
        <v>7.71</v>
      </c>
      <c r="I773">
        <v>18.04</v>
      </c>
      <c r="J773" t="s">
        <v>352</v>
      </c>
      <c r="K773" t="str">
        <f t="shared" si="29"/>
        <v>jake9</v>
      </c>
      <c r="L773">
        <f t="shared" si="30"/>
        <v>59.444099999999999</v>
      </c>
    </row>
    <row r="774" spans="1:12" x14ac:dyDescent="0.25">
      <c r="A774">
        <v>9</v>
      </c>
      <c r="B774" t="s">
        <v>148</v>
      </c>
      <c r="C774" t="s">
        <v>53</v>
      </c>
      <c r="D774" s="1" t="s">
        <v>1130</v>
      </c>
      <c r="E774">
        <v>19.989999999999998</v>
      </c>
      <c r="F774">
        <v>25.62</v>
      </c>
      <c r="G774">
        <v>12.78</v>
      </c>
      <c r="H774">
        <v>6.42</v>
      </c>
      <c r="I774">
        <v>19.2</v>
      </c>
      <c r="J774" t="s">
        <v>353</v>
      </c>
      <c r="K774" t="str">
        <f t="shared" si="29"/>
        <v>breanna9</v>
      </c>
      <c r="L774">
        <f t="shared" si="30"/>
        <v>41.2164</v>
      </c>
    </row>
    <row r="775" spans="1:12" x14ac:dyDescent="0.25">
      <c r="A775">
        <v>9</v>
      </c>
      <c r="B775" t="s">
        <v>364</v>
      </c>
      <c r="C775" t="s">
        <v>53</v>
      </c>
      <c r="D775" s="1" t="s">
        <v>1131</v>
      </c>
      <c r="E775">
        <v>19.03</v>
      </c>
      <c r="F775">
        <v>25.13</v>
      </c>
      <c r="G775">
        <v>11.09</v>
      </c>
      <c r="H775">
        <v>7.02</v>
      </c>
      <c r="I775">
        <v>18.11</v>
      </c>
      <c r="J775" t="s">
        <v>354</v>
      </c>
      <c r="K775" t="str">
        <f t="shared" si="29"/>
        <v>joseph9</v>
      </c>
      <c r="L775">
        <f t="shared" si="30"/>
        <v>49.280399999999993</v>
      </c>
    </row>
    <row r="776" spans="1:12" x14ac:dyDescent="0.25">
      <c r="A776">
        <v>9</v>
      </c>
      <c r="B776" t="s">
        <v>386</v>
      </c>
      <c r="C776" t="s">
        <v>53</v>
      </c>
      <c r="D776" s="1" t="s">
        <v>1132</v>
      </c>
      <c r="E776">
        <v>15.45</v>
      </c>
      <c r="F776">
        <v>19.29</v>
      </c>
      <c r="G776">
        <v>9.49</v>
      </c>
      <c r="H776">
        <v>4.9000000000000004</v>
      </c>
      <c r="I776">
        <v>14.39</v>
      </c>
      <c r="J776" t="s">
        <v>355</v>
      </c>
      <c r="K776" t="str">
        <f t="shared" si="29"/>
        <v>alyssa9</v>
      </c>
      <c r="L776">
        <f t="shared" si="30"/>
        <v>24.010000000000005</v>
      </c>
    </row>
    <row r="777" spans="1:12" x14ac:dyDescent="0.25">
      <c r="A777">
        <v>9</v>
      </c>
      <c r="B777" t="s">
        <v>55</v>
      </c>
      <c r="C777" t="s">
        <v>53</v>
      </c>
      <c r="D777" s="1" t="s">
        <v>1133</v>
      </c>
      <c r="E777">
        <v>23.9</v>
      </c>
      <c r="F777">
        <v>32.35</v>
      </c>
      <c r="G777">
        <v>14.29</v>
      </c>
      <c r="H777">
        <v>9.0299999999999994</v>
      </c>
      <c r="I777">
        <v>23.32</v>
      </c>
      <c r="J777" t="s">
        <v>356</v>
      </c>
      <c r="K777" t="str">
        <f t="shared" si="29"/>
        <v>chris9</v>
      </c>
      <c r="L777">
        <f t="shared" si="30"/>
        <v>81.540899999999993</v>
      </c>
    </row>
    <row r="778" spans="1:12" x14ac:dyDescent="0.25">
      <c r="A778">
        <v>9</v>
      </c>
      <c r="B778" t="s">
        <v>390</v>
      </c>
      <c r="C778" t="s">
        <v>53</v>
      </c>
      <c r="D778" s="1" t="s">
        <v>1134</v>
      </c>
      <c r="E778">
        <v>19.260000000000002</v>
      </c>
      <c r="F778">
        <v>25.94</v>
      </c>
      <c r="G778">
        <v>11.26</v>
      </c>
      <c r="H778">
        <v>7.34</v>
      </c>
      <c r="I778">
        <v>18.600000000000001</v>
      </c>
      <c r="J778" t="s">
        <v>357</v>
      </c>
      <c r="K778" t="str">
        <f t="shared" si="29"/>
        <v>jordan9</v>
      </c>
      <c r="L778">
        <f t="shared" si="30"/>
        <v>53.875599999999999</v>
      </c>
    </row>
    <row r="779" spans="1:12" x14ac:dyDescent="0.25">
      <c r="A779">
        <v>9</v>
      </c>
      <c r="B779" t="s">
        <v>280</v>
      </c>
      <c r="C779" t="s">
        <v>53</v>
      </c>
      <c r="D779" s="1" t="s">
        <v>1135</v>
      </c>
      <c r="E779">
        <v>21.33</v>
      </c>
      <c r="F779">
        <v>27.89</v>
      </c>
      <c r="G779">
        <v>13.73</v>
      </c>
      <c r="H779">
        <v>7.08</v>
      </c>
      <c r="I779">
        <v>20.81</v>
      </c>
      <c r="J779" t="s">
        <v>358</v>
      </c>
      <c r="K779" t="str">
        <f t="shared" si="29"/>
        <v>alex9</v>
      </c>
      <c r="L779">
        <f t="shared" si="30"/>
        <v>50.126400000000004</v>
      </c>
    </row>
    <row r="780" spans="1:12" x14ac:dyDescent="0.25">
      <c r="A780">
        <v>9</v>
      </c>
      <c r="B780" t="s">
        <v>52</v>
      </c>
      <c r="C780" t="s">
        <v>53</v>
      </c>
      <c r="D780" s="1" t="s">
        <v>1136</v>
      </c>
      <c r="E780">
        <v>24.24</v>
      </c>
      <c r="F780">
        <v>30.49</v>
      </c>
      <c r="G780">
        <v>16.59</v>
      </c>
      <c r="H780">
        <v>6.95</v>
      </c>
      <c r="I780">
        <v>23.54</v>
      </c>
      <c r="J780" t="s">
        <v>359</v>
      </c>
      <c r="K780" t="str">
        <f t="shared" si="29"/>
        <v>colin9</v>
      </c>
      <c r="L780">
        <f t="shared" si="30"/>
        <v>48.302500000000002</v>
      </c>
    </row>
    <row r="781" spans="1:12" x14ac:dyDescent="0.25">
      <c r="A781">
        <v>9</v>
      </c>
      <c r="B781" t="s">
        <v>194</v>
      </c>
      <c r="C781" t="s">
        <v>53</v>
      </c>
      <c r="D781" s="1" t="s">
        <v>1137</v>
      </c>
      <c r="E781">
        <v>25.2</v>
      </c>
      <c r="F781">
        <v>32.979999999999997</v>
      </c>
      <c r="G781">
        <v>16.82</v>
      </c>
      <c r="H781">
        <v>8.08</v>
      </c>
      <c r="I781">
        <v>24.9</v>
      </c>
      <c r="J781" t="s">
        <v>360</v>
      </c>
      <c r="K781" t="str">
        <f t="shared" si="29"/>
        <v>paul9</v>
      </c>
      <c r="L781">
        <f t="shared" si="30"/>
        <v>65.2864</v>
      </c>
    </row>
    <row r="782" spans="1:12" x14ac:dyDescent="0.25">
      <c r="A782">
        <v>9</v>
      </c>
      <c r="B782" t="s">
        <v>497</v>
      </c>
      <c r="C782" t="s">
        <v>57</v>
      </c>
      <c r="D782" s="1" t="s">
        <v>1138</v>
      </c>
      <c r="E782">
        <v>8.17</v>
      </c>
      <c r="F782">
        <v>10.96</v>
      </c>
      <c r="G782">
        <v>1.5</v>
      </c>
      <c r="H782">
        <v>4.7300000000000004</v>
      </c>
      <c r="I782">
        <v>6.23</v>
      </c>
      <c r="J782" t="s">
        <v>351</v>
      </c>
      <c r="K782" t="str">
        <f t="shared" si="29"/>
        <v>andrew9</v>
      </c>
      <c r="L782">
        <f t="shared" si="30"/>
        <v>22.372900000000005</v>
      </c>
    </row>
    <row r="783" spans="1:12" x14ac:dyDescent="0.25">
      <c r="A783">
        <v>9</v>
      </c>
      <c r="B783" t="s">
        <v>60</v>
      </c>
      <c r="C783" t="s">
        <v>57</v>
      </c>
      <c r="D783" s="1" t="s">
        <v>1139</v>
      </c>
      <c r="E783">
        <v>8.56</v>
      </c>
      <c r="F783">
        <v>10.89</v>
      </c>
      <c r="G783">
        <v>1.79</v>
      </c>
      <c r="H783">
        <v>4.55</v>
      </c>
      <c r="I783">
        <v>6.34</v>
      </c>
      <c r="J783" t="s">
        <v>352</v>
      </c>
      <c r="K783" t="str">
        <f t="shared" si="29"/>
        <v>jake9</v>
      </c>
      <c r="L783">
        <f t="shared" si="30"/>
        <v>20.702499999999997</v>
      </c>
    </row>
    <row r="784" spans="1:12" x14ac:dyDescent="0.25">
      <c r="A784">
        <v>9</v>
      </c>
      <c r="B784" t="s">
        <v>455</v>
      </c>
      <c r="C784" t="s">
        <v>57</v>
      </c>
      <c r="D784" s="1" t="s">
        <v>1140</v>
      </c>
      <c r="E784">
        <v>5.63</v>
      </c>
      <c r="F784">
        <v>7.62</v>
      </c>
      <c r="G784">
        <v>0.34</v>
      </c>
      <c r="H784">
        <v>3.64</v>
      </c>
      <c r="I784">
        <v>3.98</v>
      </c>
      <c r="J784" t="s">
        <v>353</v>
      </c>
      <c r="K784" t="str">
        <f t="shared" si="29"/>
        <v>breanna9</v>
      </c>
      <c r="L784">
        <f t="shared" si="30"/>
        <v>13.249600000000001</v>
      </c>
    </row>
    <row r="785" spans="1:12" x14ac:dyDescent="0.25">
      <c r="A785">
        <v>9</v>
      </c>
      <c r="B785" t="s">
        <v>61</v>
      </c>
      <c r="C785" t="s">
        <v>57</v>
      </c>
      <c r="D785" s="1" t="s">
        <v>1141</v>
      </c>
      <c r="E785">
        <v>13.32</v>
      </c>
      <c r="F785">
        <v>17.16</v>
      </c>
      <c r="G785">
        <v>3.74</v>
      </c>
      <c r="H785">
        <v>6.71</v>
      </c>
      <c r="I785">
        <v>10.45</v>
      </c>
      <c r="J785" t="s">
        <v>354</v>
      </c>
      <c r="K785" t="str">
        <f t="shared" si="29"/>
        <v>joseph9</v>
      </c>
      <c r="L785">
        <f t="shared" si="30"/>
        <v>45.024099999999997</v>
      </c>
    </row>
    <row r="786" spans="1:12" x14ac:dyDescent="0.25">
      <c r="A786">
        <v>9</v>
      </c>
      <c r="B786" t="s">
        <v>182</v>
      </c>
      <c r="C786" t="s">
        <v>57</v>
      </c>
      <c r="D786" s="1" t="s">
        <v>1142</v>
      </c>
      <c r="E786">
        <v>4.1399999999999997</v>
      </c>
      <c r="F786">
        <v>6.19</v>
      </c>
      <c r="G786">
        <v>0.19</v>
      </c>
      <c r="H786">
        <v>3</v>
      </c>
      <c r="I786">
        <v>3.19</v>
      </c>
      <c r="J786" t="s">
        <v>355</v>
      </c>
      <c r="K786" t="str">
        <f t="shared" si="29"/>
        <v>alyssa9</v>
      </c>
      <c r="L786">
        <f t="shared" si="30"/>
        <v>9</v>
      </c>
    </row>
    <row r="787" spans="1:12" x14ac:dyDescent="0.25">
      <c r="A787">
        <v>9</v>
      </c>
      <c r="B787" t="s">
        <v>58</v>
      </c>
      <c r="C787" t="s">
        <v>57</v>
      </c>
      <c r="D787" s="1" t="s">
        <v>1143</v>
      </c>
      <c r="E787">
        <v>8.0500000000000007</v>
      </c>
      <c r="F787">
        <v>10.039999999999999</v>
      </c>
      <c r="G787">
        <v>2.1</v>
      </c>
      <c r="H787">
        <v>3.97</v>
      </c>
      <c r="I787">
        <v>6.07</v>
      </c>
      <c r="J787" t="s">
        <v>356</v>
      </c>
      <c r="K787" t="str">
        <f t="shared" si="29"/>
        <v>chris9</v>
      </c>
      <c r="L787">
        <f t="shared" si="30"/>
        <v>15.760900000000001</v>
      </c>
    </row>
    <row r="788" spans="1:12" x14ac:dyDescent="0.25">
      <c r="A788">
        <v>9</v>
      </c>
      <c r="B788" t="s">
        <v>62</v>
      </c>
      <c r="C788" t="s">
        <v>57</v>
      </c>
      <c r="D788" s="1" t="s">
        <v>1144</v>
      </c>
      <c r="E788">
        <v>15.6</v>
      </c>
      <c r="F788">
        <v>20.05</v>
      </c>
      <c r="G788">
        <v>6.13</v>
      </c>
      <c r="H788">
        <v>6.96</v>
      </c>
      <c r="I788">
        <v>13.09</v>
      </c>
      <c r="J788" t="s">
        <v>357</v>
      </c>
      <c r="K788" t="str">
        <f t="shared" si="29"/>
        <v>jordan9</v>
      </c>
      <c r="L788">
        <f t="shared" si="30"/>
        <v>48.441600000000001</v>
      </c>
    </row>
    <row r="789" spans="1:12" x14ac:dyDescent="0.25">
      <c r="A789">
        <v>9</v>
      </c>
      <c r="B789" t="s">
        <v>455</v>
      </c>
      <c r="C789" t="s">
        <v>57</v>
      </c>
      <c r="D789" s="1" t="s">
        <v>1140</v>
      </c>
      <c r="E789">
        <v>5.63</v>
      </c>
      <c r="F789">
        <v>7.62</v>
      </c>
      <c r="G789">
        <v>0.34</v>
      </c>
      <c r="H789">
        <v>3.64</v>
      </c>
      <c r="I789">
        <v>3.98</v>
      </c>
      <c r="J789" t="s">
        <v>358</v>
      </c>
      <c r="K789" t="str">
        <f t="shared" si="29"/>
        <v>alex9</v>
      </c>
      <c r="L789">
        <f t="shared" si="30"/>
        <v>13.249600000000001</v>
      </c>
    </row>
    <row r="790" spans="1:12" x14ac:dyDescent="0.25">
      <c r="A790">
        <v>9</v>
      </c>
      <c r="B790" t="s">
        <v>455</v>
      </c>
      <c r="C790" t="s">
        <v>57</v>
      </c>
      <c r="D790" s="1" t="s">
        <v>1140</v>
      </c>
      <c r="E790">
        <v>5.63</v>
      </c>
      <c r="F790">
        <v>7.62</v>
      </c>
      <c r="G790">
        <v>0.34</v>
      </c>
      <c r="H790">
        <v>3.64</v>
      </c>
      <c r="I790">
        <v>3.98</v>
      </c>
      <c r="J790" t="s">
        <v>359</v>
      </c>
      <c r="K790" t="str">
        <f t="shared" si="29"/>
        <v>colin9</v>
      </c>
      <c r="L790">
        <f t="shared" si="30"/>
        <v>13.249600000000001</v>
      </c>
    </row>
    <row r="791" spans="1:12" x14ac:dyDescent="0.25">
      <c r="A791">
        <v>9</v>
      </c>
      <c r="B791" t="s">
        <v>59</v>
      </c>
      <c r="C791" t="s">
        <v>57</v>
      </c>
      <c r="D791" s="1" t="s">
        <v>1145</v>
      </c>
      <c r="E791">
        <v>9.9700000000000006</v>
      </c>
      <c r="F791">
        <v>13.15</v>
      </c>
      <c r="G791">
        <v>1.91</v>
      </c>
      <c r="H791">
        <v>5.62</v>
      </c>
      <c r="I791">
        <v>7.53</v>
      </c>
      <c r="J791" t="s">
        <v>360</v>
      </c>
      <c r="K791" t="str">
        <f t="shared" si="29"/>
        <v>paul9</v>
      </c>
      <c r="L791">
        <f t="shared" si="30"/>
        <v>31.584400000000002</v>
      </c>
    </row>
    <row r="792" spans="1:12" x14ac:dyDescent="0.25">
      <c r="A792">
        <v>9</v>
      </c>
      <c r="B792" t="s">
        <v>787</v>
      </c>
      <c r="C792" t="s">
        <v>63</v>
      </c>
      <c r="D792" s="1" t="s">
        <v>1146</v>
      </c>
      <c r="E792">
        <v>10.0604</v>
      </c>
      <c r="F792">
        <v>16.27</v>
      </c>
      <c r="G792">
        <v>3.85</v>
      </c>
      <c r="H792">
        <v>6.21</v>
      </c>
      <c r="I792">
        <v>10.0604</v>
      </c>
      <c r="J792" t="s">
        <v>351</v>
      </c>
      <c r="K792" t="str">
        <f t="shared" si="29"/>
        <v>andrew9</v>
      </c>
      <c r="L792">
        <f t="shared" si="30"/>
        <v>38.564099999999996</v>
      </c>
    </row>
    <row r="793" spans="1:12" x14ac:dyDescent="0.25">
      <c r="A793">
        <v>9</v>
      </c>
      <c r="B793" t="s">
        <v>318</v>
      </c>
      <c r="C793" t="s">
        <v>63</v>
      </c>
      <c r="D793" s="1" t="s">
        <v>1147</v>
      </c>
      <c r="E793">
        <v>4.1589999999999998</v>
      </c>
      <c r="F793">
        <v>9.09</v>
      </c>
      <c r="G793">
        <v>-0.79</v>
      </c>
      <c r="H793">
        <v>4.9400000000000004</v>
      </c>
      <c r="I793">
        <v>4.1589999999999998</v>
      </c>
      <c r="J793" t="s">
        <v>352</v>
      </c>
      <c r="K793" t="str">
        <f t="shared" si="29"/>
        <v>jake9</v>
      </c>
      <c r="L793">
        <f t="shared" si="30"/>
        <v>24.403600000000004</v>
      </c>
    </row>
    <row r="794" spans="1:12" x14ac:dyDescent="0.25">
      <c r="A794">
        <v>9</v>
      </c>
      <c r="B794" t="s">
        <v>195</v>
      </c>
      <c r="C794" t="s">
        <v>63</v>
      </c>
      <c r="D794" s="1" t="s">
        <v>1148</v>
      </c>
      <c r="E794">
        <v>7.8456999999999999</v>
      </c>
      <c r="F794">
        <v>13.68</v>
      </c>
      <c r="G794">
        <v>2.02</v>
      </c>
      <c r="H794">
        <v>5.83</v>
      </c>
      <c r="I794">
        <v>7.8456999999999999</v>
      </c>
      <c r="J794" t="s">
        <v>353</v>
      </c>
      <c r="K794" t="str">
        <f t="shared" si="29"/>
        <v>breanna9</v>
      </c>
      <c r="L794">
        <f t="shared" si="30"/>
        <v>33.988900000000001</v>
      </c>
    </row>
    <row r="795" spans="1:12" x14ac:dyDescent="0.25">
      <c r="A795">
        <v>9</v>
      </c>
      <c r="B795" t="s">
        <v>372</v>
      </c>
      <c r="C795" t="s">
        <v>63</v>
      </c>
      <c r="D795" s="1" t="s">
        <v>1149</v>
      </c>
      <c r="E795">
        <v>8.5967000000000002</v>
      </c>
      <c r="F795">
        <v>14.29</v>
      </c>
      <c r="G795">
        <v>2.91</v>
      </c>
      <c r="H795">
        <v>5.69</v>
      </c>
      <c r="I795">
        <v>8.5967000000000002</v>
      </c>
      <c r="J795" t="s">
        <v>354</v>
      </c>
      <c r="K795" t="str">
        <f t="shared" si="29"/>
        <v>joseph9</v>
      </c>
      <c r="L795">
        <f t="shared" si="30"/>
        <v>32.376100000000001</v>
      </c>
    </row>
    <row r="796" spans="1:12" x14ac:dyDescent="0.25">
      <c r="A796">
        <v>9</v>
      </c>
      <c r="B796" t="s">
        <v>374</v>
      </c>
      <c r="C796" t="s">
        <v>63</v>
      </c>
      <c r="D796" s="1" t="s">
        <v>1150</v>
      </c>
      <c r="E796">
        <v>6.3605999999999998</v>
      </c>
      <c r="F796">
        <v>11.35</v>
      </c>
      <c r="G796">
        <v>1.39</v>
      </c>
      <c r="H796">
        <v>4.9800000000000004</v>
      </c>
      <c r="I796">
        <v>6.3605999999999998</v>
      </c>
      <c r="J796" t="s">
        <v>355</v>
      </c>
      <c r="K796" t="str">
        <f t="shared" si="29"/>
        <v>alyssa9</v>
      </c>
      <c r="L796">
        <f t="shared" si="30"/>
        <v>24.800400000000003</v>
      </c>
    </row>
    <row r="797" spans="1:12" x14ac:dyDescent="0.25">
      <c r="A797">
        <v>9</v>
      </c>
      <c r="B797" t="s">
        <v>177</v>
      </c>
      <c r="C797" t="s">
        <v>63</v>
      </c>
      <c r="D797" s="1" t="s">
        <v>1151</v>
      </c>
      <c r="E797">
        <v>10.285399999999999</v>
      </c>
      <c r="F797">
        <v>16.239999999999998</v>
      </c>
      <c r="G797">
        <v>4.32</v>
      </c>
      <c r="H797">
        <v>5.96</v>
      </c>
      <c r="I797">
        <v>10.285399999999999</v>
      </c>
      <c r="J797" t="s">
        <v>356</v>
      </c>
      <c r="K797" t="str">
        <f t="shared" si="29"/>
        <v>chris9</v>
      </c>
      <c r="L797">
        <f t="shared" si="30"/>
        <v>35.521599999999999</v>
      </c>
    </row>
    <row r="798" spans="1:12" x14ac:dyDescent="0.25">
      <c r="A798">
        <v>9</v>
      </c>
      <c r="B798" t="s">
        <v>203</v>
      </c>
      <c r="C798" t="s">
        <v>63</v>
      </c>
      <c r="D798" s="1" t="s">
        <v>1152</v>
      </c>
      <c r="E798">
        <v>7.4433999999999996</v>
      </c>
      <c r="F798">
        <v>13.04</v>
      </c>
      <c r="G798">
        <v>1.84</v>
      </c>
      <c r="H798">
        <v>5.6</v>
      </c>
      <c r="I798">
        <v>7.4433999999999996</v>
      </c>
      <c r="J798" t="s">
        <v>357</v>
      </c>
      <c r="K798" t="str">
        <f t="shared" si="29"/>
        <v>jordan9</v>
      </c>
      <c r="L798">
        <f t="shared" si="30"/>
        <v>31.359999999999996</v>
      </c>
    </row>
    <row r="799" spans="1:12" x14ac:dyDescent="0.25">
      <c r="A799">
        <v>9</v>
      </c>
      <c r="B799" t="s">
        <v>499</v>
      </c>
      <c r="C799" t="s">
        <v>63</v>
      </c>
      <c r="D799" s="1" t="s">
        <v>1153</v>
      </c>
      <c r="E799">
        <v>10.3306</v>
      </c>
      <c r="F799">
        <v>16.7</v>
      </c>
      <c r="G799">
        <v>3.98</v>
      </c>
      <c r="H799">
        <v>6.36</v>
      </c>
      <c r="I799">
        <v>10.3306</v>
      </c>
      <c r="J799" t="s">
        <v>358</v>
      </c>
      <c r="K799" t="str">
        <f t="shared" si="29"/>
        <v>alex9</v>
      </c>
      <c r="L799">
        <f t="shared" si="30"/>
        <v>40.449600000000004</v>
      </c>
    </row>
    <row r="800" spans="1:12" x14ac:dyDescent="0.25">
      <c r="A800">
        <v>9</v>
      </c>
      <c r="B800" t="s">
        <v>257</v>
      </c>
      <c r="C800" t="s">
        <v>63</v>
      </c>
      <c r="D800" s="1" t="s">
        <v>1154</v>
      </c>
      <c r="E800">
        <v>9.4451999999999998</v>
      </c>
      <c r="F800">
        <v>16.5</v>
      </c>
      <c r="G800">
        <v>2.4</v>
      </c>
      <c r="H800">
        <v>7.05</v>
      </c>
      <c r="I800">
        <v>9.4451999999999998</v>
      </c>
      <c r="J800" t="s">
        <v>359</v>
      </c>
      <c r="K800" t="str">
        <f t="shared" si="29"/>
        <v>colin9</v>
      </c>
      <c r="L800">
        <f t="shared" si="30"/>
        <v>49.702500000000001</v>
      </c>
    </row>
    <row r="801" spans="1:12" x14ac:dyDescent="0.25">
      <c r="A801">
        <v>9</v>
      </c>
      <c r="B801" t="s">
        <v>255</v>
      </c>
      <c r="C801" t="s">
        <v>63</v>
      </c>
      <c r="D801" s="1" t="s">
        <v>704</v>
      </c>
      <c r="E801">
        <v>6.8224999999999998</v>
      </c>
      <c r="F801">
        <v>12.63</v>
      </c>
      <c r="G801">
        <v>1.01</v>
      </c>
      <c r="H801">
        <v>5.81</v>
      </c>
      <c r="I801">
        <v>6.8224999999999998</v>
      </c>
      <c r="J801" t="s">
        <v>360</v>
      </c>
      <c r="K801" t="str">
        <f t="shared" si="29"/>
        <v>paul9</v>
      </c>
      <c r="L801">
        <f t="shared" si="30"/>
        <v>33.756099999999996</v>
      </c>
    </row>
    <row r="802" spans="1:12" x14ac:dyDescent="0.25">
      <c r="A802">
        <v>9</v>
      </c>
      <c r="B802" t="s">
        <v>159</v>
      </c>
      <c r="C802" t="s">
        <v>64</v>
      </c>
      <c r="D802" s="1" t="s">
        <v>1155</v>
      </c>
      <c r="E802">
        <v>7.02</v>
      </c>
      <c r="F802">
        <v>10.98</v>
      </c>
      <c r="G802">
        <v>3.02</v>
      </c>
      <c r="H802">
        <v>3.98</v>
      </c>
      <c r="I802">
        <v>7</v>
      </c>
      <c r="J802" t="s">
        <v>351</v>
      </c>
      <c r="K802" t="str">
        <f t="shared" si="29"/>
        <v>andrew9</v>
      </c>
      <c r="L802">
        <f t="shared" si="30"/>
        <v>15.840400000000001</v>
      </c>
    </row>
    <row r="803" spans="1:12" x14ac:dyDescent="0.25">
      <c r="A803">
        <v>9</v>
      </c>
      <c r="B803" t="s">
        <v>155</v>
      </c>
      <c r="C803" t="s">
        <v>64</v>
      </c>
      <c r="D803" s="1" t="s">
        <v>1156</v>
      </c>
      <c r="E803">
        <v>8.66</v>
      </c>
      <c r="F803">
        <v>13.24</v>
      </c>
      <c r="G803">
        <v>3.98</v>
      </c>
      <c r="H803">
        <v>4.63</v>
      </c>
      <c r="I803">
        <v>8.61</v>
      </c>
      <c r="J803" t="s">
        <v>352</v>
      </c>
      <c r="K803" t="str">
        <f t="shared" si="29"/>
        <v>jake9</v>
      </c>
      <c r="L803">
        <f t="shared" si="30"/>
        <v>21.436899999999998</v>
      </c>
    </row>
    <row r="804" spans="1:12" x14ac:dyDescent="0.25">
      <c r="A804">
        <v>9</v>
      </c>
      <c r="B804" t="s">
        <v>149</v>
      </c>
      <c r="C804" t="s">
        <v>64</v>
      </c>
      <c r="D804" s="1" t="s">
        <v>1157</v>
      </c>
      <c r="E804">
        <v>8.64</v>
      </c>
      <c r="F804">
        <v>12.98</v>
      </c>
      <c r="G804">
        <v>4.3600000000000003</v>
      </c>
      <c r="H804">
        <v>4.3099999999999996</v>
      </c>
      <c r="I804">
        <v>8.67</v>
      </c>
      <c r="J804" t="s">
        <v>353</v>
      </c>
      <c r="K804" t="str">
        <f t="shared" si="29"/>
        <v>breanna9</v>
      </c>
      <c r="L804">
        <f t="shared" si="30"/>
        <v>18.576099999999997</v>
      </c>
    </row>
    <row r="805" spans="1:12" x14ac:dyDescent="0.25">
      <c r="A805">
        <v>9</v>
      </c>
      <c r="B805" t="s">
        <v>979</v>
      </c>
      <c r="C805" t="s">
        <v>64</v>
      </c>
      <c r="D805" s="1" t="s">
        <v>1158</v>
      </c>
      <c r="E805">
        <v>8.31</v>
      </c>
      <c r="F805">
        <v>12.6</v>
      </c>
      <c r="G805">
        <v>3.94</v>
      </c>
      <c r="H805">
        <v>4.33</v>
      </c>
      <c r="I805">
        <v>8.27</v>
      </c>
      <c r="J805" t="s">
        <v>354</v>
      </c>
      <c r="K805" t="str">
        <f t="shared" si="29"/>
        <v>joseph9</v>
      </c>
      <c r="L805">
        <f t="shared" si="30"/>
        <v>18.748899999999999</v>
      </c>
    </row>
    <row r="806" spans="1:12" x14ac:dyDescent="0.25">
      <c r="A806">
        <v>9</v>
      </c>
      <c r="B806" t="s">
        <v>65</v>
      </c>
      <c r="C806" t="s">
        <v>64</v>
      </c>
      <c r="D806" s="1" t="s">
        <v>1159</v>
      </c>
      <c r="E806">
        <v>9.6300000000000008</v>
      </c>
      <c r="F806">
        <v>14.13</v>
      </c>
      <c r="G806">
        <v>5.15</v>
      </c>
      <c r="H806">
        <v>4.49</v>
      </c>
      <c r="I806">
        <v>9.64</v>
      </c>
      <c r="J806" t="s">
        <v>355</v>
      </c>
      <c r="K806" t="str">
        <f t="shared" si="29"/>
        <v>alyssa9</v>
      </c>
      <c r="L806">
        <f t="shared" si="30"/>
        <v>20.160100000000003</v>
      </c>
    </row>
    <row r="807" spans="1:12" x14ac:dyDescent="0.25">
      <c r="A807">
        <v>9</v>
      </c>
      <c r="B807" t="s">
        <v>262</v>
      </c>
      <c r="C807" t="s">
        <v>64</v>
      </c>
      <c r="D807" s="1" t="s">
        <v>1160</v>
      </c>
      <c r="E807">
        <v>8.93</v>
      </c>
      <c r="F807">
        <v>13.05</v>
      </c>
      <c r="G807">
        <v>4.8499999999999996</v>
      </c>
      <c r="H807">
        <v>4.0999999999999996</v>
      </c>
      <c r="I807">
        <v>8.9499999999999993</v>
      </c>
      <c r="J807" t="s">
        <v>356</v>
      </c>
      <c r="K807" t="str">
        <f t="shared" si="29"/>
        <v>chris9</v>
      </c>
      <c r="L807">
        <f t="shared" si="30"/>
        <v>16.809999999999999</v>
      </c>
    </row>
    <row r="808" spans="1:12" x14ac:dyDescent="0.25">
      <c r="A808">
        <v>9</v>
      </c>
      <c r="B808" t="s">
        <v>66</v>
      </c>
      <c r="C808" t="s">
        <v>64</v>
      </c>
      <c r="D808" s="1" t="s">
        <v>1161</v>
      </c>
      <c r="E808">
        <v>8.92</v>
      </c>
      <c r="F808">
        <v>13.36</v>
      </c>
      <c r="G808">
        <v>4.54</v>
      </c>
      <c r="H808">
        <v>4.41</v>
      </c>
      <c r="I808">
        <v>8.9499999999999993</v>
      </c>
      <c r="J808" t="s">
        <v>357</v>
      </c>
      <c r="K808" t="str">
        <f t="shared" si="29"/>
        <v>jordan9</v>
      </c>
      <c r="L808">
        <f t="shared" si="30"/>
        <v>19.4481</v>
      </c>
    </row>
    <row r="809" spans="1:12" x14ac:dyDescent="0.25">
      <c r="A809">
        <v>9</v>
      </c>
      <c r="B809" t="s">
        <v>979</v>
      </c>
      <c r="C809" t="s">
        <v>64</v>
      </c>
      <c r="D809" s="1" t="s">
        <v>1158</v>
      </c>
      <c r="E809">
        <v>8.31</v>
      </c>
      <c r="F809">
        <v>12.6</v>
      </c>
      <c r="G809">
        <v>3.94</v>
      </c>
      <c r="H809">
        <v>4.33</v>
      </c>
      <c r="I809">
        <v>8.27</v>
      </c>
      <c r="J809" t="s">
        <v>358</v>
      </c>
      <c r="K809" t="str">
        <f t="shared" si="29"/>
        <v>alex9</v>
      </c>
      <c r="L809">
        <f t="shared" si="30"/>
        <v>18.748899999999999</v>
      </c>
    </row>
    <row r="810" spans="1:12" x14ac:dyDescent="0.25">
      <c r="A810">
        <v>9</v>
      </c>
      <c r="B810" t="s">
        <v>261</v>
      </c>
      <c r="C810" t="s">
        <v>64</v>
      </c>
      <c r="D810" s="1" t="s">
        <v>1162</v>
      </c>
      <c r="E810">
        <v>9.1300000000000008</v>
      </c>
      <c r="F810">
        <v>12.94</v>
      </c>
      <c r="G810">
        <v>5.34</v>
      </c>
      <c r="H810">
        <v>3.8</v>
      </c>
      <c r="I810">
        <v>9.14</v>
      </c>
      <c r="J810" t="s">
        <v>359</v>
      </c>
      <c r="K810" t="str">
        <f t="shared" si="29"/>
        <v>colin9</v>
      </c>
      <c r="L810">
        <f t="shared" si="30"/>
        <v>14.44</v>
      </c>
    </row>
    <row r="811" spans="1:12" x14ac:dyDescent="0.25">
      <c r="A811">
        <v>9</v>
      </c>
      <c r="B811" t="s">
        <v>167</v>
      </c>
      <c r="C811" t="s">
        <v>64</v>
      </c>
      <c r="D811" s="1" t="s">
        <v>1163</v>
      </c>
      <c r="E811">
        <v>7.39</v>
      </c>
      <c r="F811">
        <v>10.83</v>
      </c>
      <c r="G811">
        <v>3.85</v>
      </c>
      <c r="H811">
        <v>3.49</v>
      </c>
      <c r="I811">
        <v>7.34</v>
      </c>
      <c r="J811" t="s">
        <v>360</v>
      </c>
      <c r="K811" t="str">
        <f t="shared" si="29"/>
        <v>paul9</v>
      </c>
      <c r="L811">
        <f t="shared" si="30"/>
        <v>12.180100000000001</v>
      </c>
    </row>
    <row r="812" spans="1:12" x14ac:dyDescent="0.25">
      <c r="A812">
        <v>10</v>
      </c>
      <c r="B812" t="s">
        <v>68</v>
      </c>
      <c r="C812" t="s">
        <v>10</v>
      </c>
      <c r="D812" s="1" t="s">
        <v>1164</v>
      </c>
      <c r="E812">
        <v>15.18</v>
      </c>
      <c r="F812">
        <v>22.27</v>
      </c>
      <c r="G812">
        <v>5.45</v>
      </c>
      <c r="H812">
        <v>8.41</v>
      </c>
      <c r="I812">
        <v>13.86</v>
      </c>
      <c r="J812" t="s">
        <v>351</v>
      </c>
      <c r="K812" t="str">
        <f t="shared" si="29"/>
        <v>andrew10</v>
      </c>
      <c r="L812">
        <f t="shared" si="30"/>
        <v>70.728099999999998</v>
      </c>
    </row>
    <row r="813" spans="1:12" x14ac:dyDescent="0.25">
      <c r="A813">
        <v>10</v>
      </c>
      <c r="B813" t="s">
        <v>30</v>
      </c>
      <c r="C813" t="s">
        <v>10</v>
      </c>
      <c r="D813" s="1" t="s">
        <v>1165</v>
      </c>
      <c r="E813">
        <v>15.43</v>
      </c>
      <c r="F813">
        <v>19.93</v>
      </c>
      <c r="G813">
        <v>7.71</v>
      </c>
      <c r="H813">
        <v>6.11</v>
      </c>
      <c r="I813">
        <v>13.82</v>
      </c>
      <c r="J813" t="s">
        <v>351</v>
      </c>
      <c r="K813" t="str">
        <f t="shared" si="29"/>
        <v>andrew10</v>
      </c>
      <c r="L813">
        <f t="shared" si="30"/>
        <v>37.332100000000004</v>
      </c>
    </row>
    <row r="814" spans="1:12" x14ac:dyDescent="0.25">
      <c r="A814">
        <v>10</v>
      </c>
      <c r="B814" t="s">
        <v>181</v>
      </c>
      <c r="C814" t="s">
        <v>10</v>
      </c>
      <c r="D814" s="1" t="s">
        <v>1166</v>
      </c>
      <c r="E814">
        <v>16.03</v>
      </c>
      <c r="F814">
        <v>21.12</v>
      </c>
      <c r="G814">
        <v>5.64</v>
      </c>
      <c r="H814">
        <v>7.74</v>
      </c>
      <c r="I814">
        <v>13.38</v>
      </c>
      <c r="J814" t="s">
        <v>352</v>
      </c>
      <c r="K814" t="str">
        <f t="shared" si="29"/>
        <v>jake10</v>
      </c>
      <c r="L814">
        <f t="shared" si="30"/>
        <v>59.907600000000002</v>
      </c>
    </row>
    <row r="815" spans="1:12" x14ac:dyDescent="0.25">
      <c r="A815">
        <v>10</v>
      </c>
      <c r="B815" t="s">
        <v>20</v>
      </c>
      <c r="C815" t="s">
        <v>10</v>
      </c>
      <c r="D815" s="1" t="s">
        <v>1167</v>
      </c>
      <c r="E815">
        <v>13.68</v>
      </c>
      <c r="F815">
        <v>19.59</v>
      </c>
      <c r="G815">
        <v>4.67</v>
      </c>
      <c r="H815">
        <v>7.46</v>
      </c>
      <c r="I815">
        <v>12.13</v>
      </c>
      <c r="J815" t="s">
        <v>352</v>
      </c>
      <c r="K815" t="str">
        <f t="shared" si="29"/>
        <v>jake10</v>
      </c>
      <c r="L815">
        <f t="shared" si="30"/>
        <v>55.651600000000002</v>
      </c>
    </row>
    <row r="816" spans="1:12" x14ac:dyDescent="0.25">
      <c r="A816">
        <v>10</v>
      </c>
      <c r="B816" t="s">
        <v>27</v>
      </c>
      <c r="C816" t="s">
        <v>10</v>
      </c>
      <c r="D816" s="1" t="s">
        <v>1168</v>
      </c>
      <c r="E816">
        <v>19.23</v>
      </c>
      <c r="F816">
        <v>24.87</v>
      </c>
      <c r="G816">
        <v>8.69</v>
      </c>
      <c r="H816">
        <v>8.09</v>
      </c>
      <c r="I816">
        <v>16.78</v>
      </c>
      <c r="J816" t="s">
        <v>353</v>
      </c>
      <c r="K816" t="str">
        <f t="shared" si="29"/>
        <v>breanna10</v>
      </c>
      <c r="L816">
        <f t="shared" si="30"/>
        <v>65.448099999999997</v>
      </c>
    </row>
    <row r="817" spans="1:12" x14ac:dyDescent="0.25">
      <c r="A817">
        <v>10</v>
      </c>
      <c r="B817" t="s">
        <v>22</v>
      </c>
      <c r="C817" t="s">
        <v>10</v>
      </c>
      <c r="D817" s="1" t="s">
        <v>1169</v>
      </c>
      <c r="E817">
        <v>8.84</v>
      </c>
      <c r="F817">
        <v>14.13</v>
      </c>
      <c r="G817">
        <v>1.43</v>
      </c>
      <c r="H817">
        <v>6.35</v>
      </c>
      <c r="I817">
        <v>7.78</v>
      </c>
      <c r="J817" t="s">
        <v>353</v>
      </c>
      <c r="K817" t="str">
        <f t="shared" si="29"/>
        <v>breanna10</v>
      </c>
      <c r="L817">
        <f t="shared" si="30"/>
        <v>40.322499999999998</v>
      </c>
    </row>
    <row r="818" spans="1:12" x14ac:dyDescent="0.25">
      <c r="A818">
        <v>10</v>
      </c>
      <c r="B818" t="s">
        <v>216</v>
      </c>
      <c r="C818" t="s">
        <v>10</v>
      </c>
      <c r="D818" s="1" t="s">
        <v>1170</v>
      </c>
      <c r="E818">
        <v>16.86</v>
      </c>
      <c r="F818">
        <v>22.96</v>
      </c>
      <c r="G818">
        <v>6.08</v>
      </c>
      <c r="H818">
        <v>8.44</v>
      </c>
      <c r="I818">
        <v>14.52</v>
      </c>
      <c r="J818" t="s">
        <v>354</v>
      </c>
      <c r="K818" t="str">
        <f t="shared" si="29"/>
        <v>joseph10</v>
      </c>
      <c r="L818">
        <f t="shared" si="30"/>
        <v>71.233599999999996</v>
      </c>
    </row>
    <row r="819" spans="1:12" x14ac:dyDescent="0.25">
      <c r="A819">
        <v>10</v>
      </c>
      <c r="B819" t="s">
        <v>16</v>
      </c>
      <c r="C819" t="s">
        <v>10</v>
      </c>
      <c r="D819" s="1" t="s">
        <v>1171</v>
      </c>
      <c r="E819">
        <v>14.13</v>
      </c>
      <c r="F819">
        <v>19.34</v>
      </c>
      <c r="G819">
        <v>7.36</v>
      </c>
      <c r="H819">
        <v>5.99</v>
      </c>
      <c r="I819">
        <v>13.35</v>
      </c>
      <c r="J819" t="s">
        <v>354</v>
      </c>
      <c r="K819" t="str">
        <f t="shared" si="29"/>
        <v>joseph10</v>
      </c>
      <c r="L819">
        <f t="shared" si="30"/>
        <v>35.880100000000006</v>
      </c>
    </row>
    <row r="820" spans="1:12" x14ac:dyDescent="0.25">
      <c r="A820">
        <v>10</v>
      </c>
      <c r="B820" t="s">
        <v>74</v>
      </c>
      <c r="C820" t="s">
        <v>10</v>
      </c>
      <c r="D820" s="1" t="s">
        <v>1172</v>
      </c>
      <c r="E820">
        <v>11.68</v>
      </c>
      <c r="F820">
        <v>18.73</v>
      </c>
      <c r="G820">
        <v>2.37</v>
      </c>
      <c r="H820">
        <v>8.18</v>
      </c>
      <c r="I820">
        <v>10.55</v>
      </c>
      <c r="J820" t="s">
        <v>354</v>
      </c>
      <c r="K820" t="str">
        <f t="shared" si="29"/>
        <v>joseph10</v>
      </c>
      <c r="L820">
        <f t="shared" si="30"/>
        <v>66.912399999999991</v>
      </c>
    </row>
    <row r="821" spans="1:12" x14ac:dyDescent="0.25">
      <c r="A821">
        <v>10</v>
      </c>
      <c r="B821" t="s">
        <v>75</v>
      </c>
      <c r="C821" t="s">
        <v>10</v>
      </c>
      <c r="D821" s="1" t="s">
        <v>1173</v>
      </c>
      <c r="E821">
        <v>18.09</v>
      </c>
      <c r="F821">
        <v>26.29</v>
      </c>
      <c r="G821">
        <v>6.01</v>
      </c>
      <c r="H821">
        <v>10.14</v>
      </c>
      <c r="I821">
        <v>16.149999999999999</v>
      </c>
      <c r="J821" t="s">
        <v>355</v>
      </c>
      <c r="K821" t="str">
        <f t="shared" si="29"/>
        <v>alyssa10</v>
      </c>
      <c r="L821">
        <f t="shared" si="30"/>
        <v>102.81960000000001</v>
      </c>
    </row>
    <row r="822" spans="1:12" x14ac:dyDescent="0.25">
      <c r="A822">
        <v>10</v>
      </c>
      <c r="B822" t="s">
        <v>28</v>
      </c>
      <c r="C822" t="s">
        <v>10</v>
      </c>
      <c r="D822" s="1" t="s">
        <v>1174</v>
      </c>
      <c r="E822">
        <v>16.68</v>
      </c>
      <c r="F822">
        <v>22.45</v>
      </c>
      <c r="G822">
        <v>5.33</v>
      </c>
      <c r="H822">
        <v>8.56</v>
      </c>
      <c r="I822">
        <v>13.89</v>
      </c>
      <c r="J822" t="s">
        <v>355</v>
      </c>
      <c r="K822" t="str">
        <f t="shared" si="29"/>
        <v>alyssa10</v>
      </c>
      <c r="L822">
        <f t="shared" si="30"/>
        <v>73.273600000000002</v>
      </c>
    </row>
    <row r="823" spans="1:12" x14ac:dyDescent="0.25">
      <c r="A823">
        <v>10</v>
      </c>
      <c r="B823" t="s">
        <v>202</v>
      </c>
      <c r="C823" t="s">
        <v>10</v>
      </c>
      <c r="D823" s="1" t="s">
        <v>1175</v>
      </c>
      <c r="E823">
        <v>9.25</v>
      </c>
      <c r="F823">
        <v>13.62</v>
      </c>
      <c r="G823">
        <v>2.2599999999999998</v>
      </c>
      <c r="H823">
        <v>5.68</v>
      </c>
      <c r="I823">
        <v>7.94</v>
      </c>
      <c r="J823" t="s">
        <v>355</v>
      </c>
      <c r="K823" t="str">
        <f t="shared" si="29"/>
        <v>alyssa10</v>
      </c>
      <c r="L823">
        <f t="shared" si="30"/>
        <v>32.2624</v>
      </c>
    </row>
    <row r="824" spans="1:12" x14ac:dyDescent="0.25">
      <c r="A824">
        <v>10</v>
      </c>
      <c r="B824" t="s">
        <v>160</v>
      </c>
      <c r="C824" t="s">
        <v>10</v>
      </c>
      <c r="D824" s="1" t="s">
        <v>1176</v>
      </c>
      <c r="E824">
        <v>13.07</v>
      </c>
      <c r="F824">
        <v>17.27</v>
      </c>
      <c r="G824">
        <v>5.75</v>
      </c>
      <c r="H824">
        <v>5.76</v>
      </c>
      <c r="I824">
        <v>11.51</v>
      </c>
      <c r="J824" t="s">
        <v>356</v>
      </c>
      <c r="K824" t="str">
        <f t="shared" si="29"/>
        <v>chris10</v>
      </c>
      <c r="L824">
        <f t="shared" si="30"/>
        <v>33.177599999999998</v>
      </c>
    </row>
    <row r="825" spans="1:12" x14ac:dyDescent="0.25">
      <c r="A825">
        <v>10</v>
      </c>
      <c r="B825" t="s">
        <v>25</v>
      </c>
      <c r="C825" t="s">
        <v>10</v>
      </c>
      <c r="D825" s="1" t="s">
        <v>1177</v>
      </c>
      <c r="E825">
        <v>10.08</v>
      </c>
      <c r="F825">
        <v>13.64</v>
      </c>
      <c r="G825">
        <v>4.5</v>
      </c>
      <c r="H825">
        <v>4.57</v>
      </c>
      <c r="I825">
        <v>9.07</v>
      </c>
      <c r="J825" t="s">
        <v>356</v>
      </c>
      <c r="K825" t="str">
        <f t="shared" si="29"/>
        <v>chris10</v>
      </c>
      <c r="L825">
        <f t="shared" si="30"/>
        <v>20.884900000000002</v>
      </c>
    </row>
    <row r="826" spans="1:12" x14ac:dyDescent="0.25">
      <c r="A826">
        <v>10</v>
      </c>
      <c r="B826" t="s">
        <v>158</v>
      </c>
      <c r="C826" t="s">
        <v>10</v>
      </c>
      <c r="D826" s="1" t="s">
        <v>1178</v>
      </c>
      <c r="E826">
        <v>21.4</v>
      </c>
      <c r="F826">
        <v>28.34</v>
      </c>
      <c r="G826">
        <v>10.42</v>
      </c>
      <c r="H826">
        <v>8.9600000000000009</v>
      </c>
      <c r="I826">
        <v>19.38</v>
      </c>
      <c r="J826" t="s">
        <v>357</v>
      </c>
      <c r="K826" t="str">
        <f t="shared" si="29"/>
        <v>jordan10</v>
      </c>
      <c r="L826">
        <f t="shared" si="30"/>
        <v>80.281600000000012</v>
      </c>
    </row>
    <row r="827" spans="1:12" x14ac:dyDescent="0.25">
      <c r="A827">
        <v>10</v>
      </c>
      <c r="B827" t="s">
        <v>284</v>
      </c>
      <c r="C827" t="s">
        <v>10</v>
      </c>
      <c r="D827" s="1" t="s">
        <v>1179</v>
      </c>
      <c r="E827">
        <v>13.42</v>
      </c>
      <c r="F827">
        <v>20.9</v>
      </c>
      <c r="G827">
        <v>3.52</v>
      </c>
      <c r="H827">
        <v>8.69</v>
      </c>
      <c r="I827">
        <v>12.21</v>
      </c>
      <c r="J827" t="s">
        <v>357</v>
      </c>
      <c r="K827" t="str">
        <f t="shared" si="29"/>
        <v>jordan10</v>
      </c>
      <c r="L827">
        <f t="shared" si="30"/>
        <v>75.516099999999994</v>
      </c>
    </row>
    <row r="828" spans="1:12" x14ac:dyDescent="0.25">
      <c r="A828">
        <v>10</v>
      </c>
      <c r="B828" t="s">
        <v>157</v>
      </c>
      <c r="C828" t="s">
        <v>10</v>
      </c>
      <c r="D828" s="1" t="s">
        <v>1180</v>
      </c>
      <c r="E828">
        <v>9.67</v>
      </c>
      <c r="F828">
        <v>16.03</v>
      </c>
      <c r="G828">
        <v>2.4900000000000002</v>
      </c>
      <c r="H828">
        <v>6.77</v>
      </c>
      <c r="I828">
        <v>9.26</v>
      </c>
      <c r="J828" t="s">
        <v>357</v>
      </c>
      <c r="K828" t="str">
        <f t="shared" si="29"/>
        <v>jordan10</v>
      </c>
      <c r="L828">
        <f t="shared" si="30"/>
        <v>45.832899999999995</v>
      </c>
    </row>
    <row r="829" spans="1:12" x14ac:dyDescent="0.25">
      <c r="A829">
        <v>10</v>
      </c>
      <c r="B829" t="s">
        <v>12</v>
      </c>
      <c r="C829" t="s">
        <v>10</v>
      </c>
      <c r="D829" s="1" t="s">
        <v>1181</v>
      </c>
      <c r="E829">
        <v>13.79</v>
      </c>
      <c r="F829">
        <v>19.54</v>
      </c>
      <c r="G829">
        <v>5.22</v>
      </c>
      <c r="H829">
        <v>7.16</v>
      </c>
      <c r="I829">
        <v>12.38</v>
      </c>
      <c r="J829" t="s">
        <v>358</v>
      </c>
      <c r="K829" t="str">
        <f t="shared" si="29"/>
        <v>alex10</v>
      </c>
      <c r="L829">
        <f t="shared" si="30"/>
        <v>51.265599999999999</v>
      </c>
    </row>
    <row r="830" spans="1:12" x14ac:dyDescent="0.25">
      <c r="A830">
        <v>10</v>
      </c>
      <c r="B830" t="s">
        <v>388</v>
      </c>
      <c r="C830" t="s">
        <v>10</v>
      </c>
      <c r="D830" s="1" t="s">
        <v>1182</v>
      </c>
      <c r="E830">
        <v>3.91</v>
      </c>
      <c r="F830">
        <v>6.28</v>
      </c>
      <c r="G830">
        <v>0.08</v>
      </c>
      <c r="H830">
        <v>3.1</v>
      </c>
      <c r="I830">
        <v>3.18</v>
      </c>
      <c r="J830" t="s">
        <v>358</v>
      </c>
      <c r="K830" t="str">
        <f t="shared" si="29"/>
        <v>alex10</v>
      </c>
      <c r="L830">
        <f t="shared" si="30"/>
        <v>9.6100000000000012</v>
      </c>
    </row>
    <row r="831" spans="1:12" x14ac:dyDescent="0.25">
      <c r="A831">
        <v>10</v>
      </c>
      <c r="B831" t="s">
        <v>152</v>
      </c>
      <c r="C831" t="s">
        <v>10</v>
      </c>
      <c r="D831" s="1" t="s">
        <v>1183</v>
      </c>
      <c r="E831">
        <v>17.329999999999998</v>
      </c>
      <c r="F831">
        <v>22.14</v>
      </c>
      <c r="G831">
        <v>7.42</v>
      </c>
      <c r="H831">
        <v>7.36</v>
      </c>
      <c r="I831">
        <v>14.78</v>
      </c>
      <c r="J831" t="s">
        <v>359</v>
      </c>
      <c r="K831" t="str">
        <f t="shared" si="29"/>
        <v>colin10</v>
      </c>
      <c r="L831">
        <f t="shared" si="30"/>
        <v>54.169600000000003</v>
      </c>
    </row>
    <row r="832" spans="1:12" x14ac:dyDescent="0.25">
      <c r="A832">
        <v>10</v>
      </c>
      <c r="B832" t="s">
        <v>264</v>
      </c>
      <c r="C832" t="s">
        <v>10</v>
      </c>
      <c r="D832" s="1" t="s">
        <v>1184</v>
      </c>
      <c r="E832">
        <v>5.88</v>
      </c>
      <c r="F832">
        <v>10.15</v>
      </c>
      <c r="G832">
        <v>0.47</v>
      </c>
      <c r="H832">
        <v>4.84</v>
      </c>
      <c r="I832">
        <v>5.31</v>
      </c>
      <c r="J832" t="s">
        <v>359</v>
      </c>
      <c r="K832" t="str">
        <f t="shared" si="29"/>
        <v>colin10</v>
      </c>
      <c r="L832">
        <f t="shared" si="30"/>
        <v>23.425599999999999</v>
      </c>
    </row>
    <row r="833" spans="1:12" x14ac:dyDescent="0.25">
      <c r="A833">
        <v>10</v>
      </c>
      <c r="B833" t="s">
        <v>13</v>
      </c>
      <c r="C833" t="s">
        <v>10</v>
      </c>
      <c r="D833" s="1" t="s">
        <v>1185</v>
      </c>
      <c r="E833">
        <v>13.84</v>
      </c>
      <c r="F833">
        <v>17.72</v>
      </c>
      <c r="G833">
        <v>7.08</v>
      </c>
      <c r="H833">
        <v>5.32</v>
      </c>
      <c r="I833">
        <v>12.4</v>
      </c>
      <c r="J833" t="s">
        <v>360</v>
      </c>
      <c r="K833" t="str">
        <f t="shared" si="29"/>
        <v>paul10</v>
      </c>
      <c r="L833">
        <f t="shared" si="30"/>
        <v>28.302400000000002</v>
      </c>
    </row>
    <row r="834" spans="1:12" x14ac:dyDescent="0.25">
      <c r="A834">
        <v>10</v>
      </c>
      <c r="B834" t="s">
        <v>115</v>
      </c>
      <c r="C834" t="s">
        <v>10</v>
      </c>
      <c r="D834" s="1" t="s">
        <v>1186</v>
      </c>
      <c r="E834">
        <v>13.11</v>
      </c>
      <c r="F834">
        <v>17.5</v>
      </c>
      <c r="G834">
        <v>5.7</v>
      </c>
      <c r="H834">
        <v>5.9</v>
      </c>
      <c r="I834">
        <v>11.6</v>
      </c>
      <c r="J834" t="s">
        <v>360</v>
      </c>
      <c r="K834" t="str">
        <f t="shared" si="29"/>
        <v>paul10</v>
      </c>
      <c r="L834">
        <f t="shared" si="30"/>
        <v>34.81</v>
      </c>
    </row>
    <row r="835" spans="1:12" x14ac:dyDescent="0.25">
      <c r="A835">
        <v>10</v>
      </c>
      <c r="B835" t="s">
        <v>308</v>
      </c>
      <c r="C835" t="s">
        <v>10</v>
      </c>
      <c r="D835" s="1" t="s">
        <v>1187</v>
      </c>
      <c r="E835">
        <v>12.83</v>
      </c>
      <c r="F835">
        <v>19.37</v>
      </c>
      <c r="G835">
        <v>3.25</v>
      </c>
      <c r="H835">
        <v>8.06</v>
      </c>
      <c r="I835">
        <v>11.31</v>
      </c>
      <c r="J835" t="s">
        <v>360</v>
      </c>
      <c r="K835" t="str">
        <f t="shared" ref="K835:K898" si="31">J835&amp;A835</f>
        <v>paul10</v>
      </c>
      <c r="L835">
        <f t="shared" ref="L835:L898" si="32">H835^2</f>
        <v>64.963600000000014</v>
      </c>
    </row>
    <row r="836" spans="1:12" x14ac:dyDescent="0.25">
      <c r="A836">
        <v>10</v>
      </c>
      <c r="B836" t="s">
        <v>41</v>
      </c>
      <c r="C836" t="s">
        <v>32</v>
      </c>
      <c r="D836" s="1" t="s">
        <v>1188</v>
      </c>
      <c r="E836">
        <v>18.12</v>
      </c>
      <c r="F836">
        <v>22.16</v>
      </c>
      <c r="G836">
        <v>7.02</v>
      </c>
      <c r="H836">
        <v>7.57</v>
      </c>
      <c r="I836">
        <v>14.59</v>
      </c>
      <c r="J836" t="s">
        <v>351</v>
      </c>
      <c r="K836" t="str">
        <f t="shared" si="31"/>
        <v>andrew10</v>
      </c>
      <c r="L836">
        <f t="shared" si="32"/>
        <v>57.304900000000004</v>
      </c>
    </row>
    <row r="837" spans="1:12" x14ac:dyDescent="0.25">
      <c r="A837">
        <v>10</v>
      </c>
      <c r="B837" t="s">
        <v>72</v>
      </c>
      <c r="C837" t="s">
        <v>32</v>
      </c>
      <c r="D837" s="1" t="s">
        <v>1189</v>
      </c>
      <c r="E837">
        <v>15.92</v>
      </c>
      <c r="F837">
        <v>20.350000000000001</v>
      </c>
      <c r="G837">
        <v>5.1100000000000003</v>
      </c>
      <c r="H837">
        <v>7.62</v>
      </c>
      <c r="I837">
        <v>12.73</v>
      </c>
      <c r="J837" t="s">
        <v>351</v>
      </c>
      <c r="K837" t="str">
        <f t="shared" si="31"/>
        <v>andrew10</v>
      </c>
      <c r="L837">
        <f t="shared" si="32"/>
        <v>58.064399999999999</v>
      </c>
    </row>
    <row r="838" spans="1:12" x14ac:dyDescent="0.25">
      <c r="A838">
        <v>10</v>
      </c>
      <c r="B838" t="s">
        <v>162</v>
      </c>
      <c r="C838" t="s">
        <v>32</v>
      </c>
      <c r="D838" s="1" t="s">
        <v>1190</v>
      </c>
      <c r="E838">
        <v>12.57</v>
      </c>
      <c r="F838">
        <v>16.16</v>
      </c>
      <c r="G838">
        <v>4.0199999999999996</v>
      </c>
      <c r="H838">
        <v>6.07</v>
      </c>
      <c r="I838">
        <v>10.09</v>
      </c>
      <c r="J838" t="s">
        <v>351</v>
      </c>
      <c r="K838" t="str">
        <f t="shared" si="31"/>
        <v>andrew10</v>
      </c>
      <c r="L838">
        <f t="shared" si="32"/>
        <v>36.844900000000003</v>
      </c>
    </row>
    <row r="839" spans="1:12" x14ac:dyDescent="0.25">
      <c r="A839">
        <v>10</v>
      </c>
      <c r="B839" t="s">
        <v>33</v>
      </c>
      <c r="C839" t="s">
        <v>32</v>
      </c>
      <c r="D839" s="1" t="s">
        <v>1191</v>
      </c>
      <c r="E839">
        <v>16.559999999999999</v>
      </c>
      <c r="F839">
        <v>21.3</v>
      </c>
      <c r="G839">
        <v>5.08</v>
      </c>
      <c r="H839">
        <v>8.11</v>
      </c>
      <c r="I839">
        <v>13.19</v>
      </c>
      <c r="J839" t="s">
        <v>352</v>
      </c>
      <c r="K839" t="str">
        <f t="shared" si="31"/>
        <v>jake10</v>
      </c>
      <c r="L839">
        <f t="shared" si="32"/>
        <v>65.772099999999995</v>
      </c>
    </row>
    <row r="840" spans="1:12" x14ac:dyDescent="0.25">
      <c r="A840">
        <v>10</v>
      </c>
      <c r="B840" t="s">
        <v>45</v>
      </c>
      <c r="C840" t="s">
        <v>32</v>
      </c>
      <c r="D840" s="1" t="s">
        <v>1192</v>
      </c>
      <c r="E840">
        <v>13.48</v>
      </c>
      <c r="F840">
        <v>15.51</v>
      </c>
      <c r="G840">
        <v>4.55</v>
      </c>
      <c r="H840">
        <v>5.48</v>
      </c>
      <c r="I840">
        <v>10.029999999999999</v>
      </c>
      <c r="J840" t="s">
        <v>352</v>
      </c>
      <c r="K840" t="str">
        <f t="shared" si="31"/>
        <v>jake10</v>
      </c>
      <c r="L840">
        <f t="shared" si="32"/>
        <v>30.030400000000004</v>
      </c>
    </row>
    <row r="841" spans="1:12" x14ac:dyDescent="0.25">
      <c r="A841">
        <v>10</v>
      </c>
      <c r="B841" t="s">
        <v>285</v>
      </c>
      <c r="C841" t="s">
        <v>32</v>
      </c>
      <c r="D841" s="1" t="s">
        <v>1193</v>
      </c>
      <c r="E841">
        <v>12.84</v>
      </c>
      <c r="F841">
        <v>18.010000000000002</v>
      </c>
      <c r="G841">
        <v>1.79</v>
      </c>
      <c r="H841">
        <v>8.11</v>
      </c>
      <c r="I841">
        <v>9.9</v>
      </c>
      <c r="J841" t="s">
        <v>352</v>
      </c>
      <c r="K841" t="str">
        <f t="shared" si="31"/>
        <v>jake10</v>
      </c>
      <c r="L841">
        <f t="shared" si="32"/>
        <v>65.772099999999995</v>
      </c>
    </row>
    <row r="842" spans="1:12" x14ac:dyDescent="0.25">
      <c r="A842">
        <v>10</v>
      </c>
      <c r="B842" t="s">
        <v>48</v>
      </c>
      <c r="C842" t="s">
        <v>32</v>
      </c>
      <c r="D842" s="1" t="s">
        <v>1194</v>
      </c>
      <c r="E842">
        <v>12.89</v>
      </c>
      <c r="F842">
        <v>16.559999999999999</v>
      </c>
      <c r="G842">
        <v>4.9800000000000004</v>
      </c>
      <c r="H842">
        <v>5.79</v>
      </c>
      <c r="I842">
        <v>10.77</v>
      </c>
      <c r="J842" t="s">
        <v>353</v>
      </c>
      <c r="K842" t="str">
        <f t="shared" si="31"/>
        <v>breanna10</v>
      </c>
      <c r="L842">
        <f t="shared" si="32"/>
        <v>33.524099999999997</v>
      </c>
    </row>
    <row r="843" spans="1:12" x14ac:dyDescent="0.25">
      <c r="A843">
        <v>10</v>
      </c>
      <c r="B843" t="s">
        <v>44</v>
      </c>
      <c r="C843" t="s">
        <v>32</v>
      </c>
      <c r="D843" s="1" t="s">
        <v>1195</v>
      </c>
      <c r="E843">
        <v>12.99</v>
      </c>
      <c r="F843">
        <v>17.7</v>
      </c>
      <c r="G843">
        <v>2.2400000000000002</v>
      </c>
      <c r="H843">
        <v>7.73</v>
      </c>
      <c r="I843">
        <v>9.9700000000000006</v>
      </c>
      <c r="J843" t="s">
        <v>353</v>
      </c>
      <c r="K843" t="str">
        <f t="shared" si="31"/>
        <v>breanna10</v>
      </c>
      <c r="L843">
        <f t="shared" si="32"/>
        <v>59.752900000000004</v>
      </c>
    </row>
    <row r="844" spans="1:12" x14ac:dyDescent="0.25">
      <c r="A844">
        <v>10</v>
      </c>
      <c r="B844" t="s">
        <v>165</v>
      </c>
      <c r="C844" t="s">
        <v>32</v>
      </c>
      <c r="D844" s="1" t="s">
        <v>1196</v>
      </c>
      <c r="E844">
        <v>10.119999999999999</v>
      </c>
      <c r="F844">
        <v>14.05</v>
      </c>
      <c r="G844">
        <v>2.0099999999999998</v>
      </c>
      <c r="H844">
        <v>6.02</v>
      </c>
      <c r="I844">
        <v>8.0299999999999994</v>
      </c>
      <c r="J844" t="s">
        <v>353</v>
      </c>
      <c r="K844" t="str">
        <f t="shared" si="31"/>
        <v>breanna10</v>
      </c>
      <c r="L844">
        <f t="shared" si="32"/>
        <v>36.240399999999994</v>
      </c>
    </row>
    <row r="845" spans="1:12" x14ac:dyDescent="0.25">
      <c r="A845">
        <v>10</v>
      </c>
      <c r="B845" t="s">
        <v>43</v>
      </c>
      <c r="C845" t="s">
        <v>32</v>
      </c>
      <c r="D845" s="1" t="s">
        <v>1197</v>
      </c>
      <c r="E845">
        <v>15.18</v>
      </c>
      <c r="F845">
        <v>20.399999999999999</v>
      </c>
      <c r="G845">
        <v>4.38</v>
      </c>
      <c r="H845">
        <v>8.01</v>
      </c>
      <c r="I845">
        <v>12.39</v>
      </c>
      <c r="J845" t="s">
        <v>354</v>
      </c>
      <c r="K845" t="str">
        <f t="shared" si="31"/>
        <v>joseph10</v>
      </c>
      <c r="L845">
        <f t="shared" si="32"/>
        <v>64.1601</v>
      </c>
    </row>
    <row r="846" spans="1:12" x14ac:dyDescent="0.25">
      <c r="A846">
        <v>10</v>
      </c>
      <c r="B846" t="s">
        <v>750</v>
      </c>
      <c r="C846" t="s">
        <v>32</v>
      </c>
      <c r="D846" s="1" t="s">
        <v>1198</v>
      </c>
      <c r="E846">
        <v>12.55</v>
      </c>
      <c r="F846">
        <v>17.66</v>
      </c>
      <c r="G846">
        <v>0.94</v>
      </c>
      <c r="H846">
        <v>8.36</v>
      </c>
      <c r="I846">
        <v>9.3000000000000007</v>
      </c>
      <c r="J846" t="s">
        <v>354</v>
      </c>
      <c r="K846" t="str">
        <f t="shared" si="31"/>
        <v>joseph10</v>
      </c>
      <c r="L846">
        <f t="shared" si="32"/>
        <v>69.889599999999987</v>
      </c>
    </row>
    <row r="847" spans="1:12" x14ac:dyDescent="0.25">
      <c r="A847">
        <v>10</v>
      </c>
      <c r="B847" t="s">
        <v>69</v>
      </c>
      <c r="C847" t="s">
        <v>32</v>
      </c>
      <c r="D847" s="1" t="s">
        <v>1199</v>
      </c>
      <c r="E847">
        <v>15.88</v>
      </c>
      <c r="F847">
        <v>19.53</v>
      </c>
      <c r="G847">
        <v>5.21</v>
      </c>
      <c r="H847">
        <v>7.16</v>
      </c>
      <c r="I847">
        <v>12.37</v>
      </c>
      <c r="J847" t="s">
        <v>355</v>
      </c>
      <c r="K847" t="str">
        <f t="shared" si="31"/>
        <v>alyssa10</v>
      </c>
      <c r="L847">
        <f t="shared" si="32"/>
        <v>51.265599999999999</v>
      </c>
    </row>
    <row r="848" spans="1:12" x14ac:dyDescent="0.25">
      <c r="A848">
        <v>10</v>
      </c>
      <c r="B848" t="s">
        <v>76</v>
      </c>
      <c r="C848" t="s">
        <v>32</v>
      </c>
      <c r="D848" s="1" t="s">
        <v>1200</v>
      </c>
      <c r="E848">
        <v>11.17</v>
      </c>
      <c r="F848">
        <v>15.03</v>
      </c>
      <c r="G848">
        <v>3.33</v>
      </c>
      <c r="H848">
        <v>5.85</v>
      </c>
      <c r="I848">
        <v>9.18</v>
      </c>
      <c r="J848" t="s">
        <v>355</v>
      </c>
      <c r="K848" t="str">
        <f t="shared" si="31"/>
        <v>alyssa10</v>
      </c>
      <c r="L848">
        <f t="shared" si="32"/>
        <v>34.222499999999997</v>
      </c>
    </row>
    <row r="849" spans="1:12" x14ac:dyDescent="0.25">
      <c r="A849">
        <v>10</v>
      </c>
      <c r="B849" t="s">
        <v>47</v>
      </c>
      <c r="C849" t="s">
        <v>32</v>
      </c>
      <c r="D849" s="1" t="s">
        <v>1201</v>
      </c>
      <c r="E849">
        <v>14.58</v>
      </c>
      <c r="F849">
        <v>18.28</v>
      </c>
      <c r="G849">
        <v>5.34</v>
      </c>
      <c r="H849">
        <v>6.47</v>
      </c>
      <c r="I849">
        <v>11.81</v>
      </c>
      <c r="J849" t="s">
        <v>356</v>
      </c>
      <c r="K849" t="str">
        <f t="shared" si="31"/>
        <v>chris10</v>
      </c>
      <c r="L849">
        <f t="shared" si="32"/>
        <v>41.860899999999994</v>
      </c>
    </row>
    <row r="850" spans="1:12" x14ac:dyDescent="0.25">
      <c r="A850">
        <v>10</v>
      </c>
      <c r="B850" t="s">
        <v>224</v>
      </c>
      <c r="C850" t="s">
        <v>32</v>
      </c>
      <c r="D850" s="1" t="s">
        <v>1202</v>
      </c>
      <c r="E850">
        <v>8.5500000000000007</v>
      </c>
      <c r="F850">
        <v>12.1</v>
      </c>
      <c r="G850">
        <v>1.3</v>
      </c>
      <c r="H850">
        <v>5.4</v>
      </c>
      <c r="I850">
        <v>6.7</v>
      </c>
      <c r="J850" t="s">
        <v>356</v>
      </c>
      <c r="K850" t="str">
        <f t="shared" si="31"/>
        <v>chris10</v>
      </c>
      <c r="L850">
        <f t="shared" si="32"/>
        <v>29.160000000000004</v>
      </c>
    </row>
    <row r="851" spans="1:12" x14ac:dyDescent="0.25">
      <c r="A851">
        <v>10</v>
      </c>
      <c r="B851" t="s">
        <v>70</v>
      </c>
      <c r="C851" t="s">
        <v>32</v>
      </c>
      <c r="D851" s="1" t="s">
        <v>1203</v>
      </c>
      <c r="E851">
        <v>7.71</v>
      </c>
      <c r="F851">
        <v>10.39</v>
      </c>
      <c r="G851">
        <v>1.1299999999999999</v>
      </c>
      <c r="H851">
        <v>4.63</v>
      </c>
      <c r="I851">
        <v>5.76</v>
      </c>
      <c r="J851" t="s">
        <v>356</v>
      </c>
      <c r="K851" t="str">
        <f t="shared" si="31"/>
        <v>chris10</v>
      </c>
      <c r="L851">
        <f t="shared" si="32"/>
        <v>21.436899999999998</v>
      </c>
    </row>
    <row r="852" spans="1:12" x14ac:dyDescent="0.25">
      <c r="A852">
        <v>10</v>
      </c>
      <c r="B852" t="s">
        <v>35</v>
      </c>
      <c r="C852" t="s">
        <v>32</v>
      </c>
      <c r="D852" s="1" t="s">
        <v>1204</v>
      </c>
      <c r="E852">
        <v>13.67</v>
      </c>
      <c r="F852">
        <v>17.59</v>
      </c>
      <c r="G852">
        <v>2.91</v>
      </c>
      <c r="H852">
        <v>7.34</v>
      </c>
      <c r="I852">
        <v>10.25</v>
      </c>
      <c r="J852" t="s">
        <v>357</v>
      </c>
      <c r="K852" t="str">
        <f t="shared" si="31"/>
        <v>jordan10</v>
      </c>
      <c r="L852">
        <f t="shared" si="32"/>
        <v>53.875599999999999</v>
      </c>
    </row>
    <row r="853" spans="1:12" x14ac:dyDescent="0.25">
      <c r="A853">
        <v>10</v>
      </c>
      <c r="B853" t="s">
        <v>222</v>
      </c>
      <c r="C853" t="s">
        <v>32</v>
      </c>
      <c r="D853" s="1" t="s">
        <v>1205</v>
      </c>
      <c r="E853">
        <v>9.6</v>
      </c>
      <c r="F853">
        <v>14.54</v>
      </c>
      <c r="G853">
        <v>0.66</v>
      </c>
      <c r="H853">
        <v>6.94</v>
      </c>
      <c r="I853">
        <v>7.6</v>
      </c>
      <c r="J853" t="s">
        <v>357</v>
      </c>
      <c r="K853" t="str">
        <f t="shared" si="31"/>
        <v>jordan10</v>
      </c>
      <c r="L853">
        <f t="shared" si="32"/>
        <v>48.163600000000002</v>
      </c>
    </row>
    <row r="854" spans="1:12" x14ac:dyDescent="0.25">
      <c r="A854">
        <v>10</v>
      </c>
      <c r="B854" t="s">
        <v>184</v>
      </c>
      <c r="C854" t="s">
        <v>32</v>
      </c>
      <c r="D854" s="1" t="s">
        <v>1206</v>
      </c>
      <c r="E854">
        <v>18.559999999999999</v>
      </c>
      <c r="F854">
        <v>26.79</v>
      </c>
      <c r="G854">
        <v>3.19</v>
      </c>
      <c r="H854">
        <v>11.8</v>
      </c>
      <c r="I854">
        <v>14.99</v>
      </c>
      <c r="J854" t="s">
        <v>358</v>
      </c>
      <c r="K854" t="str">
        <f t="shared" si="31"/>
        <v>alex10</v>
      </c>
      <c r="L854">
        <f t="shared" si="32"/>
        <v>139.24</v>
      </c>
    </row>
    <row r="855" spans="1:12" x14ac:dyDescent="0.25">
      <c r="A855">
        <v>10</v>
      </c>
      <c r="B855" t="s">
        <v>34</v>
      </c>
      <c r="C855" t="s">
        <v>32</v>
      </c>
      <c r="D855" s="1" t="s">
        <v>1207</v>
      </c>
      <c r="E855">
        <v>17.66</v>
      </c>
      <c r="F855">
        <v>22.52</v>
      </c>
      <c r="G855">
        <v>6.42</v>
      </c>
      <c r="H855">
        <v>8.0500000000000007</v>
      </c>
      <c r="I855">
        <v>14.47</v>
      </c>
      <c r="J855" t="s">
        <v>358</v>
      </c>
      <c r="K855" t="str">
        <f t="shared" si="31"/>
        <v>alex10</v>
      </c>
      <c r="L855">
        <f t="shared" si="32"/>
        <v>64.802500000000009</v>
      </c>
    </row>
    <row r="856" spans="1:12" x14ac:dyDescent="0.25">
      <c r="A856">
        <v>10</v>
      </c>
      <c r="B856" t="s">
        <v>453</v>
      </c>
      <c r="C856" t="s">
        <v>32</v>
      </c>
      <c r="D856" s="1" t="s">
        <v>1208</v>
      </c>
      <c r="E856">
        <v>11.19</v>
      </c>
      <c r="F856">
        <v>15.65</v>
      </c>
      <c r="G856">
        <v>2.4700000000000002</v>
      </c>
      <c r="H856">
        <v>6.59</v>
      </c>
      <c r="I856">
        <v>9.06</v>
      </c>
      <c r="J856" t="s">
        <v>358</v>
      </c>
      <c r="K856" t="str">
        <f t="shared" si="31"/>
        <v>alex10</v>
      </c>
      <c r="L856">
        <f t="shared" si="32"/>
        <v>43.428100000000001</v>
      </c>
    </row>
    <row r="857" spans="1:12" x14ac:dyDescent="0.25">
      <c r="A857">
        <v>10</v>
      </c>
      <c r="B857" t="s">
        <v>234</v>
      </c>
      <c r="C857" t="s">
        <v>32</v>
      </c>
      <c r="D857" s="1" t="s">
        <v>1209</v>
      </c>
      <c r="E857">
        <v>10.68</v>
      </c>
      <c r="F857">
        <v>13.6</v>
      </c>
      <c r="G857">
        <v>3.3</v>
      </c>
      <c r="H857">
        <v>5.15</v>
      </c>
      <c r="I857">
        <v>8.4499999999999993</v>
      </c>
      <c r="J857" t="s">
        <v>359</v>
      </c>
      <c r="K857" t="str">
        <f t="shared" si="31"/>
        <v>colin10</v>
      </c>
      <c r="L857">
        <f t="shared" si="32"/>
        <v>26.522500000000004</v>
      </c>
    </row>
    <row r="858" spans="1:12" x14ac:dyDescent="0.25">
      <c r="A858">
        <v>10</v>
      </c>
      <c r="B858" t="s">
        <v>183</v>
      </c>
      <c r="C858" t="s">
        <v>32</v>
      </c>
      <c r="D858" s="1" t="s">
        <v>1210</v>
      </c>
      <c r="E858">
        <v>10.27</v>
      </c>
      <c r="F858">
        <v>14.3</v>
      </c>
      <c r="G858">
        <v>1.98</v>
      </c>
      <c r="H858">
        <v>6.16</v>
      </c>
      <c r="I858">
        <v>8.14</v>
      </c>
      <c r="J858" t="s">
        <v>359</v>
      </c>
      <c r="K858" t="str">
        <f t="shared" si="31"/>
        <v>colin10</v>
      </c>
      <c r="L858">
        <f t="shared" si="32"/>
        <v>37.945599999999999</v>
      </c>
    </row>
    <row r="859" spans="1:12" x14ac:dyDescent="0.25">
      <c r="A859">
        <v>10</v>
      </c>
      <c r="B859" t="s">
        <v>161</v>
      </c>
      <c r="C859" t="s">
        <v>32</v>
      </c>
      <c r="D859" s="1" t="s">
        <v>1211</v>
      </c>
      <c r="E859">
        <v>9.09</v>
      </c>
      <c r="F859">
        <v>11.82</v>
      </c>
      <c r="G859">
        <v>2.92</v>
      </c>
      <c r="H859">
        <v>4.45</v>
      </c>
      <c r="I859">
        <v>7.37</v>
      </c>
      <c r="J859" t="s">
        <v>359</v>
      </c>
      <c r="K859" t="str">
        <f t="shared" si="31"/>
        <v>colin10</v>
      </c>
      <c r="L859">
        <f t="shared" si="32"/>
        <v>19.802500000000002</v>
      </c>
    </row>
    <row r="860" spans="1:12" x14ac:dyDescent="0.25">
      <c r="A860">
        <v>10</v>
      </c>
      <c r="B860" t="s">
        <v>49</v>
      </c>
      <c r="C860" t="s">
        <v>32</v>
      </c>
      <c r="D860" s="1" t="s">
        <v>1212</v>
      </c>
      <c r="E860">
        <v>14.47</v>
      </c>
      <c r="F860">
        <v>18.57</v>
      </c>
      <c r="G860">
        <v>4.45</v>
      </c>
      <c r="H860">
        <v>7.06</v>
      </c>
      <c r="I860">
        <v>11.51</v>
      </c>
      <c r="J860" t="s">
        <v>360</v>
      </c>
      <c r="K860" t="str">
        <f t="shared" si="31"/>
        <v>paul10</v>
      </c>
      <c r="L860">
        <f t="shared" si="32"/>
        <v>49.843599999999995</v>
      </c>
    </row>
    <row r="861" spans="1:12" x14ac:dyDescent="0.25">
      <c r="A861">
        <v>10</v>
      </c>
      <c r="B861" t="s">
        <v>38</v>
      </c>
      <c r="C861" t="s">
        <v>32</v>
      </c>
      <c r="D861" s="1" t="s">
        <v>1213</v>
      </c>
      <c r="E861">
        <v>11.98</v>
      </c>
      <c r="F861">
        <v>16.27</v>
      </c>
      <c r="G861">
        <v>3.07</v>
      </c>
      <c r="H861">
        <v>6.6</v>
      </c>
      <c r="I861">
        <v>9.67</v>
      </c>
      <c r="J861" t="s">
        <v>360</v>
      </c>
      <c r="K861" t="str">
        <f t="shared" si="31"/>
        <v>paul10</v>
      </c>
      <c r="L861">
        <f t="shared" si="32"/>
        <v>43.559999999999995</v>
      </c>
    </row>
    <row r="862" spans="1:12" x14ac:dyDescent="0.25">
      <c r="A862">
        <v>10</v>
      </c>
      <c r="B862" t="s">
        <v>248</v>
      </c>
      <c r="C862" t="s">
        <v>53</v>
      </c>
      <c r="D862" s="1" t="s">
        <v>1214</v>
      </c>
      <c r="E862">
        <v>19.29</v>
      </c>
      <c r="F862">
        <v>25.53</v>
      </c>
      <c r="G862">
        <v>11.57</v>
      </c>
      <c r="H862">
        <v>6.98</v>
      </c>
      <c r="I862">
        <v>18.55</v>
      </c>
      <c r="J862" t="s">
        <v>351</v>
      </c>
      <c r="K862" t="str">
        <f t="shared" si="31"/>
        <v>andrew10</v>
      </c>
      <c r="L862">
        <f t="shared" si="32"/>
        <v>48.720400000000005</v>
      </c>
    </row>
    <row r="863" spans="1:12" x14ac:dyDescent="0.25">
      <c r="A863">
        <v>10</v>
      </c>
      <c r="B863" t="s">
        <v>204</v>
      </c>
      <c r="C863" t="s">
        <v>53</v>
      </c>
      <c r="D863" s="1" t="s">
        <v>1215</v>
      </c>
      <c r="E863">
        <v>20.96</v>
      </c>
      <c r="F863">
        <v>26.56</v>
      </c>
      <c r="G863">
        <v>14.26</v>
      </c>
      <c r="H863">
        <v>6.15</v>
      </c>
      <c r="I863">
        <v>20.41</v>
      </c>
      <c r="J863" t="s">
        <v>352</v>
      </c>
      <c r="K863" t="str">
        <f t="shared" si="31"/>
        <v>jake10</v>
      </c>
      <c r="L863">
        <f t="shared" si="32"/>
        <v>37.822500000000005</v>
      </c>
    </row>
    <row r="864" spans="1:12" x14ac:dyDescent="0.25">
      <c r="A864">
        <v>10</v>
      </c>
      <c r="B864" t="s">
        <v>290</v>
      </c>
      <c r="C864" t="s">
        <v>53</v>
      </c>
      <c r="D864" s="1" t="s">
        <v>1216</v>
      </c>
      <c r="E864">
        <v>22.12</v>
      </c>
      <c r="F864">
        <v>27.71</v>
      </c>
      <c r="G864">
        <v>14.81</v>
      </c>
      <c r="H864">
        <v>6.45</v>
      </c>
      <c r="I864">
        <v>21.26</v>
      </c>
      <c r="J864" t="s">
        <v>353</v>
      </c>
      <c r="K864" t="str">
        <f t="shared" si="31"/>
        <v>breanna10</v>
      </c>
      <c r="L864">
        <f t="shared" si="32"/>
        <v>41.602499999999999</v>
      </c>
    </row>
    <row r="865" spans="1:12" x14ac:dyDescent="0.25">
      <c r="A865">
        <v>10</v>
      </c>
      <c r="B865" t="s">
        <v>456</v>
      </c>
      <c r="C865" t="s">
        <v>53</v>
      </c>
      <c r="D865" s="1" t="s">
        <v>1217</v>
      </c>
      <c r="E865">
        <v>16.93</v>
      </c>
      <c r="F865">
        <v>22.26</v>
      </c>
      <c r="G865">
        <v>9.82</v>
      </c>
      <c r="H865">
        <v>6.22</v>
      </c>
      <c r="I865">
        <v>16.04</v>
      </c>
      <c r="J865" t="s">
        <v>354</v>
      </c>
      <c r="K865" t="str">
        <f t="shared" si="31"/>
        <v>joseph10</v>
      </c>
      <c r="L865">
        <f t="shared" si="32"/>
        <v>38.688399999999994</v>
      </c>
    </row>
    <row r="866" spans="1:12" x14ac:dyDescent="0.25">
      <c r="A866">
        <v>10</v>
      </c>
      <c r="B866" t="s">
        <v>386</v>
      </c>
      <c r="C866" t="s">
        <v>53</v>
      </c>
      <c r="D866" s="1" t="s">
        <v>1218</v>
      </c>
      <c r="E866">
        <v>20.28</v>
      </c>
      <c r="F866">
        <v>27.1</v>
      </c>
      <c r="G866">
        <v>12.22</v>
      </c>
      <c r="H866">
        <v>7.44</v>
      </c>
      <c r="I866">
        <v>19.66</v>
      </c>
      <c r="J866" t="s">
        <v>355</v>
      </c>
      <c r="K866" t="str">
        <f t="shared" si="31"/>
        <v>alyssa10</v>
      </c>
      <c r="L866">
        <f t="shared" si="32"/>
        <v>55.353600000000007</v>
      </c>
    </row>
    <row r="867" spans="1:12" x14ac:dyDescent="0.25">
      <c r="A867">
        <v>10</v>
      </c>
      <c r="B867" t="s">
        <v>156</v>
      </c>
      <c r="C867" t="s">
        <v>53</v>
      </c>
      <c r="D867" s="1" t="s">
        <v>1219</v>
      </c>
      <c r="E867">
        <v>21.36</v>
      </c>
      <c r="F867">
        <v>27.05</v>
      </c>
      <c r="G867">
        <v>14.31</v>
      </c>
      <c r="H867">
        <v>6.37</v>
      </c>
      <c r="I867">
        <v>20.68</v>
      </c>
      <c r="J867" t="s">
        <v>356</v>
      </c>
      <c r="K867" t="str">
        <f t="shared" si="31"/>
        <v>chris10</v>
      </c>
      <c r="L867">
        <f t="shared" si="32"/>
        <v>40.576900000000002</v>
      </c>
    </row>
    <row r="868" spans="1:12" x14ac:dyDescent="0.25">
      <c r="A868">
        <v>10</v>
      </c>
      <c r="B868" t="s">
        <v>56</v>
      </c>
      <c r="C868" t="s">
        <v>53</v>
      </c>
      <c r="D868" s="1" t="s">
        <v>1220</v>
      </c>
      <c r="E868">
        <v>22.19</v>
      </c>
      <c r="F868">
        <v>29.48</v>
      </c>
      <c r="G868">
        <v>13.14</v>
      </c>
      <c r="H868">
        <v>8.17</v>
      </c>
      <c r="I868">
        <v>21.31</v>
      </c>
      <c r="J868" t="s">
        <v>357</v>
      </c>
      <c r="K868" t="str">
        <f t="shared" si="31"/>
        <v>jordan10</v>
      </c>
      <c r="L868">
        <f t="shared" si="32"/>
        <v>66.748899999999992</v>
      </c>
    </row>
    <row r="869" spans="1:12" x14ac:dyDescent="0.25">
      <c r="A869">
        <v>10</v>
      </c>
      <c r="B869" t="s">
        <v>280</v>
      </c>
      <c r="C869" t="s">
        <v>53</v>
      </c>
      <c r="D869" s="1" t="s">
        <v>1221</v>
      </c>
      <c r="E869">
        <v>19.79</v>
      </c>
      <c r="F869">
        <v>26.4</v>
      </c>
      <c r="G869">
        <v>11.72</v>
      </c>
      <c r="H869">
        <v>7.34</v>
      </c>
      <c r="I869">
        <v>19.059999999999999</v>
      </c>
      <c r="J869" t="s">
        <v>358</v>
      </c>
      <c r="K869" t="str">
        <f t="shared" si="31"/>
        <v>alex10</v>
      </c>
      <c r="L869">
        <f t="shared" si="32"/>
        <v>53.875599999999999</v>
      </c>
    </row>
    <row r="870" spans="1:12" x14ac:dyDescent="0.25">
      <c r="A870">
        <v>10</v>
      </c>
      <c r="B870" t="s">
        <v>52</v>
      </c>
      <c r="C870" t="s">
        <v>53</v>
      </c>
      <c r="D870" s="1" t="s">
        <v>1222</v>
      </c>
      <c r="E870">
        <v>22.73</v>
      </c>
      <c r="F870">
        <v>29.23</v>
      </c>
      <c r="G870">
        <v>14.43</v>
      </c>
      <c r="H870">
        <v>7.4</v>
      </c>
      <c r="I870">
        <v>21.83</v>
      </c>
      <c r="J870" t="s">
        <v>359</v>
      </c>
      <c r="K870" t="str">
        <f t="shared" si="31"/>
        <v>colin10</v>
      </c>
      <c r="L870">
        <f t="shared" si="32"/>
        <v>54.760000000000005</v>
      </c>
    </row>
    <row r="871" spans="1:12" x14ac:dyDescent="0.25">
      <c r="A871">
        <v>10</v>
      </c>
      <c r="B871" t="s">
        <v>194</v>
      </c>
      <c r="C871" t="s">
        <v>53</v>
      </c>
      <c r="D871" s="1" t="s">
        <v>1223</v>
      </c>
      <c r="E871">
        <v>22.75</v>
      </c>
      <c r="F871">
        <v>31.51</v>
      </c>
      <c r="G871">
        <v>13.29</v>
      </c>
      <c r="H871">
        <v>9.11</v>
      </c>
      <c r="I871">
        <v>22.4</v>
      </c>
      <c r="J871" t="s">
        <v>360</v>
      </c>
      <c r="K871" t="str">
        <f t="shared" si="31"/>
        <v>paul10</v>
      </c>
      <c r="L871">
        <f t="shared" si="32"/>
        <v>82.992099999999994</v>
      </c>
    </row>
    <row r="872" spans="1:12" x14ac:dyDescent="0.25">
      <c r="A872">
        <v>10</v>
      </c>
      <c r="B872" t="s">
        <v>497</v>
      </c>
      <c r="C872" t="s">
        <v>57</v>
      </c>
      <c r="D872" s="1" t="s">
        <v>1224</v>
      </c>
      <c r="E872">
        <v>6.58</v>
      </c>
      <c r="F872">
        <v>8.74</v>
      </c>
      <c r="G872">
        <v>1.22</v>
      </c>
      <c r="H872">
        <v>3.76</v>
      </c>
      <c r="I872">
        <v>4.9800000000000004</v>
      </c>
      <c r="J872" t="s">
        <v>351</v>
      </c>
      <c r="K872" t="str">
        <f t="shared" si="31"/>
        <v>andrew10</v>
      </c>
      <c r="L872">
        <f t="shared" si="32"/>
        <v>14.137599999999999</v>
      </c>
    </row>
    <row r="873" spans="1:12" x14ac:dyDescent="0.25">
      <c r="A873">
        <v>10</v>
      </c>
      <c r="B873" t="s">
        <v>60</v>
      </c>
      <c r="C873" t="s">
        <v>57</v>
      </c>
      <c r="D873" s="1" t="s">
        <v>1225</v>
      </c>
      <c r="E873">
        <v>10.210000000000001</v>
      </c>
      <c r="F873">
        <v>13.65</v>
      </c>
      <c r="G873">
        <v>2.21</v>
      </c>
      <c r="H873">
        <v>5.72</v>
      </c>
      <c r="I873">
        <v>7.93</v>
      </c>
      <c r="J873" t="s">
        <v>352</v>
      </c>
      <c r="K873" t="str">
        <f t="shared" si="31"/>
        <v>jake10</v>
      </c>
      <c r="L873">
        <f t="shared" si="32"/>
        <v>32.718399999999995</v>
      </c>
    </row>
    <row r="874" spans="1:12" x14ac:dyDescent="0.25">
      <c r="A874">
        <v>10</v>
      </c>
      <c r="B874" t="s">
        <v>368</v>
      </c>
      <c r="C874" t="s">
        <v>57</v>
      </c>
      <c r="D874" s="1" t="s">
        <v>1226</v>
      </c>
      <c r="E874">
        <v>5.52</v>
      </c>
      <c r="F874">
        <v>7.71</v>
      </c>
      <c r="G874">
        <v>0.43</v>
      </c>
      <c r="H874">
        <v>3.64</v>
      </c>
      <c r="I874">
        <v>4.07</v>
      </c>
      <c r="J874" t="s">
        <v>353</v>
      </c>
      <c r="K874" t="str">
        <f t="shared" si="31"/>
        <v>breanna10</v>
      </c>
      <c r="L874">
        <f t="shared" si="32"/>
        <v>13.249600000000001</v>
      </c>
    </row>
    <row r="875" spans="1:12" x14ac:dyDescent="0.25">
      <c r="A875">
        <v>10</v>
      </c>
      <c r="B875" t="s">
        <v>61</v>
      </c>
      <c r="C875" t="s">
        <v>57</v>
      </c>
      <c r="D875" s="1" t="s">
        <v>1227</v>
      </c>
      <c r="E875">
        <v>11.97</v>
      </c>
      <c r="F875">
        <v>14.75</v>
      </c>
      <c r="G875">
        <v>3.93</v>
      </c>
      <c r="H875">
        <v>5.41</v>
      </c>
      <c r="I875">
        <v>9.34</v>
      </c>
      <c r="J875" t="s">
        <v>354</v>
      </c>
      <c r="K875" t="str">
        <f t="shared" si="31"/>
        <v>joseph10</v>
      </c>
      <c r="L875">
        <f t="shared" si="32"/>
        <v>29.2681</v>
      </c>
    </row>
    <row r="876" spans="1:12" x14ac:dyDescent="0.25">
      <c r="A876">
        <v>10</v>
      </c>
      <c r="B876" t="s">
        <v>521</v>
      </c>
      <c r="C876" t="s">
        <v>57</v>
      </c>
      <c r="D876" s="1" t="s">
        <v>1228</v>
      </c>
      <c r="E876">
        <v>3.24</v>
      </c>
      <c r="F876">
        <v>4.83</v>
      </c>
      <c r="G876">
        <v>0.11</v>
      </c>
      <c r="H876">
        <v>2.36</v>
      </c>
      <c r="I876">
        <v>2.4700000000000002</v>
      </c>
      <c r="J876" t="s">
        <v>355</v>
      </c>
      <c r="K876" t="str">
        <f t="shared" si="31"/>
        <v>alyssa10</v>
      </c>
      <c r="L876">
        <f t="shared" si="32"/>
        <v>5.5695999999999994</v>
      </c>
    </row>
    <row r="877" spans="1:12" x14ac:dyDescent="0.25">
      <c r="A877">
        <v>10</v>
      </c>
      <c r="B877" t="s">
        <v>283</v>
      </c>
      <c r="C877" t="s">
        <v>57</v>
      </c>
      <c r="D877" s="1" t="s">
        <v>1229</v>
      </c>
      <c r="E877">
        <v>7.99</v>
      </c>
      <c r="F877">
        <v>11.53</v>
      </c>
      <c r="G877">
        <v>1.07</v>
      </c>
      <c r="H877">
        <v>5.23</v>
      </c>
      <c r="I877">
        <v>6.3</v>
      </c>
      <c r="J877" t="s">
        <v>356</v>
      </c>
      <c r="K877" t="str">
        <f t="shared" si="31"/>
        <v>chris10</v>
      </c>
      <c r="L877">
        <f t="shared" si="32"/>
        <v>27.352900000000005</v>
      </c>
    </row>
    <row r="878" spans="1:12" x14ac:dyDescent="0.25">
      <c r="A878">
        <v>10</v>
      </c>
      <c r="B878" t="s">
        <v>62</v>
      </c>
      <c r="C878" t="s">
        <v>57</v>
      </c>
      <c r="D878" s="1" t="s">
        <v>1230</v>
      </c>
      <c r="E878">
        <v>15.68</v>
      </c>
      <c r="F878">
        <v>19.59</v>
      </c>
      <c r="G878">
        <v>5.97</v>
      </c>
      <c r="H878">
        <v>6.81</v>
      </c>
      <c r="I878">
        <v>12.78</v>
      </c>
      <c r="J878" t="s">
        <v>357</v>
      </c>
      <c r="K878" t="str">
        <f t="shared" si="31"/>
        <v>jordan10</v>
      </c>
      <c r="L878">
        <f t="shared" si="32"/>
        <v>46.376099999999994</v>
      </c>
    </row>
    <row r="879" spans="1:12" x14ac:dyDescent="0.25">
      <c r="A879">
        <v>10</v>
      </c>
      <c r="B879" t="s">
        <v>150</v>
      </c>
      <c r="C879" t="s">
        <v>57</v>
      </c>
      <c r="D879" s="1" t="s">
        <v>1231</v>
      </c>
      <c r="E879">
        <v>9.9700000000000006</v>
      </c>
      <c r="F879">
        <v>12.06</v>
      </c>
      <c r="G879">
        <v>2.92</v>
      </c>
      <c r="H879">
        <v>4.57</v>
      </c>
      <c r="I879">
        <v>7.49</v>
      </c>
      <c r="J879" t="s">
        <v>358</v>
      </c>
      <c r="K879" t="str">
        <f t="shared" si="31"/>
        <v>alex10</v>
      </c>
      <c r="L879">
        <f t="shared" si="32"/>
        <v>20.884900000000002</v>
      </c>
    </row>
    <row r="880" spans="1:12" x14ac:dyDescent="0.25">
      <c r="A880">
        <v>10</v>
      </c>
      <c r="B880" t="s">
        <v>73</v>
      </c>
      <c r="C880" t="s">
        <v>57</v>
      </c>
      <c r="D880" s="1" t="s">
        <v>1232</v>
      </c>
      <c r="E880">
        <v>9.93</v>
      </c>
      <c r="F880">
        <v>12.51</v>
      </c>
      <c r="G880">
        <v>2.5299999999999998</v>
      </c>
      <c r="H880">
        <v>4.99</v>
      </c>
      <c r="I880">
        <v>7.52</v>
      </c>
      <c r="J880" t="s">
        <v>359</v>
      </c>
      <c r="K880" t="str">
        <f t="shared" si="31"/>
        <v>colin10</v>
      </c>
      <c r="L880">
        <f t="shared" si="32"/>
        <v>24.900100000000002</v>
      </c>
    </row>
    <row r="881" spans="1:12" x14ac:dyDescent="0.25">
      <c r="A881">
        <v>10</v>
      </c>
      <c r="B881" t="s">
        <v>59</v>
      </c>
      <c r="C881" t="s">
        <v>57</v>
      </c>
      <c r="D881" s="1" t="s">
        <v>1233</v>
      </c>
      <c r="E881">
        <v>7.47</v>
      </c>
      <c r="F881">
        <v>9.9</v>
      </c>
      <c r="G881">
        <v>0.86</v>
      </c>
      <c r="H881">
        <v>4.5199999999999996</v>
      </c>
      <c r="I881">
        <v>5.38</v>
      </c>
      <c r="J881" t="s">
        <v>360</v>
      </c>
      <c r="K881" t="str">
        <f t="shared" si="31"/>
        <v>paul10</v>
      </c>
      <c r="L881">
        <f t="shared" si="32"/>
        <v>20.430399999999995</v>
      </c>
    </row>
    <row r="882" spans="1:12" x14ac:dyDescent="0.25">
      <c r="A882">
        <v>10</v>
      </c>
      <c r="B882" t="s">
        <v>787</v>
      </c>
      <c r="C882" t="s">
        <v>63</v>
      </c>
      <c r="D882" s="1" t="s">
        <v>687</v>
      </c>
      <c r="E882">
        <v>9.7620000000000005</v>
      </c>
      <c r="F882">
        <v>16.07</v>
      </c>
      <c r="G882">
        <v>3.47</v>
      </c>
      <c r="H882">
        <v>6.3</v>
      </c>
      <c r="I882">
        <v>9.7620000000000005</v>
      </c>
      <c r="J882" t="s">
        <v>351</v>
      </c>
      <c r="K882" t="str">
        <f t="shared" si="31"/>
        <v>andrew10</v>
      </c>
      <c r="L882">
        <f t="shared" si="32"/>
        <v>39.69</v>
      </c>
    </row>
    <row r="883" spans="1:12" x14ac:dyDescent="0.25">
      <c r="A883">
        <v>10</v>
      </c>
      <c r="B883" t="s">
        <v>318</v>
      </c>
      <c r="C883" t="s">
        <v>63</v>
      </c>
      <c r="D883" s="1" t="s">
        <v>1234</v>
      </c>
      <c r="E883">
        <v>7.9386999999999999</v>
      </c>
      <c r="F883">
        <v>13.9</v>
      </c>
      <c r="G883">
        <v>1.98</v>
      </c>
      <c r="H883">
        <v>5.96</v>
      </c>
      <c r="I883">
        <v>7.9386999999999999</v>
      </c>
      <c r="J883" t="s">
        <v>352</v>
      </c>
      <c r="K883" t="str">
        <f t="shared" si="31"/>
        <v>jake10</v>
      </c>
      <c r="L883">
        <f t="shared" si="32"/>
        <v>35.521599999999999</v>
      </c>
    </row>
    <row r="884" spans="1:12" x14ac:dyDescent="0.25">
      <c r="A884">
        <v>10</v>
      </c>
      <c r="B884" t="s">
        <v>335</v>
      </c>
      <c r="C884" t="s">
        <v>63</v>
      </c>
      <c r="D884" s="1" t="s">
        <v>1235</v>
      </c>
      <c r="E884">
        <v>8.0419999999999998</v>
      </c>
      <c r="F884">
        <v>14.5</v>
      </c>
      <c r="G884">
        <v>1.6</v>
      </c>
      <c r="H884">
        <v>6.45</v>
      </c>
      <c r="I884">
        <v>8.0419999999999998</v>
      </c>
      <c r="J884" t="s">
        <v>353</v>
      </c>
      <c r="K884" t="str">
        <f t="shared" si="31"/>
        <v>breanna10</v>
      </c>
      <c r="L884">
        <f t="shared" si="32"/>
        <v>41.602499999999999</v>
      </c>
    </row>
    <row r="885" spans="1:12" x14ac:dyDescent="0.25">
      <c r="A885">
        <v>10</v>
      </c>
      <c r="B885" t="s">
        <v>372</v>
      </c>
      <c r="C885" t="s">
        <v>63</v>
      </c>
      <c r="D885" s="1" t="s">
        <v>1236</v>
      </c>
      <c r="E885">
        <v>5.0004999999999997</v>
      </c>
      <c r="F885">
        <v>10.18</v>
      </c>
      <c r="G885">
        <v>-0.18</v>
      </c>
      <c r="H885">
        <v>5.18</v>
      </c>
      <c r="I885">
        <v>5.0004999999999997</v>
      </c>
      <c r="J885" t="s">
        <v>354</v>
      </c>
      <c r="K885" t="str">
        <f t="shared" si="31"/>
        <v>joseph10</v>
      </c>
      <c r="L885">
        <f t="shared" si="32"/>
        <v>26.832399999999996</v>
      </c>
    </row>
    <row r="886" spans="1:12" x14ac:dyDescent="0.25">
      <c r="A886">
        <v>10</v>
      </c>
      <c r="B886" t="s">
        <v>389</v>
      </c>
      <c r="C886" t="s">
        <v>63</v>
      </c>
      <c r="D886" s="1" t="s">
        <v>1237</v>
      </c>
      <c r="E886">
        <v>5.1018999999999997</v>
      </c>
      <c r="F886">
        <v>10.98</v>
      </c>
      <c r="G886">
        <v>-0.78</v>
      </c>
      <c r="H886">
        <v>5.88</v>
      </c>
      <c r="I886">
        <v>5.1018999999999997</v>
      </c>
      <c r="J886" t="s">
        <v>355</v>
      </c>
      <c r="K886" t="str">
        <f t="shared" si="31"/>
        <v>alyssa10</v>
      </c>
      <c r="L886">
        <f t="shared" si="32"/>
        <v>34.574399999999997</v>
      </c>
    </row>
    <row r="887" spans="1:12" x14ac:dyDescent="0.25">
      <c r="A887">
        <v>10</v>
      </c>
      <c r="B887" t="s">
        <v>154</v>
      </c>
      <c r="C887" t="s">
        <v>63</v>
      </c>
      <c r="D887" s="1" t="s">
        <v>1238</v>
      </c>
      <c r="E887">
        <v>11.313700000000001</v>
      </c>
      <c r="F887">
        <v>16.82</v>
      </c>
      <c r="G887">
        <v>5.78</v>
      </c>
      <c r="H887">
        <v>5.52</v>
      </c>
      <c r="I887">
        <v>11.313700000000001</v>
      </c>
      <c r="J887" t="s">
        <v>356</v>
      </c>
      <c r="K887" t="str">
        <f t="shared" si="31"/>
        <v>chris10</v>
      </c>
      <c r="L887">
        <f t="shared" si="32"/>
        <v>30.470399999999994</v>
      </c>
    </row>
    <row r="888" spans="1:12" x14ac:dyDescent="0.25">
      <c r="A888">
        <v>10</v>
      </c>
      <c r="B888" t="s">
        <v>166</v>
      </c>
      <c r="C888" t="s">
        <v>63</v>
      </c>
      <c r="D888" s="1" t="s">
        <v>1239</v>
      </c>
      <c r="E888">
        <v>9.3803999999999998</v>
      </c>
      <c r="F888">
        <v>15.5</v>
      </c>
      <c r="G888">
        <v>3.24</v>
      </c>
      <c r="H888">
        <v>6.13</v>
      </c>
      <c r="I888">
        <v>9.3803999999999998</v>
      </c>
      <c r="J888" t="s">
        <v>357</v>
      </c>
      <c r="K888" t="str">
        <f t="shared" si="31"/>
        <v>jordan10</v>
      </c>
      <c r="L888">
        <f t="shared" si="32"/>
        <v>37.576900000000002</v>
      </c>
    </row>
    <row r="889" spans="1:12" x14ac:dyDescent="0.25">
      <c r="A889">
        <v>10</v>
      </c>
      <c r="B889" t="s">
        <v>499</v>
      </c>
      <c r="C889" t="s">
        <v>63</v>
      </c>
      <c r="D889" s="1" t="s">
        <v>1240</v>
      </c>
      <c r="E889">
        <v>8.1606000000000005</v>
      </c>
      <c r="F889">
        <v>13.3</v>
      </c>
      <c r="G889">
        <v>3.04</v>
      </c>
      <c r="H889">
        <v>5.13</v>
      </c>
      <c r="I889">
        <v>8.1606000000000005</v>
      </c>
      <c r="J889" t="s">
        <v>358</v>
      </c>
      <c r="K889" t="str">
        <f t="shared" si="31"/>
        <v>alex10</v>
      </c>
      <c r="L889">
        <f t="shared" si="32"/>
        <v>26.3169</v>
      </c>
    </row>
    <row r="890" spans="1:12" x14ac:dyDescent="0.25">
      <c r="A890">
        <v>10</v>
      </c>
      <c r="B890" t="s">
        <v>1241</v>
      </c>
      <c r="C890" t="s">
        <v>63</v>
      </c>
      <c r="D890" s="1" t="s">
        <v>1242</v>
      </c>
      <c r="E890">
        <v>7.6619999999999999</v>
      </c>
      <c r="F890">
        <v>13.74</v>
      </c>
      <c r="G890">
        <v>1.58</v>
      </c>
      <c r="H890">
        <v>6.08</v>
      </c>
      <c r="I890">
        <v>7.6619999999999999</v>
      </c>
      <c r="J890" t="s">
        <v>359</v>
      </c>
      <c r="K890" t="str">
        <f t="shared" si="31"/>
        <v>colin10</v>
      </c>
      <c r="L890">
        <f t="shared" si="32"/>
        <v>36.9664</v>
      </c>
    </row>
    <row r="891" spans="1:12" x14ac:dyDescent="0.25">
      <c r="A891">
        <v>10</v>
      </c>
      <c r="B891" t="s">
        <v>1241</v>
      </c>
      <c r="C891" t="s">
        <v>63</v>
      </c>
      <c r="D891" s="1" t="s">
        <v>1242</v>
      </c>
      <c r="E891">
        <v>7.6619999999999999</v>
      </c>
      <c r="F891">
        <v>13.74</v>
      </c>
      <c r="G891">
        <v>1.58</v>
      </c>
      <c r="H891">
        <v>6.08</v>
      </c>
      <c r="I891">
        <v>7.6619999999999999</v>
      </c>
      <c r="J891" t="s">
        <v>360</v>
      </c>
      <c r="K891" t="str">
        <f t="shared" si="31"/>
        <v>paul10</v>
      </c>
      <c r="L891">
        <f t="shared" si="32"/>
        <v>36.9664</v>
      </c>
    </row>
    <row r="892" spans="1:12" x14ac:dyDescent="0.25">
      <c r="A892">
        <v>10</v>
      </c>
      <c r="B892" t="s">
        <v>159</v>
      </c>
      <c r="C892" t="s">
        <v>64</v>
      </c>
      <c r="D892" s="1" t="s">
        <v>1243</v>
      </c>
      <c r="E892">
        <v>6.93</v>
      </c>
      <c r="F892">
        <v>11.35</v>
      </c>
      <c r="G892">
        <v>2.5099999999999998</v>
      </c>
      <c r="H892">
        <v>4.42</v>
      </c>
      <c r="I892">
        <v>6.93</v>
      </c>
      <c r="J892" t="s">
        <v>351</v>
      </c>
      <c r="K892" t="str">
        <f t="shared" si="31"/>
        <v>andrew10</v>
      </c>
      <c r="L892">
        <f t="shared" si="32"/>
        <v>19.5364</v>
      </c>
    </row>
    <row r="893" spans="1:12" x14ac:dyDescent="0.25">
      <c r="A893">
        <v>10</v>
      </c>
      <c r="B893" t="s">
        <v>155</v>
      </c>
      <c r="C893" t="s">
        <v>64</v>
      </c>
      <c r="D893" s="1" t="s">
        <v>1244</v>
      </c>
      <c r="E893">
        <v>9.43</v>
      </c>
      <c r="F893">
        <v>14.16</v>
      </c>
      <c r="G893">
        <v>4.8</v>
      </c>
      <c r="H893">
        <v>4.68</v>
      </c>
      <c r="I893">
        <v>9.48</v>
      </c>
      <c r="J893" t="s">
        <v>352</v>
      </c>
      <c r="K893" t="str">
        <f t="shared" si="31"/>
        <v>jake10</v>
      </c>
      <c r="L893">
        <f t="shared" si="32"/>
        <v>21.902399999999997</v>
      </c>
    </row>
    <row r="894" spans="1:12" x14ac:dyDescent="0.25">
      <c r="A894">
        <v>10</v>
      </c>
      <c r="B894" t="s">
        <v>149</v>
      </c>
      <c r="C894" t="s">
        <v>64</v>
      </c>
      <c r="D894" s="1" t="s">
        <v>1245</v>
      </c>
      <c r="E894">
        <v>10.19</v>
      </c>
      <c r="F894">
        <v>14.72</v>
      </c>
      <c r="G894">
        <v>5.66</v>
      </c>
      <c r="H894">
        <v>4.53</v>
      </c>
      <c r="I894">
        <v>10.19</v>
      </c>
      <c r="J894" t="s">
        <v>353</v>
      </c>
      <c r="K894" t="str">
        <f t="shared" si="31"/>
        <v>breanna10</v>
      </c>
      <c r="L894">
        <f t="shared" si="32"/>
        <v>20.520900000000001</v>
      </c>
    </row>
    <row r="895" spans="1:12" x14ac:dyDescent="0.25">
      <c r="A895">
        <v>10</v>
      </c>
      <c r="B895" t="s">
        <v>376</v>
      </c>
      <c r="C895" t="s">
        <v>64</v>
      </c>
      <c r="D895" s="1" t="s">
        <v>1246</v>
      </c>
      <c r="E895">
        <v>8.67</v>
      </c>
      <c r="F895">
        <v>12.32</v>
      </c>
      <c r="G895">
        <v>5.08</v>
      </c>
      <c r="H895">
        <v>3.62</v>
      </c>
      <c r="I895">
        <v>8.6999999999999993</v>
      </c>
      <c r="J895" t="s">
        <v>354</v>
      </c>
      <c r="K895" t="str">
        <f t="shared" si="31"/>
        <v>joseph10</v>
      </c>
      <c r="L895">
        <f t="shared" si="32"/>
        <v>13.1044</v>
      </c>
    </row>
    <row r="896" spans="1:12" x14ac:dyDescent="0.25">
      <c r="A896">
        <v>10</v>
      </c>
      <c r="B896" t="s">
        <v>65</v>
      </c>
      <c r="C896" t="s">
        <v>64</v>
      </c>
      <c r="D896" s="1" t="s">
        <v>1247</v>
      </c>
      <c r="E896">
        <v>8.5399999999999991</v>
      </c>
      <c r="F896">
        <v>12.6</v>
      </c>
      <c r="G896">
        <v>4.4400000000000004</v>
      </c>
      <c r="H896">
        <v>4.08</v>
      </c>
      <c r="I896">
        <v>8.52</v>
      </c>
      <c r="J896" t="s">
        <v>355</v>
      </c>
      <c r="K896" t="str">
        <f t="shared" si="31"/>
        <v>alyssa10</v>
      </c>
      <c r="L896">
        <f t="shared" si="32"/>
        <v>16.6464</v>
      </c>
    </row>
    <row r="897" spans="1:12" x14ac:dyDescent="0.25">
      <c r="A897">
        <v>10</v>
      </c>
      <c r="B897" t="s">
        <v>262</v>
      </c>
      <c r="C897" t="s">
        <v>64</v>
      </c>
      <c r="D897" s="1" t="s">
        <v>1248</v>
      </c>
      <c r="E897">
        <v>8.7899999999999991</v>
      </c>
      <c r="F897">
        <v>13.43</v>
      </c>
      <c r="G897">
        <v>4.2300000000000004</v>
      </c>
      <c r="H897">
        <v>4.5999999999999996</v>
      </c>
      <c r="I897">
        <v>8.83</v>
      </c>
      <c r="J897" t="s">
        <v>356</v>
      </c>
      <c r="K897" t="str">
        <f t="shared" si="31"/>
        <v>chris10</v>
      </c>
      <c r="L897">
        <f t="shared" si="32"/>
        <v>21.159999999999997</v>
      </c>
    </row>
    <row r="898" spans="1:12" x14ac:dyDescent="0.25">
      <c r="A898">
        <v>10</v>
      </c>
      <c r="B898" t="s">
        <v>66</v>
      </c>
      <c r="C898" t="s">
        <v>64</v>
      </c>
      <c r="D898" s="1" t="s">
        <v>1249</v>
      </c>
      <c r="E898">
        <v>9.06</v>
      </c>
      <c r="F898">
        <v>13.19</v>
      </c>
      <c r="G898">
        <v>4.93</v>
      </c>
      <c r="H898">
        <v>4.13</v>
      </c>
      <c r="I898">
        <v>9.06</v>
      </c>
      <c r="J898" t="s">
        <v>357</v>
      </c>
      <c r="K898" t="str">
        <f t="shared" si="31"/>
        <v>jordan10</v>
      </c>
      <c r="L898">
        <f t="shared" si="32"/>
        <v>17.056899999999999</v>
      </c>
    </row>
    <row r="899" spans="1:12" x14ac:dyDescent="0.25">
      <c r="A899">
        <v>10</v>
      </c>
      <c r="B899" t="s">
        <v>378</v>
      </c>
      <c r="C899" t="s">
        <v>64</v>
      </c>
      <c r="D899" s="1" t="s">
        <v>1250</v>
      </c>
      <c r="E899">
        <v>7.85</v>
      </c>
      <c r="F899">
        <v>12.16</v>
      </c>
      <c r="G899">
        <v>3.6</v>
      </c>
      <c r="H899">
        <v>4.28</v>
      </c>
      <c r="I899">
        <v>7.88</v>
      </c>
      <c r="J899" t="s">
        <v>358</v>
      </c>
      <c r="K899" t="str">
        <f t="shared" ref="K899:K962" si="33">J899&amp;A899</f>
        <v>alex10</v>
      </c>
      <c r="L899">
        <f t="shared" ref="L899:L962" si="34">H899^2</f>
        <v>18.3184</v>
      </c>
    </row>
    <row r="900" spans="1:12" x14ac:dyDescent="0.25">
      <c r="A900">
        <v>10</v>
      </c>
      <c r="B900" t="s">
        <v>261</v>
      </c>
      <c r="C900" t="s">
        <v>64</v>
      </c>
      <c r="D900" s="1" t="s">
        <v>1251</v>
      </c>
      <c r="E900">
        <v>8.6</v>
      </c>
      <c r="F900">
        <v>13.31</v>
      </c>
      <c r="G900">
        <v>3.95</v>
      </c>
      <c r="H900">
        <v>4.68</v>
      </c>
      <c r="I900">
        <v>8.6300000000000008</v>
      </c>
      <c r="J900" t="s">
        <v>359</v>
      </c>
      <c r="K900" t="str">
        <f t="shared" si="33"/>
        <v>colin10</v>
      </c>
      <c r="L900">
        <f t="shared" si="34"/>
        <v>21.902399999999997</v>
      </c>
    </row>
    <row r="901" spans="1:12" x14ac:dyDescent="0.25">
      <c r="A901">
        <v>10</v>
      </c>
      <c r="B901" t="s">
        <v>167</v>
      </c>
      <c r="C901" t="s">
        <v>64</v>
      </c>
      <c r="D901" s="1" t="s">
        <v>1252</v>
      </c>
      <c r="E901">
        <v>8</v>
      </c>
      <c r="F901">
        <v>11.83</v>
      </c>
      <c r="G901">
        <v>4.21</v>
      </c>
      <c r="H901">
        <v>3.81</v>
      </c>
      <c r="I901">
        <v>8.02</v>
      </c>
      <c r="J901" t="s">
        <v>360</v>
      </c>
      <c r="K901" t="str">
        <f t="shared" si="33"/>
        <v>paul10</v>
      </c>
      <c r="L901">
        <f t="shared" si="34"/>
        <v>14.5161</v>
      </c>
    </row>
    <row r="902" spans="1:12" x14ac:dyDescent="0.25">
      <c r="A902">
        <v>11</v>
      </c>
      <c r="B902" t="s">
        <v>68</v>
      </c>
      <c r="C902" t="s">
        <v>10</v>
      </c>
      <c r="D902" s="1" t="s">
        <v>1253</v>
      </c>
      <c r="E902">
        <v>16.47</v>
      </c>
      <c r="F902">
        <v>24.75</v>
      </c>
      <c r="G902">
        <v>5.95</v>
      </c>
      <c r="H902">
        <v>9.4</v>
      </c>
      <c r="I902">
        <v>15.35</v>
      </c>
      <c r="J902" t="s">
        <v>351</v>
      </c>
      <c r="K902" t="str">
        <f t="shared" si="33"/>
        <v>andrew11</v>
      </c>
      <c r="L902">
        <f t="shared" si="34"/>
        <v>88.360000000000014</v>
      </c>
    </row>
    <row r="903" spans="1:12" x14ac:dyDescent="0.25">
      <c r="A903">
        <v>11</v>
      </c>
      <c r="B903" t="s">
        <v>391</v>
      </c>
      <c r="C903" t="s">
        <v>10</v>
      </c>
      <c r="D903" s="1" t="s">
        <v>1254</v>
      </c>
      <c r="E903">
        <v>9.35</v>
      </c>
      <c r="F903">
        <v>13.98</v>
      </c>
      <c r="G903">
        <v>2.52</v>
      </c>
      <c r="H903">
        <v>5.73</v>
      </c>
      <c r="I903">
        <v>8.25</v>
      </c>
      <c r="J903" t="s">
        <v>351</v>
      </c>
      <c r="K903" t="str">
        <f t="shared" si="33"/>
        <v>andrew11</v>
      </c>
      <c r="L903">
        <f t="shared" si="34"/>
        <v>32.832900000000002</v>
      </c>
    </row>
    <row r="904" spans="1:12" x14ac:dyDescent="0.25">
      <c r="A904">
        <v>11</v>
      </c>
      <c r="B904" t="s">
        <v>181</v>
      </c>
      <c r="C904" t="s">
        <v>10</v>
      </c>
      <c r="D904" s="1" t="s">
        <v>1255</v>
      </c>
      <c r="E904">
        <v>16.43</v>
      </c>
      <c r="F904">
        <v>21.01</v>
      </c>
      <c r="G904">
        <v>6.55</v>
      </c>
      <c r="H904">
        <v>7.23</v>
      </c>
      <c r="I904">
        <v>13.78</v>
      </c>
      <c r="J904" t="s">
        <v>352</v>
      </c>
      <c r="K904" t="str">
        <f t="shared" si="33"/>
        <v>jake11</v>
      </c>
      <c r="L904">
        <f t="shared" si="34"/>
        <v>52.272900000000007</v>
      </c>
    </row>
    <row r="905" spans="1:12" x14ac:dyDescent="0.25">
      <c r="A905">
        <v>11</v>
      </c>
      <c r="B905" t="s">
        <v>9</v>
      </c>
      <c r="C905" t="s">
        <v>10</v>
      </c>
      <c r="D905" s="1" t="s">
        <v>1256</v>
      </c>
      <c r="E905">
        <v>11.83</v>
      </c>
      <c r="F905">
        <v>18.46</v>
      </c>
      <c r="G905">
        <v>3.34</v>
      </c>
      <c r="H905">
        <v>7.56</v>
      </c>
      <c r="I905">
        <v>10.9</v>
      </c>
      <c r="J905" t="s">
        <v>352</v>
      </c>
      <c r="K905" t="str">
        <f t="shared" si="33"/>
        <v>jake11</v>
      </c>
      <c r="L905">
        <f t="shared" si="34"/>
        <v>57.153599999999997</v>
      </c>
    </row>
    <row r="906" spans="1:12" x14ac:dyDescent="0.25">
      <c r="A906">
        <v>11</v>
      </c>
      <c r="B906" t="s">
        <v>27</v>
      </c>
      <c r="C906" t="s">
        <v>10</v>
      </c>
      <c r="D906" s="1" t="s">
        <v>1257</v>
      </c>
      <c r="E906">
        <v>18.440000000000001</v>
      </c>
      <c r="F906">
        <v>22.16</v>
      </c>
      <c r="G906">
        <v>9.3800000000000008</v>
      </c>
      <c r="H906">
        <v>6.39</v>
      </c>
      <c r="I906">
        <v>15.77</v>
      </c>
      <c r="J906" t="s">
        <v>353</v>
      </c>
      <c r="K906" t="str">
        <f t="shared" si="33"/>
        <v>breanna11</v>
      </c>
      <c r="L906">
        <f t="shared" si="34"/>
        <v>40.832099999999997</v>
      </c>
    </row>
    <row r="907" spans="1:12" x14ac:dyDescent="0.25">
      <c r="A907">
        <v>11</v>
      </c>
      <c r="B907" t="s">
        <v>219</v>
      </c>
      <c r="C907" t="s">
        <v>10</v>
      </c>
      <c r="D907" s="1" t="s">
        <v>1258</v>
      </c>
      <c r="E907">
        <v>12.75</v>
      </c>
      <c r="F907">
        <v>17.260000000000002</v>
      </c>
      <c r="G907">
        <v>5.74</v>
      </c>
      <c r="H907">
        <v>5.76</v>
      </c>
      <c r="I907">
        <v>11.5</v>
      </c>
      <c r="J907" t="s">
        <v>353</v>
      </c>
      <c r="K907" t="str">
        <f t="shared" si="33"/>
        <v>breanna11</v>
      </c>
      <c r="L907">
        <f t="shared" si="34"/>
        <v>33.177599999999998</v>
      </c>
    </row>
    <row r="908" spans="1:12" x14ac:dyDescent="0.25">
      <c r="A908">
        <v>11</v>
      </c>
      <c r="B908" t="s">
        <v>216</v>
      </c>
      <c r="C908" t="s">
        <v>10</v>
      </c>
      <c r="D908" s="1" t="s">
        <v>1259</v>
      </c>
      <c r="E908">
        <v>16.940000000000001</v>
      </c>
      <c r="F908">
        <v>22.92</v>
      </c>
      <c r="G908">
        <v>6.46</v>
      </c>
      <c r="H908">
        <v>8.23</v>
      </c>
      <c r="I908">
        <v>14.69</v>
      </c>
      <c r="J908" t="s">
        <v>354</v>
      </c>
      <c r="K908" t="str">
        <f t="shared" si="33"/>
        <v>joseph11</v>
      </c>
      <c r="L908">
        <f t="shared" si="34"/>
        <v>67.732900000000001</v>
      </c>
    </row>
    <row r="909" spans="1:12" x14ac:dyDescent="0.25">
      <c r="A909">
        <v>11</v>
      </c>
      <c r="B909" t="s">
        <v>16</v>
      </c>
      <c r="C909" t="s">
        <v>10</v>
      </c>
      <c r="D909" s="1" t="s">
        <v>1260</v>
      </c>
      <c r="E909">
        <v>12.84</v>
      </c>
      <c r="F909">
        <v>17.91</v>
      </c>
      <c r="G909">
        <v>5.95</v>
      </c>
      <c r="H909">
        <v>5.98</v>
      </c>
      <c r="I909">
        <v>11.93</v>
      </c>
      <c r="J909" t="s">
        <v>354</v>
      </c>
      <c r="K909" t="str">
        <f t="shared" si="33"/>
        <v>joseph11</v>
      </c>
      <c r="L909">
        <f t="shared" si="34"/>
        <v>35.760400000000004</v>
      </c>
    </row>
    <row r="910" spans="1:12" x14ac:dyDescent="0.25">
      <c r="A910">
        <v>11</v>
      </c>
      <c r="B910" t="s">
        <v>75</v>
      </c>
      <c r="C910" t="s">
        <v>10</v>
      </c>
      <c r="D910" s="1" t="s">
        <v>1261</v>
      </c>
      <c r="E910">
        <v>20.81</v>
      </c>
      <c r="F910">
        <v>30.86</v>
      </c>
      <c r="G910">
        <v>7.98</v>
      </c>
      <c r="H910">
        <v>11.44</v>
      </c>
      <c r="I910">
        <v>19.420000000000002</v>
      </c>
      <c r="J910" t="s">
        <v>355</v>
      </c>
      <c r="K910" t="str">
        <f t="shared" si="33"/>
        <v>alyssa11</v>
      </c>
      <c r="L910">
        <f t="shared" si="34"/>
        <v>130.87359999999998</v>
      </c>
    </row>
    <row r="911" spans="1:12" x14ac:dyDescent="0.25">
      <c r="A911">
        <v>11</v>
      </c>
      <c r="B911" t="s">
        <v>28</v>
      </c>
      <c r="C911" t="s">
        <v>10</v>
      </c>
      <c r="D911" s="1" t="s">
        <v>1262</v>
      </c>
      <c r="E911">
        <v>15.77</v>
      </c>
      <c r="F911">
        <v>21.09</v>
      </c>
      <c r="G911">
        <v>4.8099999999999996</v>
      </c>
      <c r="H911">
        <v>8.14</v>
      </c>
      <c r="I911">
        <v>12.95</v>
      </c>
      <c r="J911" t="s">
        <v>355</v>
      </c>
      <c r="K911" t="str">
        <f t="shared" si="33"/>
        <v>alyssa11</v>
      </c>
      <c r="L911">
        <f t="shared" si="34"/>
        <v>66.259600000000006</v>
      </c>
    </row>
    <row r="912" spans="1:12" x14ac:dyDescent="0.25">
      <c r="A912">
        <v>11</v>
      </c>
      <c r="B912" t="s">
        <v>25</v>
      </c>
      <c r="C912" t="s">
        <v>10</v>
      </c>
      <c r="D912" s="1" t="s">
        <v>1263</v>
      </c>
      <c r="E912">
        <v>16.18</v>
      </c>
      <c r="F912">
        <v>22.82</v>
      </c>
      <c r="G912">
        <v>5.84</v>
      </c>
      <c r="H912">
        <v>8.49</v>
      </c>
      <c r="I912">
        <v>14.33</v>
      </c>
      <c r="J912" t="s">
        <v>356</v>
      </c>
      <c r="K912" t="str">
        <f t="shared" si="33"/>
        <v>chris11</v>
      </c>
      <c r="L912">
        <f t="shared" si="34"/>
        <v>72.080100000000002</v>
      </c>
    </row>
    <row r="913" spans="1:12" x14ac:dyDescent="0.25">
      <c r="A913">
        <v>11</v>
      </c>
      <c r="B913" t="s">
        <v>160</v>
      </c>
      <c r="C913" t="s">
        <v>10</v>
      </c>
      <c r="D913" s="1" t="s">
        <v>1264</v>
      </c>
      <c r="E913">
        <v>10.75</v>
      </c>
      <c r="F913">
        <v>15.13</v>
      </c>
      <c r="G913">
        <v>4.01</v>
      </c>
      <c r="H913">
        <v>5.56</v>
      </c>
      <c r="I913">
        <v>9.57</v>
      </c>
      <c r="J913" t="s">
        <v>356</v>
      </c>
      <c r="K913" t="str">
        <f t="shared" si="33"/>
        <v>chris11</v>
      </c>
      <c r="L913">
        <f t="shared" si="34"/>
        <v>30.913599999999995</v>
      </c>
    </row>
    <row r="914" spans="1:12" x14ac:dyDescent="0.25">
      <c r="A914">
        <v>11</v>
      </c>
      <c r="B914" t="s">
        <v>158</v>
      </c>
      <c r="C914" t="s">
        <v>10</v>
      </c>
      <c r="D914" s="1" t="s">
        <v>1265</v>
      </c>
      <c r="E914">
        <v>25.05</v>
      </c>
      <c r="F914">
        <v>33.33</v>
      </c>
      <c r="G914">
        <v>13.29</v>
      </c>
      <c r="H914">
        <v>10.02</v>
      </c>
      <c r="I914">
        <v>23.31</v>
      </c>
      <c r="J914" t="s">
        <v>357</v>
      </c>
      <c r="K914" t="str">
        <f t="shared" si="33"/>
        <v>jordan11</v>
      </c>
      <c r="L914">
        <f t="shared" si="34"/>
        <v>100.40039999999999</v>
      </c>
    </row>
    <row r="915" spans="1:12" x14ac:dyDescent="0.25">
      <c r="A915">
        <v>11</v>
      </c>
      <c r="B915" t="s">
        <v>284</v>
      </c>
      <c r="C915" t="s">
        <v>10</v>
      </c>
      <c r="D915" s="1" t="s">
        <v>1266</v>
      </c>
      <c r="E915">
        <v>12.61</v>
      </c>
      <c r="F915">
        <v>18.329999999999998</v>
      </c>
      <c r="G915">
        <v>3.17</v>
      </c>
      <c r="H915">
        <v>7.58</v>
      </c>
      <c r="I915">
        <v>10.75</v>
      </c>
      <c r="J915" t="s">
        <v>357</v>
      </c>
      <c r="K915" t="str">
        <f t="shared" si="33"/>
        <v>jordan11</v>
      </c>
      <c r="L915">
        <f t="shared" si="34"/>
        <v>57.456400000000002</v>
      </c>
    </row>
    <row r="916" spans="1:12" x14ac:dyDescent="0.25">
      <c r="A916">
        <v>11</v>
      </c>
      <c r="B916" t="s">
        <v>157</v>
      </c>
      <c r="C916" t="s">
        <v>10</v>
      </c>
      <c r="D916" s="1" t="s">
        <v>1267</v>
      </c>
      <c r="E916">
        <v>10.56</v>
      </c>
      <c r="F916">
        <v>16.96</v>
      </c>
      <c r="G916">
        <v>3.3</v>
      </c>
      <c r="H916">
        <v>6.83</v>
      </c>
      <c r="I916">
        <v>10.130000000000001</v>
      </c>
      <c r="J916" t="s">
        <v>357</v>
      </c>
      <c r="K916" t="str">
        <f t="shared" si="33"/>
        <v>jordan11</v>
      </c>
      <c r="L916">
        <f t="shared" si="34"/>
        <v>46.648899999999998</v>
      </c>
    </row>
    <row r="917" spans="1:12" x14ac:dyDescent="0.25">
      <c r="A917">
        <v>11</v>
      </c>
      <c r="B917" t="s">
        <v>14</v>
      </c>
      <c r="C917" t="s">
        <v>10</v>
      </c>
      <c r="D917" s="1" t="s">
        <v>1268</v>
      </c>
      <c r="E917">
        <v>14.09</v>
      </c>
      <c r="F917">
        <v>19.010000000000002</v>
      </c>
      <c r="G917">
        <v>6.23</v>
      </c>
      <c r="H917">
        <v>6.39</v>
      </c>
      <c r="I917">
        <v>12.62</v>
      </c>
      <c r="J917" t="s">
        <v>358</v>
      </c>
      <c r="K917" t="str">
        <f t="shared" si="33"/>
        <v>alex11</v>
      </c>
      <c r="L917">
        <f t="shared" si="34"/>
        <v>40.832099999999997</v>
      </c>
    </row>
    <row r="918" spans="1:12" x14ac:dyDescent="0.25">
      <c r="A918">
        <v>11</v>
      </c>
      <c r="B918" t="s">
        <v>12</v>
      </c>
      <c r="C918" t="s">
        <v>10</v>
      </c>
      <c r="D918" s="1" t="s">
        <v>1269</v>
      </c>
      <c r="E918">
        <v>12.05</v>
      </c>
      <c r="F918">
        <v>17.47</v>
      </c>
      <c r="G918">
        <v>3.47</v>
      </c>
      <c r="H918">
        <v>7</v>
      </c>
      <c r="I918">
        <v>10.47</v>
      </c>
      <c r="J918" t="s">
        <v>358</v>
      </c>
      <c r="K918" t="str">
        <f t="shared" si="33"/>
        <v>alex11</v>
      </c>
      <c r="L918">
        <f t="shared" si="34"/>
        <v>49</v>
      </c>
    </row>
    <row r="919" spans="1:12" x14ac:dyDescent="0.25">
      <c r="A919">
        <v>11</v>
      </c>
      <c r="B919" t="s">
        <v>152</v>
      </c>
      <c r="C919" t="s">
        <v>10</v>
      </c>
      <c r="D919" s="1" t="s">
        <v>1270</v>
      </c>
      <c r="E919">
        <v>17.64</v>
      </c>
      <c r="F919">
        <v>21.12</v>
      </c>
      <c r="G919">
        <v>8.4600000000000009</v>
      </c>
      <c r="H919">
        <v>6.33</v>
      </c>
      <c r="I919">
        <v>14.79</v>
      </c>
      <c r="J919" t="s">
        <v>359</v>
      </c>
      <c r="K919" t="str">
        <f t="shared" si="33"/>
        <v>colin11</v>
      </c>
      <c r="L919">
        <f t="shared" si="34"/>
        <v>40.068899999999999</v>
      </c>
    </row>
    <row r="920" spans="1:12" x14ac:dyDescent="0.25">
      <c r="A920">
        <v>11</v>
      </c>
      <c r="B920" t="s">
        <v>265</v>
      </c>
      <c r="C920" t="s">
        <v>10</v>
      </c>
      <c r="D920" s="1" t="s">
        <v>1271</v>
      </c>
      <c r="E920">
        <v>8.75</v>
      </c>
      <c r="F920">
        <v>13.13</v>
      </c>
      <c r="G920">
        <v>0.77</v>
      </c>
      <c r="H920">
        <v>6.18</v>
      </c>
      <c r="I920">
        <v>6.95</v>
      </c>
      <c r="J920" t="s">
        <v>359</v>
      </c>
      <c r="K920" t="str">
        <f t="shared" si="33"/>
        <v>colin11</v>
      </c>
      <c r="L920">
        <f t="shared" si="34"/>
        <v>38.192399999999999</v>
      </c>
    </row>
    <row r="921" spans="1:12" x14ac:dyDescent="0.25">
      <c r="A921">
        <v>11</v>
      </c>
      <c r="B921" t="s">
        <v>264</v>
      </c>
      <c r="C921" t="s">
        <v>10</v>
      </c>
      <c r="D921" s="1" t="s">
        <v>1272</v>
      </c>
      <c r="E921">
        <v>6.86</v>
      </c>
      <c r="F921">
        <v>11.56</v>
      </c>
      <c r="G921">
        <v>1.08</v>
      </c>
      <c r="H921">
        <v>5.24</v>
      </c>
      <c r="I921">
        <v>6.32</v>
      </c>
      <c r="J921" t="s">
        <v>359</v>
      </c>
      <c r="K921" t="str">
        <f t="shared" si="33"/>
        <v>colin11</v>
      </c>
      <c r="L921">
        <f t="shared" si="34"/>
        <v>27.457600000000003</v>
      </c>
    </row>
    <row r="922" spans="1:12" x14ac:dyDescent="0.25">
      <c r="A922">
        <v>11</v>
      </c>
      <c r="B922" t="s">
        <v>13</v>
      </c>
      <c r="C922" t="s">
        <v>10</v>
      </c>
      <c r="D922" s="1" t="s">
        <v>1273</v>
      </c>
      <c r="E922">
        <v>14.67</v>
      </c>
      <c r="F922">
        <v>20.34</v>
      </c>
      <c r="G922">
        <v>6.08</v>
      </c>
      <c r="H922">
        <v>7.13</v>
      </c>
      <c r="I922">
        <v>13.21</v>
      </c>
      <c r="J922" t="s">
        <v>360</v>
      </c>
      <c r="K922" t="str">
        <f t="shared" si="33"/>
        <v>paul11</v>
      </c>
      <c r="L922">
        <f t="shared" si="34"/>
        <v>50.8369</v>
      </c>
    </row>
    <row r="923" spans="1:12" x14ac:dyDescent="0.25">
      <c r="A923">
        <v>11</v>
      </c>
      <c r="B923" t="s">
        <v>186</v>
      </c>
      <c r="C923" t="s">
        <v>10</v>
      </c>
      <c r="D923" s="1" t="s">
        <v>1274</v>
      </c>
      <c r="E923">
        <v>12.19</v>
      </c>
      <c r="F923">
        <v>17.34</v>
      </c>
      <c r="G923">
        <v>3.68</v>
      </c>
      <c r="H923">
        <v>6.83</v>
      </c>
      <c r="I923">
        <v>10.51</v>
      </c>
      <c r="J923" t="s">
        <v>360</v>
      </c>
      <c r="K923" t="str">
        <f t="shared" si="33"/>
        <v>paul11</v>
      </c>
      <c r="L923">
        <f t="shared" si="34"/>
        <v>46.648899999999998</v>
      </c>
    </row>
    <row r="924" spans="1:12" x14ac:dyDescent="0.25">
      <c r="A924">
        <v>11</v>
      </c>
      <c r="B924" t="s">
        <v>41</v>
      </c>
      <c r="C924" t="s">
        <v>32</v>
      </c>
      <c r="D924" s="1" t="s">
        <v>1275</v>
      </c>
      <c r="E924">
        <v>17.88</v>
      </c>
      <c r="F924">
        <v>23.09</v>
      </c>
      <c r="G924">
        <v>5.57</v>
      </c>
      <c r="H924">
        <v>8.76</v>
      </c>
      <c r="I924">
        <v>14.33</v>
      </c>
      <c r="J924" t="s">
        <v>351</v>
      </c>
      <c r="K924" t="str">
        <f t="shared" si="33"/>
        <v>andrew11</v>
      </c>
      <c r="L924">
        <f t="shared" si="34"/>
        <v>76.7376</v>
      </c>
    </row>
    <row r="925" spans="1:12" x14ac:dyDescent="0.25">
      <c r="A925">
        <v>11</v>
      </c>
      <c r="B925" t="s">
        <v>72</v>
      </c>
      <c r="C925" t="s">
        <v>32</v>
      </c>
      <c r="D925" s="1" t="s">
        <v>1276</v>
      </c>
      <c r="E925">
        <v>12.73</v>
      </c>
      <c r="F925">
        <v>16.73</v>
      </c>
      <c r="G925">
        <v>3.01</v>
      </c>
      <c r="H925">
        <v>6.86</v>
      </c>
      <c r="I925">
        <v>9.8699999999999992</v>
      </c>
      <c r="J925" t="s">
        <v>351</v>
      </c>
      <c r="K925" t="str">
        <f t="shared" si="33"/>
        <v>andrew11</v>
      </c>
      <c r="L925">
        <f t="shared" si="34"/>
        <v>47.059600000000003</v>
      </c>
    </row>
    <row r="926" spans="1:12" x14ac:dyDescent="0.25">
      <c r="A926">
        <v>11</v>
      </c>
      <c r="B926" t="s">
        <v>162</v>
      </c>
      <c r="C926" t="s">
        <v>32</v>
      </c>
      <c r="D926" s="1" t="s">
        <v>1277</v>
      </c>
      <c r="E926">
        <v>11.71</v>
      </c>
      <c r="F926">
        <v>14.58</v>
      </c>
      <c r="G926">
        <v>3.86</v>
      </c>
      <c r="H926">
        <v>5.36</v>
      </c>
      <c r="I926">
        <v>9.2200000000000006</v>
      </c>
      <c r="J926" t="s">
        <v>351</v>
      </c>
      <c r="K926" t="str">
        <f t="shared" si="33"/>
        <v>andrew11</v>
      </c>
      <c r="L926">
        <f t="shared" si="34"/>
        <v>28.729600000000005</v>
      </c>
    </row>
    <row r="927" spans="1:12" x14ac:dyDescent="0.25">
      <c r="A927">
        <v>11</v>
      </c>
      <c r="B927" t="s">
        <v>33</v>
      </c>
      <c r="C927" t="s">
        <v>32</v>
      </c>
      <c r="D927" s="1" t="s">
        <v>1278</v>
      </c>
      <c r="E927">
        <v>14.88</v>
      </c>
      <c r="F927">
        <v>18.34</v>
      </c>
      <c r="G927">
        <v>5.62</v>
      </c>
      <c r="H927">
        <v>6.36</v>
      </c>
      <c r="I927">
        <v>11.98</v>
      </c>
      <c r="J927" t="s">
        <v>352</v>
      </c>
      <c r="K927" t="str">
        <f t="shared" si="33"/>
        <v>jake11</v>
      </c>
      <c r="L927">
        <f t="shared" si="34"/>
        <v>40.449600000000004</v>
      </c>
    </row>
    <row r="928" spans="1:12" x14ac:dyDescent="0.25">
      <c r="A928">
        <v>11</v>
      </c>
      <c r="B928" t="s">
        <v>39</v>
      </c>
      <c r="C928" t="s">
        <v>32</v>
      </c>
      <c r="D928" s="1" t="s">
        <v>1279</v>
      </c>
      <c r="E928">
        <v>13.31</v>
      </c>
      <c r="F928">
        <v>17.09</v>
      </c>
      <c r="G928">
        <v>2.77</v>
      </c>
      <c r="H928">
        <v>7.16</v>
      </c>
      <c r="I928">
        <v>9.93</v>
      </c>
      <c r="J928" t="s">
        <v>352</v>
      </c>
      <c r="K928" t="str">
        <f t="shared" si="33"/>
        <v>jake11</v>
      </c>
      <c r="L928">
        <f t="shared" si="34"/>
        <v>51.265599999999999</v>
      </c>
    </row>
    <row r="929" spans="1:12" x14ac:dyDescent="0.25">
      <c r="A929">
        <v>11</v>
      </c>
      <c r="B929" t="s">
        <v>45</v>
      </c>
      <c r="C929" t="s">
        <v>32</v>
      </c>
      <c r="D929" s="1" t="s">
        <v>1280</v>
      </c>
      <c r="E929">
        <v>12.83</v>
      </c>
      <c r="F929">
        <v>14.81</v>
      </c>
      <c r="G929">
        <v>4.49</v>
      </c>
      <c r="H929">
        <v>5.16</v>
      </c>
      <c r="I929">
        <v>9.65</v>
      </c>
      <c r="J929" t="s">
        <v>352</v>
      </c>
      <c r="K929" t="str">
        <f t="shared" si="33"/>
        <v>jake11</v>
      </c>
      <c r="L929">
        <f t="shared" si="34"/>
        <v>26.625600000000002</v>
      </c>
    </row>
    <row r="930" spans="1:12" x14ac:dyDescent="0.25">
      <c r="A930">
        <v>11</v>
      </c>
      <c r="B930" t="s">
        <v>44</v>
      </c>
      <c r="C930" t="s">
        <v>32</v>
      </c>
      <c r="D930" s="1" t="s">
        <v>1281</v>
      </c>
      <c r="E930">
        <v>16.22</v>
      </c>
      <c r="F930">
        <v>22.8</v>
      </c>
      <c r="G930">
        <v>2.74</v>
      </c>
      <c r="H930">
        <v>10.029999999999999</v>
      </c>
      <c r="I930">
        <v>12.77</v>
      </c>
      <c r="J930" t="s">
        <v>353</v>
      </c>
      <c r="K930" t="str">
        <f t="shared" si="33"/>
        <v>breanna11</v>
      </c>
      <c r="L930">
        <f t="shared" si="34"/>
        <v>100.60089999999998</v>
      </c>
    </row>
    <row r="931" spans="1:12" x14ac:dyDescent="0.25">
      <c r="A931">
        <v>11</v>
      </c>
      <c r="B931" t="s">
        <v>48</v>
      </c>
      <c r="C931" t="s">
        <v>32</v>
      </c>
      <c r="D931" s="1" t="s">
        <v>1282</v>
      </c>
      <c r="E931">
        <v>11.72</v>
      </c>
      <c r="F931">
        <v>14.86</v>
      </c>
      <c r="G931">
        <v>4.3600000000000003</v>
      </c>
      <c r="H931">
        <v>5.25</v>
      </c>
      <c r="I931">
        <v>9.61</v>
      </c>
      <c r="J931" t="s">
        <v>353</v>
      </c>
      <c r="K931" t="str">
        <f t="shared" si="33"/>
        <v>breanna11</v>
      </c>
      <c r="L931">
        <f t="shared" si="34"/>
        <v>27.5625</v>
      </c>
    </row>
    <row r="932" spans="1:12" x14ac:dyDescent="0.25">
      <c r="A932">
        <v>11</v>
      </c>
      <c r="B932" t="s">
        <v>165</v>
      </c>
      <c r="C932" t="s">
        <v>32</v>
      </c>
      <c r="D932" s="1" t="s">
        <v>1283</v>
      </c>
      <c r="E932">
        <v>9.5</v>
      </c>
      <c r="F932">
        <v>12.35</v>
      </c>
      <c r="G932">
        <v>2.87</v>
      </c>
      <c r="H932">
        <v>4.74</v>
      </c>
      <c r="I932">
        <v>7.61</v>
      </c>
      <c r="J932" t="s">
        <v>353</v>
      </c>
      <c r="K932" t="str">
        <f t="shared" si="33"/>
        <v>breanna11</v>
      </c>
      <c r="L932">
        <f t="shared" si="34"/>
        <v>22.467600000000001</v>
      </c>
    </row>
    <row r="933" spans="1:12" x14ac:dyDescent="0.25">
      <c r="A933">
        <v>11</v>
      </c>
      <c r="B933" t="s">
        <v>43</v>
      </c>
      <c r="C933" t="s">
        <v>32</v>
      </c>
      <c r="D933" s="1" t="s">
        <v>1284</v>
      </c>
      <c r="E933">
        <v>14.9</v>
      </c>
      <c r="F933">
        <v>19.760000000000002</v>
      </c>
      <c r="G933">
        <v>4.5599999999999996</v>
      </c>
      <c r="H933">
        <v>7.6</v>
      </c>
      <c r="I933">
        <v>12.16</v>
      </c>
      <c r="J933" t="s">
        <v>354</v>
      </c>
      <c r="K933" t="str">
        <f t="shared" si="33"/>
        <v>joseph11</v>
      </c>
      <c r="L933">
        <f t="shared" si="34"/>
        <v>57.76</v>
      </c>
    </row>
    <row r="934" spans="1:12" x14ac:dyDescent="0.25">
      <c r="A934">
        <v>11</v>
      </c>
      <c r="B934" t="s">
        <v>42</v>
      </c>
      <c r="C934" t="s">
        <v>32</v>
      </c>
      <c r="D934" s="1" t="s">
        <v>1285</v>
      </c>
      <c r="E934">
        <v>14.85</v>
      </c>
      <c r="F934">
        <v>19.53</v>
      </c>
      <c r="G934">
        <v>4.57</v>
      </c>
      <c r="H934">
        <v>7.48</v>
      </c>
      <c r="I934">
        <v>12.05</v>
      </c>
      <c r="J934" t="s">
        <v>354</v>
      </c>
      <c r="K934" t="str">
        <f t="shared" si="33"/>
        <v>joseph11</v>
      </c>
      <c r="L934">
        <f t="shared" si="34"/>
        <v>55.950400000000009</v>
      </c>
    </row>
    <row r="935" spans="1:12" x14ac:dyDescent="0.25">
      <c r="A935">
        <v>11</v>
      </c>
      <c r="B935" t="s">
        <v>40</v>
      </c>
      <c r="C935" t="s">
        <v>32</v>
      </c>
      <c r="D935" s="1" t="s">
        <v>1286</v>
      </c>
      <c r="E935">
        <v>12.85</v>
      </c>
      <c r="F935">
        <v>18.29</v>
      </c>
      <c r="G935">
        <v>2.41</v>
      </c>
      <c r="H935">
        <v>7.94</v>
      </c>
      <c r="I935">
        <v>10.35</v>
      </c>
      <c r="J935" t="s">
        <v>354</v>
      </c>
      <c r="K935" t="str">
        <f t="shared" si="33"/>
        <v>joseph11</v>
      </c>
      <c r="L935">
        <f t="shared" si="34"/>
        <v>63.043600000000005</v>
      </c>
    </row>
    <row r="936" spans="1:12" x14ac:dyDescent="0.25">
      <c r="A936">
        <v>11</v>
      </c>
      <c r="B936" t="s">
        <v>69</v>
      </c>
      <c r="C936" t="s">
        <v>32</v>
      </c>
      <c r="D936" s="1" t="s">
        <v>1287</v>
      </c>
      <c r="E936">
        <v>17.07</v>
      </c>
      <c r="F936">
        <v>19.97</v>
      </c>
      <c r="G936">
        <v>6.51</v>
      </c>
      <c r="H936">
        <v>6.73</v>
      </c>
      <c r="I936">
        <v>13.24</v>
      </c>
      <c r="J936" t="s">
        <v>355</v>
      </c>
      <c r="K936" t="str">
        <f t="shared" si="33"/>
        <v>alyssa11</v>
      </c>
      <c r="L936">
        <f t="shared" si="34"/>
        <v>45.292900000000003</v>
      </c>
    </row>
    <row r="937" spans="1:12" x14ac:dyDescent="0.25">
      <c r="A937">
        <v>11</v>
      </c>
      <c r="B937" t="s">
        <v>71</v>
      </c>
      <c r="C937" t="s">
        <v>32</v>
      </c>
      <c r="D937" s="1" t="s">
        <v>1288</v>
      </c>
      <c r="E937">
        <v>13.15</v>
      </c>
      <c r="F937">
        <v>16.38</v>
      </c>
      <c r="G937">
        <v>3.8</v>
      </c>
      <c r="H937">
        <v>6.29</v>
      </c>
      <c r="I937">
        <v>10.09</v>
      </c>
      <c r="J937" t="s">
        <v>355</v>
      </c>
      <c r="K937" t="str">
        <f t="shared" si="33"/>
        <v>alyssa11</v>
      </c>
      <c r="L937">
        <f t="shared" si="34"/>
        <v>39.564100000000003</v>
      </c>
    </row>
    <row r="938" spans="1:12" x14ac:dyDescent="0.25">
      <c r="A938">
        <v>11</v>
      </c>
      <c r="B938" t="s">
        <v>51</v>
      </c>
      <c r="C938" t="s">
        <v>32</v>
      </c>
      <c r="D938" s="1" t="s">
        <v>1289</v>
      </c>
      <c r="E938">
        <v>12.11</v>
      </c>
      <c r="F938">
        <v>16.12</v>
      </c>
      <c r="G938">
        <v>2.2400000000000002</v>
      </c>
      <c r="H938">
        <v>6.94</v>
      </c>
      <c r="I938">
        <v>9.18</v>
      </c>
      <c r="J938" t="s">
        <v>355</v>
      </c>
      <c r="K938" t="str">
        <f t="shared" si="33"/>
        <v>alyssa11</v>
      </c>
      <c r="L938">
        <f t="shared" si="34"/>
        <v>48.163600000000002</v>
      </c>
    </row>
    <row r="939" spans="1:12" x14ac:dyDescent="0.25">
      <c r="A939">
        <v>11</v>
      </c>
      <c r="B939" t="s">
        <v>47</v>
      </c>
      <c r="C939" t="s">
        <v>32</v>
      </c>
      <c r="D939" s="1" t="s">
        <v>1290</v>
      </c>
      <c r="E939">
        <v>13.15</v>
      </c>
      <c r="F939">
        <v>17.850000000000001</v>
      </c>
      <c r="G939">
        <v>2.81</v>
      </c>
      <c r="H939">
        <v>7.52</v>
      </c>
      <c r="I939">
        <v>10.33</v>
      </c>
      <c r="J939" t="s">
        <v>356</v>
      </c>
      <c r="K939" t="str">
        <f t="shared" si="33"/>
        <v>chris11</v>
      </c>
      <c r="L939">
        <f t="shared" si="34"/>
        <v>56.550399999999996</v>
      </c>
    </row>
    <row r="940" spans="1:12" x14ac:dyDescent="0.25">
      <c r="A940">
        <v>11</v>
      </c>
      <c r="B940" t="s">
        <v>46</v>
      </c>
      <c r="C940" t="s">
        <v>32</v>
      </c>
      <c r="D940" s="1" t="s">
        <v>1291</v>
      </c>
      <c r="E940">
        <v>11.44</v>
      </c>
      <c r="F940">
        <v>15.09</v>
      </c>
      <c r="G940">
        <v>2.13</v>
      </c>
      <c r="H940">
        <v>6.48</v>
      </c>
      <c r="I940">
        <v>8.61</v>
      </c>
      <c r="J940" t="s">
        <v>356</v>
      </c>
      <c r="K940" t="str">
        <f t="shared" si="33"/>
        <v>chris11</v>
      </c>
      <c r="L940">
        <f t="shared" si="34"/>
        <v>41.990400000000008</v>
      </c>
    </row>
    <row r="941" spans="1:12" x14ac:dyDescent="0.25">
      <c r="A941">
        <v>11</v>
      </c>
      <c r="B941" t="s">
        <v>70</v>
      </c>
      <c r="C941" t="s">
        <v>32</v>
      </c>
      <c r="D941" s="1" t="s">
        <v>1292</v>
      </c>
      <c r="E941">
        <v>8.06</v>
      </c>
      <c r="F941">
        <v>10.67</v>
      </c>
      <c r="G941">
        <v>1.41</v>
      </c>
      <c r="H941">
        <v>4.63</v>
      </c>
      <c r="I941">
        <v>6.04</v>
      </c>
      <c r="J941" t="s">
        <v>356</v>
      </c>
      <c r="K941" t="str">
        <f t="shared" si="33"/>
        <v>chris11</v>
      </c>
      <c r="L941">
        <f t="shared" si="34"/>
        <v>21.436899999999998</v>
      </c>
    </row>
    <row r="942" spans="1:12" x14ac:dyDescent="0.25">
      <c r="A942">
        <v>11</v>
      </c>
      <c r="B942" t="s">
        <v>222</v>
      </c>
      <c r="C942" t="s">
        <v>32</v>
      </c>
      <c r="D942" s="1" t="s">
        <v>1293</v>
      </c>
      <c r="E942">
        <v>10.31</v>
      </c>
      <c r="F942">
        <v>16.59</v>
      </c>
      <c r="G942">
        <v>0.13</v>
      </c>
      <c r="H942">
        <v>8.23</v>
      </c>
      <c r="I942">
        <v>8.36</v>
      </c>
      <c r="J942" t="s">
        <v>357</v>
      </c>
      <c r="K942" t="str">
        <f t="shared" si="33"/>
        <v>jordan11</v>
      </c>
      <c r="L942">
        <f t="shared" si="34"/>
        <v>67.732900000000001</v>
      </c>
    </row>
    <row r="943" spans="1:12" x14ac:dyDescent="0.25">
      <c r="A943">
        <v>11</v>
      </c>
      <c r="B943" t="s">
        <v>50</v>
      </c>
      <c r="C943" t="s">
        <v>32</v>
      </c>
      <c r="D943" s="1" t="s">
        <v>1294</v>
      </c>
      <c r="E943">
        <v>5.26</v>
      </c>
      <c r="F943">
        <v>7.29</v>
      </c>
      <c r="G943">
        <v>0.05</v>
      </c>
      <c r="H943">
        <v>3.62</v>
      </c>
      <c r="I943">
        <v>3.67</v>
      </c>
      <c r="J943" t="s">
        <v>357</v>
      </c>
      <c r="K943" t="str">
        <f t="shared" si="33"/>
        <v>jordan11</v>
      </c>
      <c r="L943">
        <f t="shared" si="34"/>
        <v>13.1044</v>
      </c>
    </row>
    <row r="944" spans="1:12" x14ac:dyDescent="0.25">
      <c r="A944">
        <v>11</v>
      </c>
      <c r="B944" t="s">
        <v>184</v>
      </c>
      <c r="C944" t="s">
        <v>32</v>
      </c>
      <c r="D944" s="1" t="s">
        <v>1295</v>
      </c>
      <c r="E944">
        <v>18.489999999999998</v>
      </c>
      <c r="F944">
        <v>26.85</v>
      </c>
      <c r="G944">
        <v>3.29</v>
      </c>
      <c r="H944">
        <v>11.78</v>
      </c>
      <c r="I944">
        <v>15.07</v>
      </c>
      <c r="J944" t="s">
        <v>358</v>
      </c>
      <c r="K944" t="str">
        <f t="shared" si="33"/>
        <v>alex11</v>
      </c>
      <c r="L944">
        <f t="shared" si="34"/>
        <v>138.76839999999999</v>
      </c>
    </row>
    <row r="945" spans="1:12" x14ac:dyDescent="0.25">
      <c r="A945">
        <v>11</v>
      </c>
      <c r="B945" t="s">
        <v>34</v>
      </c>
      <c r="C945" t="s">
        <v>32</v>
      </c>
      <c r="D945" s="1" t="s">
        <v>1296</v>
      </c>
      <c r="E945">
        <v>17.8</v>
      </c>
      <c r="F945">
        <v>23.3</v>
      </c>
      <c r="G945">
        <v>6.26</v>
      </c>
      <c r="H945">
        <v>8.52</v>
      </c>
      <c r="I945">
        <v>14.78</v>
      </c>
      <c r="J945" t="s">
        <v>358</v>
      </c>
      <c r="K945" t="str">
        <f t="shared" si="33"/>
        <v>alex11</v>
      </c>
      <c r="L945">
        <f t="shared" si="34"/>
        <v>72.590399999999988</v>
      </c>
    </row>
    <row r="946" spans="1:12" x14ac:dyDescent="0.25">
      <c r="A946">
        <v>11</v>
      </c>
      <c r="B946" t="s">
        <v>36</v>
      </c>
      <c r="C946" t="s">
        <v>32</v>
      </c>
      <c r="D946" s="1" t="s">
        <v>1297</v>
      </c>
      <c r="E946">
        <v>12.63</v>
      </c>
      <c r="F946">
        <v>15.82</v>
      </c>
      <c r="G946">
        <v>4.0599999999999996</v>
      </c>
      <c r="H946">
        <v>5.88</v>
      </c>
      <c r="I946">
        <v>9.94</v>
      </c>
      <c r="J946" t="s">
        <v>358</v>
      </c>
      <c r="K946" t="str">
        <f t="shared" si="33"/>
        <v>alex11</v>
      </c>
      <c r="L946">
        <f t="shared" si="34"/>
        <v>34.574399999999997</v>
      </c>
    </row>
    <row r="947" spans="1:12" x14ac:dyDescent="0.25">
      <c r="A947">
        <v>11</v>
      </c>
      <c r="B947" t="s">
        <v>161</v>
      </c>
      <c r="C947" t="s">
        <v>32</v>
      </c>
      <c r="D947" s="1" t="s">
        <v>1298</v>
      </c>
      <c r="E947">
        <v>9.56</v>
      </c>
      <c r="F947">
        <v>12.36</v>
      </c>
      <c r="G947">
        <v>2.96</v>
      </c>
      <c r="H947">
        <v>4.7</v>
      </c>
      <c r="I947">
        <v>7.66</v>
      </c>
      <c r="J947" t="s">
        <v>359</v>
      </c>
      <c r="K947" t="str">
        <f t="shared" si="33"/>
        <v>colin11</v>
      </c>
      <c r="L947">
        <f t="shared" si="34"/>
        <v>22.090000000000003</v>
      </c>
    </row>
    <row r="948" spans="1:12" x14ac:dyDescent="0.25">
      <c r="A948">
        <v>11</v>
      </c>
      <c r="B948" t="s">
        <v>234</v>
      </c>
      <c r="C948" t="s">
        <v>32</v>
      </c>
      <c r="D948" s="1" t="s">
        <v>1299</v>
      </c>
      <c r="E948">
        <v>9.68</v>
      </c>
      <c r="F948">
        <v>13.2</v>
      </c>
      <c r="G948">
        <v>1.78</v>
      </c>
      <c r="H948">
        <v>5.71</v>
      </c>
      <c r="I948">
        <v>7.49</v>
      </c>
      <c r="J948" t="s">
        <v>359</v>
      </c>
      <c r="K948" t="str">
        <f t="shared" si="33"/>
        <v>colin11</v>
      </c>
      <c r="L948">
        <f t="shared" si="34"/>
        <v>32.604100000000003</v>
      </c>
    </row>
    <row r="949" spans="1:12" x14ac:dyDescent="0.25">
      <c r="A949">
        <v>11</v>
      </c>
      <c r="B949" t="s">
        <v>38</v>
      </c>
      <c r="C949" t="s">
        <v>32</v>
      </c>
      <c r="D949" s="1" t="s">
        <v>1300</v>
      </c>
      <c r="E949">
        <v>14.75</v>
      </c>
      <c r="F949">
        <v>20.61</v>
      </c>
      <c r="G949">
        <v>3.73</v>
      </c>
      <c r="H949">
        <v>8.44</v>
      </c>
      <c r="I949">
        <v>12.17</v>
      </c>
      <c r="J949" t="s">
        <v>360</v>
      </c>
      <c r="K949" t="str">
        <f t="shared" si="33"/>
        <v>paul11</v>
      </c>
      <c r="L949">
        <f t="shared" si="34"/>
        <v>71.233599999999996</v>
      </c>
    </row>
    <row r="950" spans="1:12" x14ac:dyDescent="0.25">
      <c r="A950">
        <v>11</v>
      </c>
      <c r="B950" t="s">
        <v>147</v>
      </c>
      <c r="C950" t="s">
        <v>32</v>
      </c>
      <c r="D950" s="1" t="s">
        <v>1301</v>
      </c>
      <c r="E950">
        <v>12.18</v>
      </c>
      <c r="F950">
        <v>15.47</v>
      </c>
      <c r="G950">
        <v>4.59</v>
      </c>
      <c r="H950">
        <v>5.44</v>
      </c>
      <c r="I950">
        <v>10.029999999999999</v>
      </c>
      <c r="J950" t="s">
        <v>360</v>
      </c>
      <c r="K950" t="str">
        <f t="shared" si="33"/>
        <v>paul11</v>
      </c>
      <c r="L950">
        <f t="shared" si="34"/>
        <v>29.593600000000006</v>
      </c>
    </row>
    <row r="951" spans="1:12" x14ac:dyDescent="0.25">
      <c r="A951">
        <v>11</v>
      </c>
      <c r="B951" t="s">
        <v>49</v>
      </c>
      <c r="C951" t="s">
        <v>32</v>
      </c>
      <c r="D951" s="1" t="s">
        <v>1302</v>
      </c>
      <c r="E951">
        <v>12.3</v>
      </c>
      <c r="F951">
        <v>15.65</v>
      </c>
      <c r="G951">
        <v>3.65</v>
      </c>
      <c r="H951">
        <v>6</v>
      </c>
      <c r="I951">
        <v>9.65</v>
      </c>
      <c r="J951" t="s">
        <v>360</v>
      </c>
      <c r="K951" t="str">
        <f t="shared" si="33"/>
        <v>paul11</v>
      </c>
      <c r="L951">
        <f t="shared" si="34"/>
        <v>36</v>
      </c>
    </row>
    <row r="952" spans="1:12" x14ac:dyDescent="0.25">
      <c r="A952">
        <v>11</v>
      </c>
      <c r="B952" t="s">
        <v>246</v>
      </c>
      <c r="C952" t="s">
        <v>53</v>
      </c>
      <c r="D952" s="1" t="s">
        <v>1303</v>
      </c>
      <c r="E952">
        <v>16.55</v>
      </c>
      <c r="F952">
        <v>22.76</v>
      </c>
      <c r="G952">
        <v>8.1</v>
      </c>
      <c r="H952">
        <v>7.33</v>
      </c>
      <c r="I952">
        <v>15.43</v>
      </c>
      <c r="J952" t="s">
        <v>351</v>
      </c>
      <c r="K952" t="str">
        <f t="shared" si="33"/>
        <v>andrew11</v>
      </c>
      <c r="L952">
        <f t="shared" si="34"/>
        <v>53.728900000000003</v>
      </c>
    </row>
    <row r="953" spans="1:12" x14ac:dyDescent="0.25">
      <c r="A953">
        <v>11</v>
      </c>
      <c r="B953" t="s">
        <v>204</v>
      </c>
      <c r="C953" t="s">
        <v>53</v>
      </c>
      <c r="D953" s="1" t="s">
        <v>1304</v>
      </c>
      <c r="E953">
        <v>22.49</v>
      </c>
      <c r="F953">
        <v>29.43</v>
      </c>
      <c r="G953">
        <v>14.11</v>
      </c>
      <c r="H953">
        <v>7.66</v>
      </c>
      <c r="I953">
        <v>21.77</v>
      </c>
      <c r="J953" t="s">
        <v>352</v>
      </c>
      <c r="K953" t="str">
        <f t="shared" si="33"/>
        <v>jake11</v>
      </c>
      <c r="L953">
        <f t="shared" si="34"/>
        <v>58.675600000000003</v>
      </c>
    </row>
    <row r="954" spans="1:12" x14ac:dyDescent="0.25">
      <c r="A954">
        <v>11</v>
      </c>
      <c r="B954" t="s">
        <v>148</v>
      </c>
      <c r="C954" t="s">
        <v>53</v>
      </c>
      <c r="D954" s="1" t="s">
        <v>1305</v>
      </c>
      <c r="E954">
        <v>21.51</v>
      </c>
      <c r="F954">
        <v>28.37</v>
      </c>
      <c r="G954">
        <v>13.41</v>
      </c>
      <c r="H954">
        <v>7.48</v>
      </c>
      <c r="I954">
        <v>20.89</v>
      </c>
      <c r="J954" t="s">
        <v>353</v>
      </c>
      <c r="K954" t="str">
        <f t="shared" si="33"/>
        <v>breanna11</v>
      </c>
      <c r="L954">
        <f t="shared" si="34"/>
        <v>55.950400000000009</v>
      </c>
    </row>
    <row r="955" spans="1:12" x14ac:dyDescent="0.25">
      <c r="A955">
        <v>11</v>
      </c>
      <c r="B955" t="s">
        <v>364</v>
      </c>
      <c r="C955" t="s">
        <v>53</v>
      </c>
      <c r="D955" s="1" t="s">
        <v>1306</v>
      </c>
      <c r="E955">
        <v>18.670000000000002</v>
      </c>
      <c r="F955">
        <v>24.85</v>
      </c>
      <c r="G955">
        <v>10.47</v>
      </c>
      <c r="H955">
        <v>7.19</v>
      </c>
      <c r="I955">
        <v>17.66</v>
      </c>
      <c r="J955" t="s">
        <v>354</v>
      </c>
      <c r="K955" t="str">
        <f t="shared" si="33"/>
        <v>joseph11</v>
      </c>
      <c r="L955">
        <f t="shared" si="34"/>
        <v>51.696100000000008</v>
      </c>
    </row>
    <row r="956" spans="1:12" x14ac:dyDescent="0.25">
      <c r="A956">
        <v>11</v>
      </c>
      <c r="B956" t="s">
        <v>386</v>
      </c>
      <c r="C956" t="s">
        <v>53</v>
      </c>
      <c r="D956" s="1" t="s">
        <v>1307</v>
      </c>
      <c r="E956">
        <v>20.63</v>
      </c>
      <c r="F956">
        <v>26.26</v>
      </c>
      <c r="G956">
        <v>13.28</v>
      </c>
      <c r="H956">
        <v>6.49</v>
      </c>
      <c r="I956">
        <v>19.77</v>
      </c>
      <c r="J956" t="s">
        <v>355</v>
      </c>
      <c r="K956" t="str">
        <f t="shared" si="33"/>
        <v>alyssa11</v>
      </c>
      <c r="L956">
        <f t="shared" si="34"/>
        <v>42.120100000000001</v>
      </c>
    </row>
    <row r="957" spans="1:12" x14ac:dyDescent="0.25">
      <c r="A957">
        <v>11</v>
      </c>
      <c r="B957" t="s">
        <v>55</v>
      </c>
      <c r="C957" t="s">
        <v>53</v>
      </c>
      <c r="D957" s="1" t="s">
        <v>1308</v>
      </c>
      <c r="E957">
        <v>20.81</v>
      </c>
      <c r="F957">
        <v>28.58</v>
      </c>
      <c r="G957">
        <v>11.5</v>
      </c>
      <c r="H957">
        <v>8.5399999999999991</v>
      </c>
      <c r="I957">
        <v>20.04</v>
      </c>
      <c r="J957" t="s">
        <v>356</v>
      </c>
      <c r="K957" t="str">
        <f t="shared" si="33"/>
        <v>chris11</v>
      </c>
      <c r="L957">
        <f t="shared" si="34"/>
        <v>72.931599999999989</v>
      </c>
    </row>
    <row r="958" spans="1:12" x14ac:dyDescent="0.25">
      <c r="A958">
        <v>11</v>
      </c>
      <c r="B958" t="s">
        <v>390</v>
      </c>
      <c r="C958" t="s">
        <v>53</v>
      </c>
      <c r="D958" s="1" t="s">
        <v>1309</v>
      </c>
      <c r="E958">
        <v>21.41</v>
      </c>
      <c r="F958">
        <v>27.96</v>
      </c>
      <c r="G958">
        <v>14.02</v>
      </c>
      <c r="H958">
        <v>6.97</v>
      </c>
      <c r="I958">
        <v>20.99</v>
      </c>
      <c r="J958" t="s">
        <v>357</v>
      </c>
      <c r="K958" t="str">
        <f t="shared" si="33"/>
        <v>jordan11</v>
      </c>
      <c r="L958">
        <f t="shared" si="34"/>
        <v>48.5809</v>
      </c>
    </row>
    <row r="959" spans="1:12" x14ac:dyDescent="0.25">
      <c r="A959">
        <v>11</v>
      </c>
      <c r="B959" t="s">
        <v>54</v>
      </c>
      <c r="C959" t="s">
        <v>53</v>
      </c>
      <c r="D959" s="1" t="s">
        <v>1310</v>
      </c>
      <c r="E959">
        <v>22.16</v>
      </c>
      <c r="F959">
        <v>30.46</v>
      </c>
      <c r="G959">
        <v>12.64</v>
      </c>
      <c r="H959">
        <v>8.91</v>
      </c>
      <c r="I959">
        <v>21.55</v>
      </c>
      <c r="J959" t="s">
        <v>358</v>
      </c>
      <c r="K959" t="str">
        <f t="shared" si="33"/>
        <v>alex11</v>
      </c>
      <c r="L959">
        <f t="shared" si="34"/>
        <v>79.388100000000009</v>
      </c>
    </row>
    <row r="960" spans="1:12" x14ac:dyDescent="0.25">
      <c r="A960">
        <v>11</v>
      </c>
      <c r="B960" t="s">
        <v>1311</v>
      </c>
      <c r="C960" t="s">
        <v>53</v>
      </c>
      <c r="D960" s="1" t="s">
        <v>1312</v>
      </c>
      <c r="E960">
        <v>17.420000000000002</v>
      </c>
      <c r="F960">
        <v>26.49</v>
      </c>
      <c r="G960">
        <v>6.95</v>
      </c>
      <c r="H960">
        <v>9.77</v>
      </c>
      <c r="I960">
        <v>16.72</v>
      </c>
      <c r="J960" t="s">
        <v>359</v>
      </c>
      <c r="K960" t="str">
        <f t="shared" si="33"/>
        <v>colin11</v>
      </c>
      <c r="L960">
        <f t="shared" si="34"/>
        <v>95.452899999999985</v>
      </c>
    </row>
    <row r="961" spans="1:12" x14ac:dyDescent="0.25">
      <c r="A961">
        <v>11</v>
      </c>
      <c r="B961" t="s">
        <v>194</v>
      </c>
      <c r="C961" t="s">
        <v>53</v>
      </c>
      <c r="D961" s="1" t="s">
        <v>1313</v>
      </c>
      <c r="E961">
        <v>20.95</v>
      </c>
      <c r="F961">
        <v>27.24</v>
      </c>
      <c r="G961">
        <v>13.74</v>
      </c>
      <c r="H961">
        <v>6.75</v>
      </c>
      <c r="I961">
        <v>20.49</v>
      </c>
      <c r="J961" t="s">
        <v>360</v>
      </c>
      <c r="K961" t="str">
        <f t="shared" si="33"/>
        <v>paul11</v>
      </c>
      <c r="L961">
        <f t="shared" si="34"/>
        <v>45.5625</v>
      </c>
    </row>
    <row r="962" spans="1:12" x14ac:dyDescent="0.25">
      <c r="A962">
        <v>11</v>
      </c>
      <c r="B962" t="s">
        <v>497</v>
      </c>
      <c r="C962" t="s">
        <v>57</v>
      </c>
      <c r="D962" s="1" t="s">
        <v>1314</v>
      </c>
      <c r="E962">
        <v>7.21</v>
      </c>
      <c r="F962">
        <v>9.34</v>
      </c>
      <c r="G962">
        <v>1.46</v>
      </c>
      <c r="H962">
        <v>3.94</v>
      </c>
      <c r="I962">
        <v>5.4</v>
      </c>
      <c r="J962" t="s">
        <v>351</v>
      </c>
      <c r="K962" t="str">
        <f t="shared" si="33"/>
        <v>andrew11</v>
      </c>
      <c r="L962">
        <f t="shared" si="34"/>
        <v>15.5236</v>
      </c>
    </row>
    <row r="963" spans="1:12" x14ac:dyDescent="0.25">
      <c r="A963">
        <v>11</v>
      </c>
      <c r="B963" t="s">
        <v>60</v>
      </c>
      <c r="C963" t="s">
        <v>57</v>
      </c>
      <c r="D963" s="1" t="s">
        <v>1315</v>
      </c>
      <c r="E963">
        <v>9.64</v>
      </c>
      <c r="F963">
        <v>12.5</v>
      </c>
      <c r="G963">
        <v>2.08</v>
      </c>
      <c r="H963">
        <v>5.21</v>
      </c>
      <c r="I963">
        <v>7.29</v>
      </c>
      <c r="J963" t="s">
        <v>352</v>
      </c>
      <c r="K963" t="str">
        <f t="shared" ref="K963:K1026" si="35">J963&amp;A963</f>
        <v>jake11</v>
      </c>
      <c r="L963">
        <f t="shared" ref="L963:L1026" si="36">H963^2</f>
        <v>27.144099999999998</v>
      </c>
    </row>
    <row r="964" spans="1:12" x14ac:dyDescent="0.25">
      <c r="A964">
        <v>11</v>
      </c>
      <c r="B964" t="s">
        <v>368</v>
      </c>
      <c r="C964" t="s">
        <v>57</v>
      </c>
      <c r="D964" s="1" t="s">
        <v>1316</v>
      </c>
      <c r="E964">
        <v>5.23</v>
      </c>
      <c r="F964">
        <v>7.81</v>
      </c>
      <c r="G964">
        <v>-0.05</v>
      </c>
      <c r="H964">
        <v>3.93</v>
      </c>
      <c r="I964">
        <v>3.88</v>
      </c>
      <c r="J964" t="s">
        <v>353</v>
      </c>
      <c r="K964" t="str">
        <f t="shared" si="35"/>
        <v>breanna11</v>
      </c>
      <c r="L964">
        <f t="shared" si="36"/>
        <v>15.444900000000001</v>
      </c>
    </row>
    <row r="965" spans="1:12" x14ac:dyDescent="0.25">
      <c r="A965">
        <v>11</v>
      </c>
      <c r="B965" t="s">
        <v>61</v>
      </c>
      <c r="C965" t="s">
        <v>57</v>
      </c>
      <c r="D965" s="1" t="s">
        <v>1317</v>
      </c>
      <c r="E965">
        <v>11.78</v>
      </c>
      <c r="F965">
        <v>14.09</v>
      </c>
      <c r="G965">
        <v>4.13</v>
      </c>
      <c r="H965">
        <v>4.9800000000000004</v>
      </c>
      <c r="I965">
        <v>9.11</v>
      </c>
      <c r="J965" t="s">
        <v>354</v>
      </c>
      <c r="K965" t="str">
        <f t="shared" si="35"/>
        <v>joseph11</v>
      </c>
      <c r="L965">
        <f t="shared" si="36"/>
        <v>24.800400000000003</v>
      </c>
    </row>
    <row r="966" spans="1:12" x14ac:dyDescent="0.25">
      <c r="A966">
        <v>11</v>
      </c>
      <c r="B966" t="s">
        <v>182</v>
      </c>
      <c r="C966" t="s">
        <v>57</v>
      </c>
      <c r="D966" s="1" t="s">
        <v>1318</v>
      </c>
      <c r="E966">
        <v>3.65</v>
      </c>
      <c r="F966">
        <v>5.69</v>
      </c>
      <c r="G966">
        <v>-0.11</v>
      </c>
      <c r="H966">
        <v>2.9</v>
      </c>
      <c r="I966">
        <v>2.79</v>
      </c>
      <c r="J966" t="s">
        <v>355</v>
      </c>
      <c r="K966" t="str">
        <f t="shared" si="35"/>
        <v>alyssa11</v>
      </c>
      <c r="L966">
        <f t="shared" si="36"/>
        <v>8.41</v>
      </c>
    </row>
    <row r="967" spans="1:12" x14ac:dyDescent="0.25">
      <c r="A967">
        <v>11</v>
      </c>
      <c r="B967" t="s">
        <v>58</v>
      </c>
      <c r="C967" t="s">
        <v>57</v>
      </c>
      <c r="D967" s="1" t="s">
        <v>1319</v>
      </c>
      <c r="E967">
        <v>8.66</v>
      </c>
      <c r="F967">
        <v>11.78</v>
      </c>
      <c r="G967">
        <v>1.52</v>
      </c>
      <c r="H967">
        <v>5.13</v>
      </c>
      <c r="I967">
        <v>6.65</v>
      </c>
      <c r="J967" t="s">
        <v>356</v>
      </c>
      <c r="K967" t="str">
        <f t="shared" si="35"/>
        <v>chris11</v>
      </c>
      <c r="L967">
        <f t="shared" si="36"/>
        <v>26.3169</v>
      </c>
    </row>
    <row r="968" spans="1:12" x14ac:dyDescent="0.25">
      <c r="A968">
        <v>11</v>
      </c>
      <c r="B968" t="s">
        <v>393</v>
      </c>
      <c r="C968" t="s">
        <v>57</v>
      </c>
      <c r="D968" s="1" t="s">
        <v>1320</v>
      </c>
      <c r="E968">
        <v>7.64</v>
      </c>
      <c r="F968">
        <v>11.58</v>
      </c>
      <c r="G968">
        <v>-0.04</v>
      </c>
      <c r="H968">
        <v>5.81</v>
      </c>
      <c r="I968">
        <v>5.77</v>
      </c>
      <c r="J968" t="s">
        <v>357</v>
      </c>
      <c r="K968" t="str">
        <f t="shared" si="35"/>
        <v>jordan11</v>
      </c>
      <c r="L968">
        <f t="shared" si="36"/>
        <v>33.756099999999996</v>
      </c>
    </row>
    <row r="969" spans="1:12" x14ac:dyDescent="0.25">
      <c r="A969">
        <v>11</v>
      </c>
      <c r="B969" t="s">
        <v>150</v>
      </c>
      <c r="C969" t="s">
        <v>57</v>
      </c>
      <c r="D969" s="1" t="s">
        <v>1321</v>
      </c>
      <c r="E969">
        <v>10.220000000000001</v>
      </c>
      <c r="F969">
        <v>12.95</v>
      </c>
      <c r="G969">
        <v>2.75</v>
      </c>
      <c r="H969">
        <v>5.0999999999999996</v>
      </c>
      <c r="I969">
        <v>7.85</v>
      </c>
      <c r="J969" t="s">
        <v>358</v>
      </c>
      <c r="K969" t="str">
        <f t="shared" si="35"/>
        <v>alex11</v>
      </c>
      <c r="L969">
        <f t="shared" si="36"/>
        <v>26.009999999999998</v>
      </c>
    </row>
    <row r="970" spans="1:12" x14ac:dyDescent="0.25">
      <c r="A970">
        <v>11</v>
      </c>
      <c r="B970" t="s">
        <v>73</v>
      </c>
      <c r="C970" t="s">
        <v>57</v>
      </c>
      <c r="D970" s="1" t="s">
        <v>1322</v>
      </c>
      <c r="E970">
        <v>10.07</v>
      </c>
      <c r="F970">
        <v>11.77</v>
      </c>
      <c r="G970">
        <v>3.65</v>
      </c>
      <c r="H970">
        <v>4.0599999999999996</v>
      </c>
      <c r="I970">
        <v>7.71</v>
      </c>
      <c r="J970" t="s">
        <v>359</v>
      </c>
      <c r="K970" t="str">
        <f t="shared" si="35"/>
        <v>colin11</v>
      </c>
      <c r="L970">
        <f t="shared" si="36"/>
        <v>16.483599999999996</v>
      </c>
    </row>
    <row r="971" spans="1:12" x14ac:dyDescent="0.25">
      <c r="A971">
        <v>11</v>
      </c>
      <c r="B971" t="s">
        <v>59</v>
      </c>
      <c r="C971" t="s">
        <v>57</v>
      </c>
      <c r="D971" s="1" t="s">
        <v>604</v>
      </c>
      <c r="E971">
        <v>8.64</v>
      </c>
      <c r="F971">
        <v>11.01</v>
      </c>
      <c r="G971">
        <v>1.77</v>
      </c>
      <c r="H971">
        <v>4.62</v>
      </c>
      <c r="I971">
        <v>6.39</v>
      </c>
      <c r="J971" t="s">
        <v>360</v>
      </c>
      <c r="K971" t="str">
        <f t="shared" si="35"/>
        <v>paul11</v>
      </c>
      <c r="L971">
        <f t="shared" si="36"/>
        <v>21.3444</v>
      </c>
    </row>
    <row r="972" spans="1:12" x14ac:dyDescent="0.25">
      <c r="A972">
        <v>11</v>
      </c>
      <c r="B972" t="s">
        <v>196</v>
      </c>
      <c r="C972" t="s">
        <v>63</v>
      </c>
      <c r="D972" s="1" t="s">
        <v>1323</v>
      </c>
      <c r="E972">
        <v>10.695600000000001</v>
      </c>
      <c r="F972">
        <v>17.47</v>
      </c>
      <c r="G972">
        <v>3.93</v>
      </c>
      <c r="H972">
        <v>6.77</v>
      </c>
      <c r="I972">
        <v>10.695600000000001</v>
      </c>
      <c r="J972" t="s">
        <v>351</v>
      </c>
      <c r="K972" t="str">
        <f t="shared" si="35"/>
        <v>andrew11</v>
      </c>
      <c r="L972">
        <f t="shared" si="36"/>
        <v>45.832899999999995</v>
      </c>
    </row>
    <row r="973" spans="1:12" x14ac:dyDescent="0.25">
      <c r="A973">
        <v>11</v>
      </c>
      <c r="B973" t="s">
        <v>318</v>
      </c>
      <c r="C973" t="s">
        <v>63</v>
      </c>
      <c r="D973" s="1" t="s">
        <v>1324</v>
      </c>
      <c r="E973">
        <v>5.9665999999999997</v>
      </c>
      <c r="F973">
        <v>11.52</v>
      </c>
      <c r="G973">
        <v>0.42</v>
      </c>
      <c r="H973">
        <v>5.55</v>
      </c>
      <c r="I973">
        <v>5.9665999999999997</v>
      </c>
      <c r="J973" t="s">
        <v>352</v>
      </c>
      <c r="K973" t="str">
        <f t="shared" si="35"/>
        <v>jake11</v>
      </c>
      <c r="L973">
        <f t="shared" si="36"/>
        <v>30.802499999999998</v>
      </c>
    </row>
    <row r="974" spans="1:12" x14ac:dyDescent="0.25">
      <c r="A974">
        <v>11</v>
      </c>
      <c r="B974" t="s">
        <v>335</v>
      </c>
      <c r="C974" t="s">
        <v>63</v>
      </c>
      <c r="D974" s="1" t="s">
        <v>1325</v>
      </c>
      <c r="E974">
        <v>5.5025000000000004</v>
      </c>
      <c r="F974">
        <v>10.07</v>
      </c>
      <c r="G974">
        <v>0.93</v>
      </c>
      <c r="H974">
        <v>4.57</v>
      </c>
      <c r="I974">
        <v>5.5025000000000004</v>
      </c>
      <c r="J974" t="s">
        <v>353</v>
      </c>
      <c r="K974" t="str">
        <f t="shared" si="35"/>
        <v>breanna11</v>
      </c>
      <c r="L974">
        <f t="shared" si="36"/>
        <v>20.884900000000002</v>
      </c>
    </row>
    <row r="975" spans="1:12" x14ac:dyDescent="0.25">
      <c r="A975">
        <v>11</v>
      </c>
      <c r="B975" t="s">
        <v>372</v>
      </c>
      <c r="C975" t="s">
        <v>63</v>
      </c>
      <c r="D975" s="1" t="s">
        <v>1326</v>
      </c>
      <c r="E975">
        <v>9.8314000000000004</v>
      </c>
      <c r="F975">
        <v>16.170000000000002</v>
      </c>
      <c r="G975">
        <v>3.49</v>
      </c>
      <c r="H975">
        <v>6.34</v>
      </c>
      <c r="I975">
        <v>9.8314000000000004</v>
      </c>
      <c r="J975" t="s">
        <v>354</v>
      </c>
      <c r="K975" t="str">
        <f t="shared" si="35"/>
        <v>joseph11</v>
      </c>
      <c r="L975">
        <f t="shared" si="36"/>
        <v>40.195599999999999</v>
      </c>
    </row>
    <row r="976" spans="1:12" x14ac:dyDescent="0.25">
      <c r="A976">
        <v>11</v>
      </c>
      <c r="B976" t="s">
        <v>374</v>
      </c>
      <c r="C976" t="s">
        <v>63</v>
      </c>
      <c r="D976" s="1" t="s">
        <v>1327</v>
      </c>
      <c r="E976">
        <v>6.8266</v>
      </c>
      <c r="F976">
        <v>12.88</v>
      </c>
      <c r="G976">
        <v>0.76</v>
      </c>
      <c r="H976">
        <v>6.06</v>
      </c>
      <c r="I976">
        <v>6.8266</v>
      </c>
      <c r="J976" t="s">
        <v>355</v>
      </c>
      <c r="K976" t="str">
        <f t="shared" si="35"/>
        <v>alyssa11</v>
      </c>
      <c r="L976">
        <f t="shared" si="36"/>
        <v>36.723599999999998</v>
      </c>
    </row>
    <row r="977" spans="1:12" x14ac:dyDescent="0.25">
      <c r="A977">
        <v>11</v>
      </c>
      <c r="B977" t="s">
        <v>177</v>
      </c>
      <c r="C977" t="s">
        <v>63</v>
      </c>
      <c r="D977" s="1" t="s">
        <v>1328</v>
      </c>
      <c r="E977">
        <v>9.8164999999999996</v>
      </c>
      <c r="F977">
        <v>16.100000000000001</v>
      </c>
      <c r="G977">
        <v>3.56</v>
      </c>
      <c r="H977">
        <v>6.27</v>
      </c>
      <c r="I977">
        <v>9.8164999999999996</v>
      </c>
      <c r="J977" t="s">
        <v>356</v>
      </c>
      <c r="K977" t="str">
        <f t="shared" si="35"/>
        <v>chris11</v>
      </c>
      <c r="L977">
        <f t="shared" si="36"/>
        <v>39.312899999999992</v>
      </c>
    </row>
    <row r="978" spans="1:12" x14ac:dyDescent="0.25">
      <c r="A978">
        <v>11</v>
      </c>
      <c r="B978" t="s">
        <v>203</v>
      </c>
      <c r="C978" t="s">
        <v>63</v>
      </c>
      <c r="D978" s="1" t="s">
        <v>1329</v>
      </c>
      <c r="E978">
        <v>8.3812999999999995</v>
      </c>
      <c r="F978">
        <v>14.31</v>
      </c>
      <c r="G978">
        <v>2.4500000000000002</v>
      </c>
      <c r="H978">
        <v>5.93</v>
      </c>
      <c r="I978">
        <v>8.3812999999999995</v>
      </c>
      <c r="J978" t="s">
        <v>357</v>
      </c>
      <c r="K978" t="str">
        <f t="shared" si="35"/>
        <v>jordan11</v>
      </c>
      <c r="L978">
        <f t="shared" si="36"/>
        <v>35.164899999999996</v>
      </c>
    </row>
    <row r="979" spans="1:12" x14ac:dyDescent="0.25">
      <c r="A979">
        <v>11</v>
      </c>
      <c r="B979" t="s">
        <v>499</v>
      </c>
      <c r="C979" t="s">
        <v>63</v>
      </c>
      <c r="D979" s="1" t="s">
        <v>1330</v>
      </c>
      <c r="E979">
        <v>5.8354999999999997</v>
      </c>
      <c r="F979">
        <v>10.09</v>
      </c>
      <c r="G979">
        <v>1.59</v>
      </c>
      <c r="H979">
        <v>4.25</v>
      </c>
      <c r="I979">
        <v>5.8354999999999997</v>
      </c>
      <c r="J979" t="s">
        <v>358</v>
      </c>
      <c r="K979" t="str">
        <f t="shared" si="35"/>
        <v>alex11</v>
      </c>
      <c r="L979">
        <f t="shared" si="36"/>
        <v>18.0625</v>
      </c>
    </row>
    <row r="980" spans="1:12" x14ac:dyDescent="0.25">
      <c r="A980">
        <v>11</v>
      </c>
      <c r="B980" t="s">
        <v>257</v>
      </c>
      <c r="C980" t="s">
        <v>63</v>
      </c>
      <c r="D980" s="1" t="s">
        <v>1331</v>
      </c>
      <c r="E980">
        <v>5.0506000000000002</v>
      </c>
      <c r="F980">
        <v>9.93</v>
      </c>
      <c r="G980">
        <v>0.19</v>
      </c>
      <c r="H980">
        <v>4.87</v>
      </c>
      <c r="I980">
        <v>5.0506000000000002</v>
      </c>
      <c r="J980" t="s">
        <v>359</v>
      </c>
      <c r="K980" t="str">
        <f t="shared" si="35"/>
        <v>colin11</v>
      </c>
      <c r="L980">
        <f t="shared" si="36"/>
        <v>23.716900000000003</v>
      </c>
    </row>
    <row r="981" spans="1:12" x14ac:dyDescent="0.25">
      <c r="A981">
        <v>11</v>
      </c>
      <c r="B981" t="s">
        <v>255</v>
      </c>
      <c r="C981" t="s">
        <v>63</v>
      </c>
      <c r="D981" s="1" t="s">
        <v>1332</v>
      </c>
      <c r="E981">
        <v>9.1754999999999995</v>
      </c>
      <c r="F981">
        <v>15.01</v>
      </c>
      <c r="G981">
        <v>3.33</v>
      </c>
      <c r="H981">
        <v>5.84</v>
      </c>
      <c r="I981">
        <v>9.1754999999999995</v>
      </c>
      <c r="J981" t="s">
        <v>360</v>
      </c>
      <c r="K981" t="str">
        <f t="shared" si="35"/>
        <v>paul11</v>
      </c>
      <c r="L981">
        <f t="shared" si="36"/>
        <v>34.105599999999995</v>
      </c>
    </row>
    <row r="982" spans="1:12" x14ac:dyDescent="0.25">
      <c r="A982">
        <v>11</v>
      </c>
      <c r="B982" t="s">
        <v>159</v>
      </c>
      <c r="C982" t="s">
        <v>64</v>
      </c>
      <c r="D982" s="1" t="s">
        <v>1333</v>
      </c>
      <c r="E982">
        <v>7.15</v>
      </c>
      <c r="F982">
        <v>11.69</v>
      </c>
      <c r="G982">
        <v>2.65</v>
      </c>
      <c r="H982">
        <v>4.5199999999999996</v>
      </c>
      <c r="I982">
        <v>7.17</v>
      </c>
      <c r="J982" t="s">
        <v>351</v>
      </c>
      <c r="K982" t="str">
        <f t="shared" si="35"/>
        <v>andrew11</v>
      </c>
      <c r="L982">
        <f t="shared" si="36"/>
        <v>20.430399999999995</v>
      </c>
    </row>
    <row r="983" spans="1:12" x14ac:dyDescent="0.25">
      <c r="A983">
        <v>11</v>
      </c>
      <c r="B983" t="s">
        <v>155</v>
      </c>
      <c r="C983" t="s">
        <v>64</v>
      </c>
      <c r="D983" s="1" t="s">
        <v>1334</v>
      </c>
      <c r="E983">
        <v>8.56</v>
      </c>
      <c r="F983">
        <v>12.97</v>
      </c>
      <c r="G983">
        <v>4.05</v>
      </c>
      <c r="H983">
        <v>4.46</v>
      </c>
      <c r="I983">
        <v>8.51</v>
      </c>
      <c r="J983" t="s">
        <v>352</v>
      </c>
      <c r="K983" t="str">
        <f t="shared" si="35"/>
        <v>jake11</v>
      </c>
      <c r="L983">
        <f t="shared" si="36"/>
        <v>19.8916</v>
      </c>
    </row>
    <row r="984" spans="1:12" x14ac:dyDescent="0.25">
      <c r="A984">
        <v>11</v>
      </c>
      <c r="B984" t="s">
        <v>149</v>
      </c>
      <c r="C984" t="s">
        <v>64</v>
      </c>
      <c r="D984" s="1" t="s">
        <v>1335</v>
      </c>
      <c r="E984">
        <v>9.39</v>
      </c>
      <c r="F984">
        <v>13.62</v>
      </c>
      <c r="G984">
        <v>5.14</v>
      </c>
      <c r="H984">
        <v>4.24</v>
      </c>
      <c r="I984">
        <v>9.3800000000000008</v>
      </c>
      <c r="J984" t="s">
        <v>353</v>
      </c>
      <c r="K984" t="str">
        <f t="shared" si="35"/>
        <v>breanna11</v>
      </c>
      <c r="L984">
        <f t="shared" si="36"/>
        <v>17.977600000000002</v>
      </c>
    </row>
    <row r="985" spans="1:12" x14ac:dyDescent="0.25">
      <c r="A985">
        <v>11</v>
      </c>
      <c r="B985" t="s">
        <v>376</v>
      </c>
      <c r="C985" t="s">
        <v>64</v>
      </c>
      <c r="D985" s="1" t="s">
        <v>1336</v>
      </c>
      <c r="E985">
        <v>8.17</v>
      </c>
      <c r="F985">
        <v>11.55</v>
      </c>
      <c r="G985">
        <v>4.7300000000000004</v>
      </c>
      <c r="H985">
        <v>3.41</v>
      </c>
      <c r="I985">
        <v>8.14</v>
      </c>
      <c r="J985" t="s">
        <v>354</v>
      </c>
      <c r="K985" t="str">
        <f t="shared" si="35"/>
        <v>joseph11</v>
      </c>
      <c r="L985">
        <f t="shared" si="36"/>
        <v>11.628100000000002</v>
      </c>
    </row>
    <row r="986" spans="1:12" x14ac:dyDescent="0.25">
      <c r="A986">
        <v>11</v>
      </c>
      <c r="B986" t="s">
        <v>65</v>
      </c>
      <c r="C986" t="s">
        <v>64</v>
      </c>
      <c r="D986" s="1" t="s">
        <v>1337</v>
      </c>
      <c r="E986">
        <v>8.75</v>
      </c>
      <c r="F986">
        <v>13.3</v>
      </c>
      <c r="G986">
        <v>4.18</v>
      </c>
      <c r="H986">
        <v>4.5599999999999996</v>
      </c>
      <c r="I986">
        <v>8.74</v>
      </c>
      <c r="J986" t="s">
        <v>355</v>
      </c>
      <c r="K986" t="str">
        <f t="shared" si="35"/>
        <v>alyssa11</v>
      </c>
      <c r="L986">
        <f t="shared" si="36"/>
        <v>20.793599999999998</v>
      </c>
    </row>
    <row r="987" spans="1:12" x14ac:dyDescent="0.25">
      <c r="A987">
        <v>11</v>
      </c>
      <c r="B987" t="s">
        <v>67</v>
      </c>
      <c r="C987" t="s">
        <v>64</v>
      </c>
      <c r="D987" s="1" t="s">
        <v>1338</v>
      </c>
      <c r="E987">
        <v>9.66</v>
      </c>
      <c r="F987">
        <v>14.88</v>
      </c>
      <c r="G987">
        <v>4.42</v>
      </c>
      <c r="H987">
        <v>5.23</v>
      </c>
      <c r="I987">
        <v>9.65</v>
      </c>
      <c r="J987" t="s">
        <v>356</v>
      </c>
      <c r="K987" t="str">
        <f t="shared" si="35"/>
        <v>chris11</v>
      </c>
      <c r="L987">
        <f t="shared" si="36"/>
        <v>27.352900000000005</v>
      </c>
    </row>
    <row r="988" spans="1:12" x14ac:dyDescent="0.25">
      <c r="A988">
        <v>11</v>
      </c>
      <c r="B988" t="s">
        <v>394</v>
      </c>
      <c r="C988" t="s">
        <v>64</v>
      </c>
      <c r="D988" s="1" t="s">
        <v>1339</v>
      </c>
      <c r="E988">
        <v>7.95</v>
      </c>
      <c r="F988">
        <v>12.08</v>
      </c>
      <c r="G988">
        <v>3.86</v>
      </c>
      <c r="H988">
        <v>4.1100000000000003</v>
      </c>
      <c r="I988">
        <v>7.97</v>
      </c>
      <c r="J988" t="s">
        <v>357</v>
      </c>
      <c r="K988" t="str">
        <f t="shared" si="35"/>
        <v>jordan11</v>
      </c>
      <c r="L988">
        <f t="shared" si="36"/>
        <v>16.892100000000003</v>
      </c>
    </row>
    <row r="989" spans="1:12" x14ac:dyDescent="0.25">
      <c r="A989">
        <v>11</v>
      </c>
      <c r="B989" t="s">
        <v>378</v>
      </c>
      <c r="C989" t="s">
        <v>64</v>
      </c>
      <c r="D989" s="1" t="s">
        <v>1340</v>
      </c>
      <c r="E989">
        <v>8.5500000000000007</v>
      </c>
      <c r="F989">
        <v>12.51</v>
      </c>
      <c r="G989">
        <v>4.6100000000000003</v>
      </c>
      <c r="H989">
        <v>3.95</v>
      </c>
      <c r="I989">
        <v>8.56</v>
      </c>
      <c r="J989" t="s">
        <v>358</v>
      </c>
      <c r="K989" t="str">
        <f t="shared" si="35"/>
        <v>alex11</v>
      </c>
      <c r="L989">
        <f t="shared" si="36"/>
        <v>15.602500000000001</v>
      </c>
    </row>
    <row r="990" spans="1:12" x14ac:dyDescent="0.25">
      <c r="A990">
        <v>11</v>
      </c>
      <c r="B990" t="s">
        <v>309</v>
      </c>
      <c r="C990" t="s">
        <v>64</v>
      </c>
      <c r="D990" s="1" t="s">
        <v>1339</v>
      </c>
      <c r="E990">
        <v>7.95</v>
      </c>
      <c r="F990">
        <v>12.08</v>
      </c>
      <c r="G990">
        <v>3.86</v>
      </c>
      <c r="H990">
        <v>4.1100000000000003</v>
      </c>
      <c r="I990">
        <v>7.97</v>
      </c>
      <c r="J990" t="s">
        <v>359</v>
      </c>
      <c r="K990" t="str">
        <f t="shared" si="35"/>
        <v>colin11</v>
      </c>
      <c r="L990">
        <f t="shared" si="36"/>
        <v>16.892100000000003</v>
      </c>
    </row>
    <row r="991" spans="1:12" x14ac:dyDescent="0.25">
      <c r="A991">
        <v>11</v>
      </c>
      <c r="B991" t="s">
        <v>167</v>
      </c>
      <c r="C991" t="s">
        <v>64</v>
      </c>
      <c r="D991" s="1" t="s">
        <v>1341</v>
      </c>
      <c r="E991">
        <v>7.74</v>
      </c>
      <c r="F991">
        <v>11.41</v>
      </c>
      <c r="G991">
        <v>4.07</v>
      </c>
      <c r="H991">
        <v>3.67</v>
      </c>
      <c r="I991">
        <v>7.74</v>
      </c>
      <c r="J991" t="s">
        <v>360</v>
      </c>
      <c r="K991" t="str">
        <f t="shared" si="35"/>
        <v>paul11</v>
      </c>
      <c r="L991">
        <f t="shared" si="36"/>
        <v>13.4689</v>
      </c>
    </row>
    <row r="992" spans="1:12" x14ac:dyDescent="0.25">
      <c r="A992">
        <v>12</v>
      </c>
      <c r="B992" t="s">
        <v>68</v>
      </c>
      <c r="C992" t="s">
        <v>10</v>
      </c>
      <c r="D992" s="1" t="s">
        <v>1342</v>
      </c>
      <c r="E992">
        <v>14.74</v>
      </c>
      <c r="F992">
        <v>22.74</v>
      </c>
      <c r="G992">
        <v>4.7</v>
      </c>
      <c r="H992">
        <v>9.02</v>
      </c>
      <c r="I992">
        <v>13.72</v>
      </c>
      <c r="J992" t="s">
        <v>351</v>
      </c>
      <c r="K992" t="str">
        <f t="shared" si="35"/>
        <v>andrew12</v>
      </c>
      <c r="L992">
        <f t="shared" si="36"/>
        <v>81.360399999999998</v>
      </c>
    </row>
    <row r="993" spans="1:12" x14ac:dyDescent="0.25">
      <c r="A993">
        <v>12</v>
      </c>
      <c r="B993" t="s">
        <v>30</v>
      </c>
      <c r="C993" t="s">
        <v>10</v>
      </c>
      <c r="D993" s="1" t="s">
        <v>1343</v>
      </c>
      <c r="E993">
        <v>12.33</v>
      </c>
      <c r="F993">
        <v>15.97</v>
      </c>
      <c r="G993">
        <v>5.53</v>
      </c>
      <c r="H993">
        <v>5.22</v>
      </c>
      <c r="I993">
        <v>10.75</v>
      </c>
      <c r="J993" t="s">
        <v>351</v>
      </c>
      <c r="K993" t="str">
        <f t="shared" si="35"/>
        <v>andrew12</v>
      </c>
      <c r="L993">
        <f t="shared" si="36"/>
        <v>27.248399999999997</v>
      </c>
    </row>
    <row r="994" spans="1:12" x14ac:dyDescent="0.25">
      <c r="A994">
        <v>12</v>
      </c>
      <c r="B994" t="s">
        <v>20</v>
      </c>
      <c r="C994" t="s">
        <v>10</v>
      </c>
      <c r="D994" s="1" t="s">
        <v>1344</v>
      </c>
      <c r="E994">
        <v>11.93</v>
      </c>
      <c r="F994">
        <v>16.84</v>
      </c>
      <c r="G994">
        <v>4.32</v>
      </c>
      <c r="H994">
        <v>6.26</v>
      </c>
      <c r="I994">
        <v>10.58</v>
      </c>
      <c r="J994" t="s">
        <v>352</v>
      </c>
      <c r="K994" t="str">
        <f t="shared" si="35"/>
        <v>jake12</v>
      </c>
      <c r="L994">
        <f t="shared" si="36"/>
        <v>39.187599999999996</v>
      </c>
    </row>
    <row r="995" spans="1:12" x14ac:dyDescent="0.25">
      <c r="A995">
        <v>12</v>
      </c>
      <c r="B995" t="s">
        <v>181</v>
      </c>
      <c r="C995" t="s">
        <v>10</v>
      </c>
      <c r="D995" s="1" t="s">
        <v>1345</v>
      </c>
      <c r="E995">
        <v>13.02</v>
      </c>
      <c r="F995">
        <v>16.559999999999999</v>
      </c>
      <c r="G995">
        <v>4.4000000000000004</v>
      </c>
      <c r="H995">
        <v>6.08</v>
      </c>
      <c r="I995">
        <v>10.48</v>
      </c>
      <c r="J995" t="s">
        <v>352</v>
      </c>
      <c r="K995" t="str">
        <f t="shared" si="35"/>
        <v>jake12</v>
      </c>
      <c r="L995">
        <f t="shared" si="36"/>
        <v>36.9664</v>
      </c>
    </row>
    <row r="996" spans="1:12" x14ac:dyDescent="0.25">
      <c r="A996">
        <v>12</v>
      </c>
      <c r="B996" t="s">
        <v>9</v>
      </c>
      <c r="C996" t="s">
        <v>10</v>
      </c>
      <c r="D996" s="1" t="s">
        <v>1346</v>
      </c>
      <c r="E996">
        <v>10.71</v>
      </c>
      <c r="F996">
        <v>16.84</v>
      </c>
      <c r="G996">
        <v>2.7</v>
      </c>
      <c r="H996">
        <v>7.07</v>
      </c>
      <c r="I996">
        <v>9.77</v>
      </c>
      <c r="J996" t="s">
        <v>352</v>
      </c>
      <c r="K996" t="str">
        <f t="shared" si="35"/>
        <v>jake12</v>
      </c>
      <c r="L996">
        <f t="shared" si="36"/>
        <v>49.984900000000003</v>
      </c>
    </row>
    <row r="997" spans="1:12" x14ac:dyDescent="0.25">
      <c r="A997">
        <v>12</v>
      </c>
      <c r="B997" t="s">
        <v>27</v>
      </c>
      <c r="C997" t="s">
        <v>10</v>
      </c>
      <c r="D997" s="1" t="s">
        <v>1347</v>
      </c>
      <c r="E997">
        <v>19.739999999999998</v>
      </c>
      <c r="F997">
        <v>24.19</v>
      </c>
      <c r="G997">
        <v>10.19</v>
      </c>
      <c r="H997">
        <v>7</v>
      </c>
      <c r="I997">
        <v>17.190000000000001</v>
      </c>
      <c r="J997" t="s">
        <v>353</v>
      </c>
      <c r="K997" t="str">
        <f t="shared" si="35"/>
        <v>breanna12</v>
      </c>
      <c r="L997">
        <f t="shared" si="36"/>
        <v>49</v>
      </c>
    </row>
    <row r="998" spans="1:12" x14ac:dyDescent="0.25">
      <c r="A998">
        <v>12</v>
      </c>
      <c r="B998" t="s">
        <v>219</v>
      </c>
      <c r="C998" t="s">
        <v>10</v>
      </c>
      <c r="D998" s="1" t="s">
        <v>1348</v>
      </c>
      <c r="E998">
        <v>14.38</v>
      </c>
      <c r="F998">
        <v>18.62</v>
      </c>
      <c r="G998">
        <v>7.52</v>
      </c>
      <c r="H998">
        <v>5.55</v>
      </c>
      <c r="I998">
        <v>13.07</v>
      </c>
      <c r="J998" t="s">
        <v>353</v>
      </c>
      <c r="K998" t="str">
        <f t="shared" si="35"/>
        <v>breanna12</v>
      </c>
      <c r="L998">
        <f t="shared" si="36"/>
        <v>30.802499999999998</v>
      </c>
    </row>
    <row r="999" spans="1:12" x14ac:dyDescent="0.25">
      <c r="A999">
        <v>12</v>
      </c>
      <c r="B999" t="s">
        <v>22</v>
      </c>
      <c r="C999" t="s">
        <v>10</v>
      </c>
      <c r="D999" s="1" t="s">
        <v>1349</v>
      </c>
      <c r="E999">
        <v>9.65</v>
      </c>
      <c r="F999">
        <v>15.38</v>
      </c>
      <c r="G999">
        <v>1.84</v>
      </c>
      <c r="H999">
        <v>6.77</v>
      </c>
      <c r="I999">
        <v>8.61</v>
      </c>
      <c r="J999" t="s">
        <v>353</v>
      </c>
      <c r="K999" t="str">
        <f t="shared" si="35"/>
        <v>breanna12</v>
      </c>
      <c r="L999">
        <f t="shared" si="36"/>
        <v>45.832899999999995</v>
      </c>
    </row>
    <row r="1000" spans="1:12" x14ac:dyDescent="0.25">
      <c r="A1000">
        <v>12</v>
      </c>
      <c r="B1000" t="s">
        <v>16</v>
      </c>
      <c r="C1000" t="s">
        <v>10</v>
      </c>
      <c r="D1000" s="1" t="s">
        <v>1350</v>
      </c>
      <c r="E1000">
        <v>13.65</v>
      </c>
      <c r="F1000">
        <v>18.739999999999998</v>
      </c>
      <c r="G1000">
        <v>6.98</v>
      </c>
      <c r="H1000">
        <v>5.88</v>
      </c>
      <c r="I1000">
        <v>12.86</v>
      </c>
      <c r="J1000" t="s">
        <v>354</v>
      </c>
      <c r="K1000" t="str">
        <f t="shared" si="35"/>
        <v>joseph12</v>
      </c>
      <c r="L1000">
        <f t="shared" si="36"/>
        <v>34.574399999999997</v>
      </c>
    </row>
    <row r="1001" spans="1:12" x14ac:dyDescent="0.25">
      <c r="A1001">
        <v>12</v>
      </c>
      <c r="B1001" t="s">
        <v>216</v>
      </c>
      <c r="C1001" t="s">
        <v>10</v>
      </c>
      <c r="D1001" s="1" t="s">
        <v>1351</v>
      </c>
      <c r="E1001">
        <v>14.71</v>
      </c>
      <c r="F1001">
        <v>20.239999999999998</v>
      </c>
      <c r="G1001">
        <v>4.76</v>
      </c>
      <c r="H1001">
        <v>7.74</v>
      </c>
      <c r="I1001">
        <v>12.5</v>
      </c>
      <c r="J1001" t="s">
        <v>354</v>
      </c>
      <c r="K1001" t="str">
        <f t="shared" si="35"/>
        <v>joseph12</v>
      </c>
      <c r="L1001">
        <f t="shared" si="36"/>
        <v>59.907600000000002</v>
      </c>
    </row>
    <row r="1002" spans="1:12" x14ac:dyDescent="0.25">
      <c r="A1002">
        <v>12</v>
      </c>
      <c r="B1002" t="s">
        <v>164</v>
      </c>
      <c r="C1002" t="s">
        <v>10</v>
      </c>
      <c r="D1002" s="1" t="s">
        <v>1352</v>
      </c>
      <c r="E1002">
        <v>10.95</v>
      </c>
      <c r="F1002">
        <v>15.32</v>
      </c>
      <c r="G1002">
        <v>2.96</v>
      </c>
      <c r="H1002">
        <v>6.18</v>
      </c>
      <c r="I1002">
        <v>9.14</v>
      </c>
      <c r="J1002" t="s">
        <v>354</v>
      </c>
      <c r="K1002" t="str">
        <f t="shared" si="35"/>
        <v>joseph12</v>
      </c>
      <c r="L1002">
        <f t="shared" si="36"/>
        <v>38.192399999999999</v>
      </c>
    </row>
    <row r="1003" spans="1:12" x14ac:dyDescent="0.25">
      <c r="A1003">
        <v>12</v>
      </c>
      <c r="B1003" t="s">
        <v>75</v>
      </c>
      <c r="C1003" t="s">
        <v>10</v>
      </c>
      <c r="D1003" s="1" t="s">
        <v>1353</v>
      </c>
      <c r="E1003">
        <v>22.97</v>
      </c>
      <c r="F1003">
        <v>32.78</v>
      </c>
      <c r="G1003">
        <v>10.38</v>
      </c>
      <c r="H1003">
        <v>11.2</v>
      </c>
      <c r="I1003">
        <v>21.58</v>
      </c>
      <c r="J1003" t="s">
        <v>355</v>
      </c>
      <c r="K1003" t="str">
        <f t="shared" si="35"/>
        <v>alyssa12</v>
      </c>
      <c r="L1003">
        <f t="shared" si="36"/>
        <v>125.43999999999998</v>
      </c>
    </row>
    <row r="1004" spans="1:12" x14ac:dyDescent="0.25">
      <c r="A1004">
        <v>12</v>
      </c>
      <c r="B1004" t="s">
        <v>28</v>
      </c>
      <c r="C1004" t="s">
        <v>10</v>
      </c>
      <c r="D1004" s="1" t="s">
        <v>1354</v>
      </c>
      <c r="E1004">
        <v>16.52</v>
      </c>
      <c r="F1004">
        <v>20.14</v>
      </c>
      <c r="G1004">
        <v>7.22</v>
      </c>
      <c r="H1004">
        <v>6.46</v>
      </c>
      <c r="I1004">
        <v>13.68</v>
      </c>
      <c r="J1004" t="s">
        <v>355</v>
      </c>
      <c r="K1004" t="str">
        <f t="shared" si="35"/>
        <v>alyssa12</v>
      </c>
      <c r="L1004">
        <f t="shared" si="36"/>
        <v>41.7316</v>
      </c>
    </row>
    <row r="1005" spans="1:12" x14ac:dyDescent="0.25">
      <c r="A1005">
        <v>12</v>
      </c>
      <c r="B1005" t="s">
        <v>25</v>
      </c>
      <c r="C1005" t="s">
        <v>10</v>
      </c>
      <c r="D1005" s="1" t="s">
        <v>1355</v>
      </c>
      <c r="E1005">
        <v>15.75</v>
      </c>
      <c r="F1005">
        <v>20.86</v>
      </c>
      <c r="G1005">
        <v>6.16</v>
      </c>
      <c r="H1005">
        <v>7.35</v>
      </c>
      <c r="I1005">
        <v>13.51</v>
      </c>
      <c r="J1005" t="s">
        <v>356</v>
      </c>
      <c r="K1005" t="str">
        <f t="shared" si="35"/>
        <v>chris12</v>
      </c>
      <c r="L1005">
        <f t="shared" si="36"/>
        <v>54.022499999999994</v>
      </c>
    </row>
    <row r="1006" spans="1:12" x14ac:dyDescent="0.25">
      <c r="A1006">
        <v>12</v>
      </c>
      <c r="B1006" t="s">
        <v>160</v>
      </c>
      <c r="C1006" t="s">
        <v>10</v>
      </c>
      <c r="D1006" s="1" t="s">
        <v>1356</v>
      </c>
      <c r="E1006">
        <v>9.6199999999999992</v>
      </c>
      <c r="F1006">
        <v>13.09</v>
      </c>
      <c r="G1006">
        <v>3.67</v>
      </c>
      <c r="H1006">
        <v>4.71</v>
      </c>
      <c r="I1006">
        <v>8.3800000000000008</v>
      </c>
      <c r="J1006" t="s">
        <v>356</v>
      </c>
      <c r="K1006" t="str">
        <f t="shared" si="35"/>
        <v>chris12</v>
      </c>
      <c r="L1006">
        <f t="shared" si="36"/>
        <v>22.184100000000001</v>
      </c>
    </row>
    <row r="1007" spans="1:12" x14ac:dyDescent="0.25">
      <c r="A1007">
        <v>12</v>
      </c>
      <c r="B1007" t="s">
        <v>284</v>
      </c>
      <c r="C1007" t="s">
        <v>10</v>
      </c>
      <c r="D1007" s="1" t="s">
        <v>1357</v>
      </c>
      <c r="E1007">
        <v>15.51</v>
      </c>
      <c r="F1007">
        <v>23.03</v>
      </c>
      <c r="G1007">
        <v>5.47</v>
      </c>
      <c r="H1007">
        <v>8.7799999999999994</v>
      </c>
      <c r="I1007">
        <v>14.25</v>
      </c>
      <c r="J1007" t="s">
        <v>357</v>
      </c>
      <c r="K1007" t="str">
        <f t="shared" si="35"/>
        <v>jordan12</v>
      </c>
      <c r="L1007">
        <f t="shared" si="36"/>
        <v>77.088399999999993</v>
      </c>
    </row>
    <row r="1008" spans="1:12" x14ac:dyDescent="0.25">
      <c r="A1008">
        <v>12</v>
      </c>
      <c r="B1008" t="s">
        <v>157</v>
      </c>
      <c r="C1008" t="s">
        <v>10</v>
      </c>
      <c r="D1008" s="1" t="s">
        <v>1358</v>
      </c>
      <c r="E1008">
        <v>10.29</v>
      </c>
      <c r="F1008">
        <v>17.77</v>
      </c>
      <c r="G1008">
        <v>1.99</v>
      </c>
      <c r="H1008">
        <v>7.89</v>
      </c>
      <c r="I1008">
        <v>9.8800000000000008</v>
      </c>
      <c r="J1008" t="s">
        <v>357</v>
      </c>
      <c r="K1008" t="str">
        <f t="shared" si="35"/>
        <v>jordan12</v>
      </c>
      <c r="L1008">
        <f t="shared" si="36"/>
        <v>62.252099999999992</v>
      </c>
    </row>
    <row r="1009" spans="1:12" x14ac:dyDescent="0.25">
      <c r="A1009">
        <v>12</v>
      </c>
      <c r="B1009" t="s">
        <v>282</v>
      </c>
      <c r="C1009" t="s">
        <v>10</v>
      </c>
      <c r="D1009" s="1" t="s">
        <v>1359</v>
      </c>
      <c r="E1009">
        <v>9.6</v>
      </c>
      <c r="F1009">
        <v>14.44</v>
      </c>
      <c r="G1009">
        <v>1.74</v>
      </c>
      <c r="H1009">
        <v>6.35</v>
      </c>
      <c r="I1009">
        <v>8.09</v>
      </c>
      <c r="J1009" t="s">
        <v>357</v>
      </c>
      <c r="K1009" t="str">
        <f t="shared" si="35"/>
        <v>jordan12</v>
      </c>
      <c r="L1009">
        <f t="shared" si="36"/>
        <v>40.322499999999998</v>
      </c>
    </row>
    <row r="1010" spans="1:12" x14ac:dyDescent="0.25">
      <c r="A1010">
        <v>12</v>
      </c>
      <c r="B1010" t="s">
        <v>14</v>
      </c>
      <c r="C1010" t="s">
        <v>10</v>
      </c>
      <c r="D1010" s="1" t="s">
        <v>1360</v>
      </c>
      <c r="E1010">
        <v>14.21</v>
      </c>
      <c r="F1010">
        <v>19.75</v>
      </c>
      <c r="G1010">
        <v>5.45</v>
      </c>
      <c r="H1010">
        <v>7.15</v>
      </c>
      <c r="I1010">
        <v>12.6</v>
      </c>
      <c r="J1010" t="s">
        <v>358</v>
      </c>
      <c r="K1010" t="str">
        <f t="shared" si="35"/>
        <v>alex12</v>
      </c>
      <c r="L1010">
        <f t="shared" si="36"/>
        <v>51.122500000000002</v>
      </c>
    </row>
    <row r="1011" spans="1:12" x14ac:dyDescent="0.25">
      <c r="A1011">
        <v>12</v>
      </c>
      <c r="B1011" t="s">
        <v>12</v>
      </c>
      <c r="C1011" t="s">
        <v>10</v>
      </c>
      <c r="D1011" s="1" t="s">
        <v>1361</v>
      </c>
      <c r="E1011">
        <v>12.79</v>
      </c>
      <c r="F1011">
        <v>18.53</v>
      </c>
      <c r="G1011">
        <v>4.21</v>
      </c>
      <c r="H1011">
        <v>7.16</v>
      </c>
      <c r="I1011">
        <v>11.37</v>
      </c>
      <c r="J1011" t="s">
        <v>358</v>
      </c>
      <c r="K1011" t="str">
        <f t="shared" si="35"/>
        <v>alex12</v>
      </c>
      <c r="L1011">
        <f t="shared" si="36"/>
        <v>51.265599999999999</v>
      </c>
    </row>
    <row r="1012" spans="1:12" x14ac:dyDescent="0.25">
      <c r="A1012">
        <v>12</v>
      </c>
      <c r="B1012" t="s">
        <v>152</v>
      </c>
      <c r="C1012" t="s">
        <v>10</v>
      </c>
      <c r="D1012" s="1" t="s">
        <v>1362</v>
      </c>
      <c r="E1012">
        <v>18.170000000000002</v>
      </c>
      <c r="F1012">
        <v>23.6</v>
      </c>
      <c r="G1012">
        <v>7.72</v>
      </c>
      <c r="H1012">
        <v>7.94</v>
      </c>
      <c r="I1012">
        <v>15.66</v>
      </c>
      <c r="J1012" t="s">
        <v>359</v>
      </c>
      <c r="K1012" t="str">
        <f t="shared" si="35"/>
        <v>colin12</v>
      </c>
      <c r="L1012">
        <f t="shared" si="36"/>
        <v>63.043600000000005</v>
      </c>
    </row>
    <row r="1013" spans="1:12" x14ac:dyDescent="0.25">
      <c r="A1013">
        <v>12</v>
      </c>
      <c r="B1013" t="s">
        <v>265</v>
      </c>
      <c r="C1013" t="s">
        <v>10</v>
      </c>
      <c r="D1013" s="1" t="s">
        <v>1363</v>
      </c>
      <c r="E1013">
        <v>9.76</v>
      </c>
      <c r="F1013">
        <v>14.23</v>
      </c>
      <c r="G1013">
        <v>1.71</v>
      </c>
      <c r="H1013">
        <v>6.26</v>
      </c>
      <c r="I1013">
        <v>7.97</v>
      </c>
      <c r="J1013" t="s">
        <v>359</v>
      </c>
      <c r="K1013" t="str">
        <f t="shared" si="35"/>
        <v>colin12</v>
      </c>
      <c r="L1013">
        <f t="shared" si="36"/>
        <v>39.187599999999996</v>
      </c>
    </row>
    <row r="1014" spans="1:12" x14ac:dyDescent="0.25">
      <c r="A1014">
        <v>12</v>
      </c>
      <c r="B1014" t="s">
        <v>186</v>
      </c>
      <c r="C1014" t="s">
        <v>10</v>
      </c>
      <c r="D1014" s="1" t="s">
        <v>1364</v>
      </c>
      <c r="E1014">
        <v>13.54</v>
      </c>
      <c r="F1014">
        <v>19.420000000000002</v>
      </c>
      <c r="G1014">
        <v>4.8600000000000003</v>
      </c>
      <c r="H1014">
        <v>7.28</v>
      </c>
      <c r="I1014">
        <v>12.14</v>
      </c>
      <c r="J1014" t="s">
        <v>360</v>
      </c>
      <c r="K1014" t="str">
        <f t="shared" si="35"/>
        <v>paul12</v>
      </c>
      <c r="L1014">
        <f t="shared" si="36"/>
        <v>52.998400000000004</v>
      </c>
    </row>
    <row r="1015" spans="1:12" x14ac:dyDescent="0.25">
      <c r="A1015">
        <v>12</v>
      </c>
      <c r="B1015" t="s">
        <v>115</v>
      </c>
      <c r="C1015" t="s">
        <v>10</v>
      </c>
      <c r="D1015" s="1" t="s">
        <v>1365</v>
      </c>
      <c r="E1015">
        <v>10.97</v>
      </c>
      <c r="F1015">
        <v>14.29</v>
      </c>
      <c r="G1015">
        <v>4.51</v>
      </c>
      <c r="H1015">
        <v>4.8899999999999997</v>
      </c>
      <c r="I1015">
        <v>9.4</v>
      </c>
      <c r="J1015" t="s">
        <v>360</v>
      </c>
      <c r="K1015" t="str">
        <f t="shared" si="35"/>
        <v>paul12</v>
      </c>
      <c r="L1015">
        <f t="shared" si="36"/>
        <v>23.912099999999995</v>
      </c>
    </row>
    <row r="1016" spans="1:12" x14ac:dyDescent="0.25">
      <c r="A1016">
        <v>12</v>
      </c>
      <c r="B1016" t="s">
        <v>308</v>
      </c>
      <c r="C1016" t="s">
        <v>10</v>
      </c>
      <c r="D1016" s="1" t="s">
        <v>1366</v>
      </c>
      <c r="E1016">
        <v>10.53</v>
      </c>
      <c r="F1016">
        <v>14.89</v>
      </c>
      <c r="G1016">
        <v>3.57</v>
      </c>
      <c r="H1016">
        <v>5.66</v>
      </c>
      <c r="I1016">
        <v>9.23</v>
      </c>
      <c r="J1016" t="s">
        <v>360</v>
      </c>
      <c r="K1016" t="str">
        <f t="shared" si="35"/>
        <v>paul12</v>
      </c>
      <c r="L1016">
        <f t="shared" si="36"/>
        <v>32.035600000000002</v>
      </c>
    </row>
    <row r="1017" spans="1:12" x14ac:dyDescent="0.25">
      <c r="A1017">
        <v>12</v>
      </c>
      <c r="B1017" t="s">
        <v>41</v>
      </c>
      <c r="C1017" t="s">
        <v>32</v>
      </c>
      <c r="D1017" s="1" t="s">
        <v>1367</v>
      </c>
      <c r="E1017">
        <v>17.43</v>
      </c>
      <c r="F1017">
        <v>22.45</v>
      </c>
      <c r="G1017">
        <v>5.53</v>
      </c>
      <c r="H1017">
        <v>8.4600000000000009</v>
      </c>
      <c r="I1017">
        <v>13.99</v>
      </c>
      <c r="J1017" t="s">
        <v>351</v>
      </c>
      <c r="K1017" t="str">
        <f t="shared" si="35"/>
        <v>andrew12</v>
      </c>
      <c r="L1017">
        <f t="shared" si="36"/>
        <v>71.571600000000018</v>
      </c>
    </row>
    <row r="1018" spans="1:12" x14ac:dyDescent="0.25">
      <c r="A1018">
        <v>12</v>
      </c>
      <c r="B1018" t="s">
        <v>72</v>
      </c>
      <c r="C1018" t="s">
        <v>32</v>
      </c>
      <c r="D1018" s="1" t="s">
        <v>1368</v>
      </c>
      <c r="E1018">
        <v>13.65</v>
      </c>
      <c r="F1018">
        <v>17.149999999999999</v>
      </c>
      <c r="G1018">
        <v>4.05</v>
      </c>
      <c r="H1018">
        <v>6.55</v>
      </c>
      <c r="I1018">
        <v>10.6</v>
      </c>
      <c r="J1018" t="s">
        <v>351</v>
      </c>
      <c r="K1018" t="str">
        <f t="shared" si="35"/>
        <v>andrew12</v>
      </c>
      <c r="L1018">
        <f t="shared" si="36"/>
        <v>42.902499999999996</v>
      </c>
    </row>
    <row r="1019" spans="1:12" x14ac:dyDescent="0.25">
      <c r="A1019">
        <v>12</v>
      </c>
      <c r="B1019" t="s">
        <v>162</v>
      </c>
      <c r="C1019" t="s">
        <v>32</v>
      </c>
      <c r="D1019" s="1" t="s">
        <v>1369</v>
      </c>
      <c r="E1019">
        <v>13.17</v>
      </c>
      <c r="F1019">
        <v>17.96</v>
      </c>
      <c r="G1019">
        <v>3.1</v>
      </c>
      <c r="H1019">
        <v>7.43</v>
      </c>
      <c r="I1019">
        <v>10.53</v>
      </c>
      <c r="J1019" t="s">
        <v>351</v>
      </c>
      <c r="K1019" t="str">
        <f t="shared" si="35"/>
        <v>andrew12</v>
      </c>
      <c r="L1019">
        <f t="shared" si="36"/>
        <v>55.204899999999995</v>
      </c>
    </row>
    <row r="1020" spans="1:12" x14ac:dyDescent="0.25">
      <c r="A1020">
        <v>12</v>
      </c>
      <c r="B1020" t="s">
        <v>33</v>
      </c>
      <c r="C1020" t="s">
        <v>32</v>
      </c>
      <c r="D1020" s="1" t="s">
        <v>1370</v>
      </c>
      <c r="E1020">
        <v>16.47</v>
      </c>
      <c r="F1020">
        <v>21.05</v>
      </c>
      <c r="G1020">
        <v>5.71</v>
      </c>
      <c r="H1020">
        <v>7.67</v>
      </c>
      <c r="I1020">
        <v>13.38</v>
      </c>
      <c r="J1020" t="s">
        <v>352</v>
      </c>
      <c r="K1020" t="str">
        <f t="shared" si="35"/>
        <v>jake12</v>
      </c>
      <c r="L1020">
        <f t="shared" si="36"/>
        <v>58.828899999999997</v>
      </c>
    </row>
    <row r="1021" spans="1:12" x14ac:dyDescent="0.25">
      <c r="A1021">
        <v>12</v>
      </c>
      <c r="B1021" t="s">
        <v>285</v>
      </c>
      <c r="C1021" t="s">
        <v>32</v>
      </c>
      <c r="D1021" s="1" t="s">
        <v>1371</v>
      </c>
      <c r="E1021">
        <v>12.78</v>
      </c>
      <c r="F1021">
        <v>17.850000000000001</v>
      </c>
      <c r="G1021">
        <v>2.0699999999999998</v>
      </c>
      <c r="H1021">
        <v>7.89</v>
      </c>
      <c r="I1021">
        <v>9.9600000000000009</v>
      </c>
      <c r="J1021" t="s">
        <v>352</v>
      </c>
      <c r="K1021" t="str">
        <f t="shared" si="35"/>
        <v>jake12</v>
      </c>
      <c r="L1021">
        <f t="shared" si="36"/>
        <v>62.252099999999992</v>
      </c>
    </row>
    <row r="1022" spans="1:12" x14ac:dyDescent="0.25">
      <c r="A1022">
        <v>12</v>
      </c>
      <c r="B1022" t="s">
        <v>44</v>
      </c>
      <c r="C1022" t="s">
        <v>32</v>
      </c>
      <c r="D1022" s="1" t="s">
        <v>1372</v>
      </c>
      <c r="E1022">
        <v>12.87</v>
      </c>
      <c r="F1022">
        <v>18.2</v>
      </c>
      <c r="G1022">
        <v>1.62</v>
      </c>
      <c r="H1022">
        <v>8.2899999999999991</v>
      </c>
      <c r="I1022">
        <v>9.91</v>
      </c>
      <c r="J1022" t="s">
        <v>353</v>
      </c>
      <c r="K1022" t="str">
        <f t="shared" si="35"/>
        <v>breanna12</v>
      </c>
      <c r="L1022">
        <f t="shared" si="36"/>
        <v>68.724099999999993</v>
      </c>
    </row>
    <row r="1023" spans="1:12" x14ac:dyDescent="0.25">
      <c r="A1023">
        <v>12</v>
      </c>
      <c r="B1023" t="s">
        <v>1373</v>
      </c>
      <c r="C1023" t="s">
        <v>32</v>
      </c>
      <c r="D1023" s="1" t="s">
        <v>1374</v>
      </c>
      <c r="E1023">
        <v>7.96</v>
      </c>
      <c r="F1023">
        <v>10.25</v>
      </c>
      <c r="G1023">
        <v>1.1499999999999999</v>
      </c>
      <c r="H1023">
        <v>4.55</v>
      </c>
      <c r="I1023">
        <v>5.7</v>
      </c>
      <c r="J1023" t="s">
        <v>353</v>
      </c>
      <c r="K1023" t="str">
        <f t="shared" si="35"/>
        <v>breanna12</v>
      </c>
      <c r="L1023">
        <f t="shared" si="36"/>
        <v>20.702499999999997</v>
      </c>
    </row>
    <row r="1024" spans="1:12" x14ac:dyDescent="0.25">
      <c r="A1024">
        <v>12</v>
      </c>
      <c r="B1024" t="s">
        <v>42</v>
      </c>
      <c r="C1024" t="s">
        <v>32</v>
      </c>
      <c r="D1024" s="1" t="s">
        <v>1375</v>
      </c>
      <c r="E1024">
        <v>15.83</v>
      </c>
      <c r="F1024">
        <v>19.39</v>
      </c>
      <c r="G1024">
        <v>6.03</v>
      </c>
      <c r="H1024">
        <v>6.68</v>
      </c>
      <c r="I1024">
        <v>12.71</v>
      </c>
      <c r="J1024" t="s">
        <v>354</v>
      </c>
      <c r="K1024" t="str">
        <f t="shared" si="35"/>
        <v>joseph12</v>
      </c>
      <c r="L1024">
        <f t="shared" si="36"/>
        <v>44.622399999999999</v>
      </c>
    </row>
    <row r="1025" spans="1:12" x14ac:dyDescent="0.25">
      <c r="A1025">
        <v>12</v>
      </c>
      <c r="B1025" t="s">
        <v>43</v>
      </c>
      <c r="C1025" t="s">
        <v>32</v>
      </c>
      <c r="D1025" s="1" t="s">
        <v>1376</v>
      </c>
      <c r="E1025">
        <v>14.03</v>
      </c>
      <c r="F1025">
        <v>17.239999999999998</v>
      </c>
      <c r="G1025">
        <v>5.18</v>
      </c>
      <c r="H1025">
        <v>6.03</v>
      </c>
      <c r="I1025">
        <v>11.21</v>
      </c>
      <c r="J1025" t="s">
        <v>354</v>
      </c>
      <c r="K1025" t="str">
        <f t="shared" si="35"/>
        <v>joseph12</v>
      </c>
      <c r="L1025">
        <f t="shared" si="36"/>
        <v>36.360900000000001</v>
      </c>
    </row>
    <row r="1026" spans="1:12" x14ac:dyDescent="0.25">
      <c r="A1026">
        <v>12</v>
      </c>
      <c r="B1026" t="s">
        <v>69</v>
      </c>
      <c r="C1026" t="s">
        <v>32</v>
      </c>
      <c r="D1026" s="1" t="s">
        <v>1377</v>
      </c>
      <c r="E1026">
        <v>17.86</v>
      </c>
      <c r="F1026">
        <v>21.78</v>
      </c>
      <c r="G1026">
        <v>6.74</v>
      </c>
      <c r="H1026">
        <v>7.52</v>
      </c>
      <c r="I1026">
        <v>14.26</v>
      </c>
      <c r="J1026" t="s">
        <v>355</v>
      </c>
      <c r="K1026" t="str">
        <f t="shared" si="35"/>
        <v>alyssa12</v>
      </c>
      <c r="L1026">
        <f t="shared" si="36"/>
        <v>56.550399999999996</v>
      </c>
    </row>
    <row r="1027" spans="1:12" x14ac:dyDescent="0.25">
      <c r="A1027">
        <v>12</v>
      </c>
      <c r="B1027" t="s">
        <v>71</v>
      </c>
      <c r="C1027" t="s">
        <v>32</v>
      </c>
      <c r="D1027" s="1" t="s">
        <v>1378</v>
      </c>
      <c r="E1027">
        <v>17.260000000000002</v>
      </c>
      <c r="F1027">
        <v>21.9</v>
      </c>
      <c r="G1027">
        <v>6.02</v>
      </c>
      <c r="H1027">
        <v>7.94</v>
      </c>
      <c r="I1027">
        <v>13.96</v>
      </c>
      <c r="J1027" t="s">
        <v>355</v>
      </c>
      <c r="K1027" t="str">
        <f t="shared" ref="K1027:K1090" si="37">J1027&amp;A1027</f>
        <v>alyssa12</v>
      </c>
      <c r="L1027">
        <f t="shared" ref="L1027:L1090" si="38">H1027^2</f>
        <v>63.043600000000005</v>
      </c>
    </row>
    <row r="1028" spans="1:12" x14ac:dyDescent="0.25">
      <c r="A1028">
        <v>12</v>
      </c>
      <c r="B1028" t="s">
        <v>51</v>
      </c>
      <c r="C1028" t="s">
        <v>32</v>
      </c>
      <c r="D1028" s="1" t="s">
        <v>1379</v>
      </c>
      <c r="E1028">
        <v>12.51</v>
      </c>
      <c r="F1028">
        <v>16.489999999999998</v>
      </c>
      <c r="G1028">
        <v>3.21</v>
      </c>
      <c r="H1028">
        <v>6.64</v>
      </c>
      <c r="I1028">
        <v>9.85</v>
      </c>
      <c r="J1028" t="s">
        <v>355</v>
      </c>
      <c r="K1028" t="str">
        <f t="shared" si="37"/>
        <v>alyssa12</v>
      </c>
      <c r="L1028">
        <f t="shared" si="38"/>
        <v>44.089599999999997</v>
      </c>
    </row>
    <row r="1029" spans="1:12" x14ac:dyDescent="0.25">
      <c r="A1029">
        <v>12</v>
      </c>
      <c r="B1029" t="s">
        <v>47</v>
      </c>
      <c r="C1029" t="s">
        <v>32</v>
      </c>
      <c r="D1029" s="1" t="s">
        <v>1380</v>
      </c>
      <c r="E1029">
        <v>16.239999999999998</v>
      </c>
      <c r="F1029">
        <v>20.309999999999999</v>
      </c>
      <c r="G1029">
        <v>6.15</v>
      </c>
      <c r="H1029">
        <v>7.08</v>
      </c>
      <c r="I1029">
        <v>13.23</v>
      </c>
      <c r="J1029" t="s">
        <v>356</v>
      </c>
      <c r="K1029" t="str">
        <f t="shared" si="37"/>
        <v>chris12</v>
      </c>
      <c r="L1029">
        <f t="shared" si="38"/>
        <v>50.126400000000004</v>
      </c>
    </row>
    <row r="1030" spans="1:12" x14ac:dyDescent="0.25">
      <c r="A1030">
        <v>12</v>
      </c>
      <c r="B1030" t="s">
        <v>46</v>
      </c>
      <c r="C1030" t="s">
        <v>32</v>
      </c>
      <c r="D1030" s="1" t="s">
        <v>1381</v>
      </c>
      <c r="E1030">
        <v>11.94</v>
      </c>
      <c r="F1030">
        <v>15.64</v>
      </c>
      <c r="G1030">
        <v>2.74</v>
      </c>
      <c r="H1030">
        <v>6.45</v>
      </c>
      <c r="I1030">
        <v>9.19</v>
      </c>
      <c r="J1030" t="s">
        <v>356</v>
      </c>
      <c r="K1030" t="str">
        <f t="shared" si="37"/>
        <v>chris12</v>
      </c>
      <c r="L1030">
        <f t="shared" si="38"/>
        <v>41.602499999999999</v>
      </c>
    </row>
    <row r="1031" spans="1:12" x14ac:dyDescent="0.25">
      <c r="A1031">
        <v>12</v>
      </c>
      <c r="B1031" t="s">
        <v>224</v>
      </c>
      <c r="C1031" t="s">
        <v>32</v>
      </c>
      <c r="D1031" s="1" t="s">
        <v>1382</v>
      </c>
      <c r="E1031">
        <v>7.91</v>
      </c>
      <c r="F1031">
        <v>10.76</v>
      </c>
      <c r="G1031">
        <v>1.4</v>
      </c>
      <c r="H1031">
        <v>4.68</v>
      </c>
      <c r="I1031">
        <v>6.08</v>
      </c>
      <c r="J1031" t="s">
        <v>356</v>
      </c>
      <c r="K1031" t="str">
        <f t="shared" si="37"/>
        <v>chris12</v>
      </c>
      <c r="L1031">
        <f t="shared" si="38"/>
        <v>21.902399999999997</v>
      </c>
    </row>
    <row r="1032" spans="1:12" x14ac:dyDescent="0.25">
      <c r="A1032">
        <v>12</v>
      </c>
      <c r="B1032" t="s">
        <v>35</v>
      </c>
      <c r="C1032" t="s">
        <v>32</v>
      </c>
      <c r="D1032" s="1" t="s">
        <v>1383</v>
      </c>
      <c r="E1032">
        <v>14.18</v>
      </c>
      <c r="F1032">
        <v>18.34</v>
      </c>
      <c r="G1032">
        <v>3.1</v>
      </c>
      <c r="H1032">
        <v>7.62</v>
      </c>
      <c r="I1032">
        <v>10.72</v>
      </c>
      <c r="J1032" t="s">
        <v>357</v>
      </c>
      <c r="K1032" t="str">
        <f t="shared" si="37"/>
        <v>jordan12</v>
      </c>
      <c r="L1032">
        <f t="shared" si="38"/>
        <v>58.064399999999999</v>
      </c>
    </row>
    <row r="1033" spans="1:12" x14ac:dyDescent="0.25">
      <c r="A1033">
        <v>12</v>
      </c>
      <c r="B1033" t="s">
        <v>222</v>
      </c>
      <c r="C1033" t="s">
        <v>32</v>
      </c>
      <c r="D1033" s="1" t="s">
        <v>1384</v>
      </c>
      <c r="E1033">
        <v>9.7799999999999994</v>
      </c>
      <c r="F1033">
        <v>14.71</v>
      </c>
      <c r="G1033">
        <v>0.83</v>
      </c>
      <c r="H1033">
        <v>6.94</v>
      </c>
      <c r="I1033">
        <v>7.77</v>
      </c>
      <c r="J1033" t="s">
        <v>357</v>
      </c>
      <c r="K1033" t="str">
        <f t="shared" si="37"/>
        <v>jordan12</v>
      </c>
      <c r="L1033">
        <f t="shared" si="38"/>
        <v>48.163600000000002</v>
      </c>
    </row>
    <row r="1034" spans="1:12" x14ac:dyDescent="0.25">
      <c r="A1034">
        <v>12</v>
      </c>
      <c r="B1034" t="s">
        <v>34</v>
      </c>
      <c r="C1034" t="s">
        <v>32</v>
      </c>
      <c r="D1034" s="1" t="s">
        <v>1385</v>
      </c>
      <c r="E1034">
        <v>16.739999999999998</v>
      </c>
      <c r="F1034">
        <v>21.78</v>
      </c>
      <c r="G1034">
        <v>5.86</v>
      </c>
      <c r="H1034">
        <v>7.96</v>
      </c>
      <c r="I1034">
        <v>13.82</v>
      </c>
      <c r="J1034" t="s">
        <v>358</v>
      </c>
      <c r="K1034" t="str">
        <f t="shared" si="37"/>
        <v>alex12</v>
      </c>
      <c r="L1034">
        <f t="shared" si="38"/>
        <v>63.361600000000003</v>
      </c>
    </row>
    <row r="1035" spans="1:12" x14ac:dyDescent="0.25">
      <c r="A1035">
        <v>12</v>
      </c>
      <c r="B1035" t="s">
        <v>36</v>
      </c>
      <c r="C1035" t="s">
        <v>32</v>
      </c>
      <c r="D1035" s="1" t="s">
        <v>1386</v>
      </c>
      <c r="E1035">
        <v>14.77</v>
      </c>
      <c r="F1035">
        <v>19.12</v>
      </c>
      <c r="G1035">
        <v>4.9000000000000004</v>
      </c>
      <c r="H1035">
        <v>7.11</v>
      </c>
      <c r="I1035">
        <v>12.01</v>
      </c>
      <c r="J1035" t="s">
        <v>358</v>
      </c>
      <c r="K1035" t="str">
        <f t="shared" si="37"/>
        <v>alex12</v>
      </c>
      <c r="L1035">
        <f t="shared" si="38"/>
        <v>50.552100000000003</v>
      </c>
    </row>
    <row r="1036" spans="1:12" x14ac:dyDescent="0.25">
      <c r="A1036">
        <v>12</v>
      </c>
      <c r="B1036" t="s">
        <v>184</v>
      </c>
      <c r="C1036" t="s">
        <v>32</v>
      </c>
      <c r="D1036" s="1" t="s">
        <v>1387</v>
      </c>
      <c r="E1036">
        <v>14.3</v>
      </c>
      <c r="F1036">
        <v>19.38</v>
      </c>
      <c r="G1036">
        <v>2.96</v>
      </c>
      <c r="H1036">
        <v>8.2100000000000009</v>
      </c>
      <c r="I1036">
        <v>11.17</v>
      </c>
      <c r="J1036" t="s">
        <v>358</v>
      </c>
      <c r="K1036" t="str">
        <f t="shared" si="37"/>
        <v>alex12</v>
      </c>
      <c r="L1036">
        <f t="shared" si="38"/>
        <v>67.404100000000014</v>
      </c>
    </row>
    <row r="1037" spans="1:12" x14ac:dyDescent="0.25">
      <c r="A1037">
        <v>12</v>
      </c>
      <c r="B1037" t="s">
        <v>234</v>
      </c>
      <c r="C1037" t="s">
        <v>32</v>
      </c>
      <c r="D1037" s="1" t="s">
        <v>1388</v>
      </c>
      <c r="E1037">
        <v>10.44</v>
      </c>
      <c r="F1037">
        <v>13.35</v>
      </c>
      <c r="G1037">
        <v>3.05</v>
      </c>
      <c r="H1037">
        <v>5.15</v>
      </c>
      <c r="I1037">
        <v>8.1999999999999993</v>
      </c>
      <c r="J1037" t="s">
        <v>359</v>
      </c>
      <c r="K1037" t="str">
        <f t="shared" si="37"/>
        <v>colin12</v>
      </c>
      <c r="L1037">
        <f t="shared" si="38"/>
        <v>26.522500000000004</v>
      </c>
    </row>
    <row r="1038" spans="1:12" x14ac:dyDescent="0.25">
      <c r="A1038">
        <v>12</v>
      </c>
      <c r="B1038" t="s">
        <v>183</v>
      </c>
      <c r="C1038" t="s">
        <v>32</v>
      </c>
      <c r="D1038" s="1" t="s">
        <v>1389</v>
      </c>
      <c r="E1038">
        <v>10.06</v>
      </c>
      <c r="F1038">
        <v>14.01</v>
      </c>
      <c r="G1038">
        <v>1.71</v>
      </c>
      <c r="H1038">
        <v>6.15</v>
      </c>
      <c r="I1038">
        <v>7.86</v>
      </c>
      <c r="J1038" t="s">
        <v>359</v>
      </c>
      <c r="K1038" t="str">
        <f t="shared" si="37"/>
        <v>colin12</v>
      </c>
      <c r="L1038">
        <f t="shared" si="38"/>
        <v>37.822500000000005</v>
      </c>
    </row>
    <row r="1039" spans="1:12" x14ac:dyDescent="0.25">
      <c r="A1039">
        <v>12</v>
      </c>
      <c r="B1039" t="s">
        <v>151</v>
      </c>
      <c r="C1039" t="s">
        <v>32</v>
      </c>
      <c r="D1039" s="1" t="s">
        <v>1390</v>
      </c>
      <c r="E1039">
        <v>6.88</v>
      </c>
      <c r="F1039">
        <v>8.5500000000000007</v>
      </c>
      <c r="G1039">
        <v>1.45</v>
      </c>
      <c r="H1039">
        <v>3.55</v>
      </c>
      <c r="I1039">
        <v>5</v>
      </c>
      <c r="J1039" t="s">
        <v>359</v>
      </c>
      <c r="K1039" t="str">
        <f t="shared" si="37"/>
        <v>colin12</v>
      </c>
      <c r="L1039">
        <f t="shared" si="38"/>
        <v>12.602499999999999</v>
      </c>
    </row>
    <row r="1040" spans="1:12" x14ac:dyDescent="0.25">
      <c r="A1040">
        <v>12</v>
      </c>
      <c r="B1040" t="s">
        <v>38</v>
      </c>
      <c r="C1040" t="s">
        <v>32</v>
      </c>
      <c r="D1040" s="1" t="s">
        <v>1391</v>
      </c>
      <c r="E1040">
        <v>13.55</v>
      </c>
      <c r="F1040">
        <v>18.78</v>
      </c>
      <c r="G1040">
        <v>3.22</v>
      </c>
      <c r="H1040">
        <v>7.78</v>
      </c>
      <c r="I1040">
        <v>11</v>
      </c>
      <c r="J1040" t="s">
        <v>360</v>
      </c>
      <c r="K1040" t="str">
        <f t="shared" si="37"/>
        <v>paul12</v>
      </c>
      <c r="L1040">
        <f t="shared" si="38"/>
        <v>60.528400000000005</v>
      </c>
    </row>
    <row r="1041" spans="1:12" x14ac:dyDescent="0.25">
      <c r="A1041">
        <v>12</v>
      </c>
      <c r="B1041" t="s">
        <v>147</v>
      </c>
      <c r="C1041" t="s">
        <v>32</v>
      </c>
      <c r="D1041" s="1" t="s">
        <v>1392</v>
      </c>
      <c r="E1041">
        <v>11.79</v>
      </c>
      <c r="F1041">
        <v>14.91</v>
      </c>
      <c r="G1041">
        <v>4.3499999999999996</v>
      </c>
      <c r="H1041">
        <v>5.28</v>
      </c>
      <c r="I1041">
        <v>9.6300000000000008</v>
      </c>
      <c r="J1041" t="s">
        <v>360</v>
      </c>
      <c r="K1041" t="str">
        <f t="shared" si="37"/>
        <v>paul12</v>
      </c>
      <c r="L1041">
        <f t="shared" si="38"/>
        <v>27.878400000000003</v>
      </c>
    </row>
    <row r="1042" spans="1:12" x14ac:dyDescent="0.25">
      <c r="A1042">
        <v>12</v>
      </c>
      <c r="B1042" t="s">
        <v>246</v>
      </c>
      <c r="C1042" t="s">
        <v>53</v>
      </c>
      <c r="D1042" s="1" t="s">
        <v>1393</v>
      </c>
      <c r="E1042">
        <v>22.23</v>
      </c>
      <c r="F1042">
        <v>29.83</v>
      </c>
      <c r="G1042">
        <v>13.49</v>
      </c>
      <c r="H1042">
        <v>8.17</v>
      </c>
      <c r="I1042">
        <v>21.66</v>
      </c>
      <c r="J1042" t="s">
        <v>351</v>
      </c>
      <c r="K1042" t="str">
        <f t="shared" si="37"/>
        <v>andrew12</v>
      </c>
      <c r="L1042">
        <f t="shared" si="38"/>
        <v>66.748899999999992</v>
      </c>
    </row>
    <row r="1043" spans="1:12" x14ac:dyDescent="0.25">
      <c r="A1043">
        <v>12</v>
      </c>
      <c r="B1043" t="s">
        <v>204</v>
      </c>
      <c r="C1043" t="s">
        <v>53</v>
      </c>
      <c r="D1043" s="1" t="s">
        <v>1394</v>
      </c>
      <c r="E1043">
        <v>21</v>
      </c>
      <c r="F1043">
        <v>27.53</v>
      </c>
      <c r="G1043">
        <v>13.13</v>
      </c>
      <c r="H1043">
        <v>7.2</v>
      </c>
      <c r="I1043">
        <v>20.329999999999998</v>
      </c>
      <c r="J1043" t="s">
        <v>352</v>
      </c>
      <c r="K1043" t="str">
        <f t="shared" si="37"/>
        <v>jake12</v>
      </c>
      <c r="L1043">
        <f t="shared" si="38"/>
        <v>51.84</v>
      </c>
    </row>
    <row r="1044" spans="1:12" x14ac:dyDescent="0.25">
      <c r="A1044">
        <v>12</v>
      </c>
      <c r="B1044" t="s">
        <v>290</v>
      </c>
      <c r="C1044" t="s">
        <v>53</v>
      </c>
      <c r="D1044" s="1" t="s">
        <v>1395</v>
      </c>
      <c r="E1044">
        <v>19.100000000000001</v>
      </c>
      <c r="F1044">
        <v>26.27</v>
      </c>
      <c r="G1044">
        <v>10.09</v>
      </c>
      <c r="H1044">
        <v>8.09</v>
      </c>
      <c r="I1044">
        <v>18.18</v>
      </c>
      <c r="J1044" t="s">
        <v>353</v>
      </c>
      <c r="K1044" t="str">
        <f t="shared" si="37"/>
        <v>breanna12</v>
      </c>
      <c r="L1044">
        <f t="shared" si="38"/>
        <v>65.448099999999997</v>
      </c>
    </row>
    <row r="1045" spans="1:12" x14ac:dyDescent="0.25">
      <c r="A1045">
        <v>12</v>
      </c>
      <c r="B1045" t="s">
        <v>364</v>
      </c>
      <c r="C1045" t="s">
        <v>53</v>
      </c>
      <c r="D1045" s="1" t="s">
        <v>1396</v>
      </c>
      <c r="E1045">
        <v>21.56</v>
      </c>
      <c r="F1045">
        <v>27.6</v>
      </c>
      <c r="G1045">
        <v>14.14</v>
      </c>
      <c r="H1045">
        <v>6.73</v>
      </c>
      <c r="I1045">
        <v>20.87</v>
      </c>
      <c r="J1045" t="s">
        <v>354</v>
      </c>
      <c r="K1045" t="str">
        <f t="shared" si="37"/>
        <v>joseph12</v>
      </c>
      <c r="L1045">
        <f t="shared" si="38"/>
        <v>45.292900000000003</v>
      </c>
    </row>
    <row r="1046" spans="1:12" x14ac:dyDescent="0.25">
      <c r="A1046">
        <v>12</v>
      </c>
      <c r="B1046" t="s">
        <v>386</v>
      </c>
      <c r="C1046" t="s">
        <v>53</v>
      </c>
      <c r="D1046" s="1" t="s">
        <v>1397</v>
      </c>
      <c r="E1046">
        <v>19.059999999999999</v>
      </c>
      <c r="F1046">
        <v>24.98</v>
      </c>
      <c r="G1046">
        <v>11.42</v>
      </c>
      <c r="H1046">
        <v>6.78</v>
      </c>
      <c r="I1046">
        <v>18.2</v>
      </c>
      <c r="J1046" t="s">
        <v>355</v>
      </c>
      <c r="K1046" t="str">
        <f t="shared" si="37"/>
        <v>alyssa12</v>
      </c>
      <c r="L1046">
        <f t="shared" si="38"/>
        <v>45.968400000000003</v>
      </c>
    </row>
    <row r="1047" spans="1:12" x14ac:dyDescent="0.25">
      <c r="A1047">
        <v>12</v>
      </c>
      <c r="B1047" t="s">
        <v>156</v>
      </c>
      <c r="C1047" t="s">
        <v>53</v>
      </c>
      <c r="D1047" s="1" t="s">
        <v>1398</v>
      </c>
      <c r="E1047">
        <v>21.51</v>
      </c>
      <c r="F1047">
        <v>27.42</v>
      </c>
      <c r="G1047">
        <v>14.12</v>
      </c>
      <c r="H1047">
        <v>6.65</v>
      </c>
      <c r="I1047">
        <v>20.77</v>
      </c>
      <c r="J1047" t="s">
        <v>356</v>
      </c>
      <c r="K1047" t="str">
        <f t="shared" si="37"/>
        <v>chris12</v>
      </c>
      <c r="L1047">
        <f t="shared" si="38"/>
        <v>44.222500000000004</v>
      </c>
    </row>
    <row r="1048" spans="1:12" x14ac:dyDescent="0.25">
      <c r="A1048">
        <v>12</v>
      </c>
      <c r="B1048" t="s">
        <v>56</v>
      </c>
      <c r="C1048" t="s">
        <v>53</v>
      </c>
      <c r="D1048" s="1" t="s">
        <v>1399</v>
      </c>
      <c r="E1048">
        <v>22.15</v>
      </c>
      <c r="F1048">
        <v>28.86</v>
      </c>
      <c r="G1048">
        <v>13.62</v>
      </c>
      <c r="H1048">
        <v>7.62</v>
      </c>
      <c r="I1048">
        <v>21.24</v>
      </c>
      <c r="J1048" t="s">
        <v>357</v>
      </c>
      <c r="K1048" t="str">
        <f t="shared" si="37"/>
        <v>jordan12</v>
      </c>
      <c r="L1048">
        <f t="shared" si="38"/>
        <v>58.064399999999999</v>
      </c>
    </row>
    <row r="1049" spans="1:12" x14ac:dyDescent="0.25">
      <c r="A1049">
        <v>12</v>
      </c>
      <c r="B1049" t="s">
        <v>54</v>
      </c>
      <c r="C1049" t="s">
        <v>53</v>
      </c>
      <c r="D1049" s="1" t="s">
        <v>1400</v>
      </c>
      <c r="E1049">
        <v>18.32</v>
      </c>
      <c r="F1049">
        <v>24.93</v>
      </c>
      <c r="G1049">
        <v>10.39</v>
      </c>
      <c r="H1049">
        <v>7.27</v>
      </c>
      <c r="I1049">
        <v>17.66</v>
      </c>
      <c r="J1049" t="s">
        <v>358</v>
      </c>
      <c r="K1049" t="str">
        <f t="shared" si="37"/>
        <v>alex12</v>
      </c>
      <c r="L1049">
        <f t="shared" si="38"/>
        <v>52.852899999999991</v>
      </c>
    </row>
    <row r="1050" spans="1:12" x14ac:dyDescent="0.25">
      <c r="A1050">
        <v>12</v>
      </c>
      <c r="B1050" t="s">
        <v>52</v>
      </c>
      <c r="C1050" t="s">
        <v>53</v>
      </c>
      <c r="D1050" s="1" t="s">
        <v>1401</v>
      </c>
      <c r="E1050">
        <v>20.53</v>
      </c>
      <c r="F1050">
        <v>26.63</v>
      </c>
      <c r="G1050">
        <v>12.65</v>
      </c>
      <c r="H1050">
        <v>6.99</v>
      </c>
      <c r="I1050">
        <v>19.64</v>
      </c>
      <c r="J1050" t="s">
        <v>359</v>
      </c>
      <c r="K1050" t="str">
        <f t="shared" si="37"/>
        <v>colin12</v>
      </c>
      <c r="L1050">
        <f t="shared" si="38"/>
        <v>48.860100000000003</v>
      </c>
    </row>
    <row r="1051" spans="1:12" x14ac:dyDescent="0.25">
      <c r="A1051">
        <v>12</v>
      </c>
      <c r="B1051" t="s">
        <v>194</v>
      </c>
      <c r="C1051" t="s">
        <v>53</v>
      </c>
      <c r="D1051" s="1" t="s">
        <v>1402</v>
      </c>
      <c r="E1051">
        <v>21.16</v>
      </c>
      <c r="F1051">
        <v>30.23</v>
      </c>
      <c r="G1051">
        <v>11.03</v>
      </c>
      <c r="H1051">
        <v>9.6</v>
      </c>
      <c r="I1051">
        <v>20.63</v>
      </c>
      <c r="J1051" t="s">
        <v>360</v>
      </c>
      <c r="K1051" t="str">
        <f t="shared" si="37"/>
        <v>paul12</v>
      </c>
      <c r="L1051">
        <f t="shared" si="38"/>
        <v>92.16</v>
      </c>
    </row>
    <row r="1052" spans="1:12" x14ac:dyDescent="0.25">
      <c r="A1052">
        <v>12</v>
      </c>
      <c r="B1052" t="s">
        <v>497</v>
      </c>
      <c r="C1052" t="s">
        <v>57</v>
      </c>
      <c r="D1052" s="1" t="s">
        <v>1403</v>
      </c>
      <c r="E1052">
        <v>7.26</v>
      </c>
      <c r="F1052">
        <v>9.85</v>
      </c>
      <c r="G1052">
        <v>1.0900000000000001</v>
      </c>
      <c r="H1052">
        <v>4.38</v>
      </c>
      <c r="I1052">
        <v>5.47</v>
      </c>
      <c r="J1052" t="s">
        <v>351</v>
      </c>
      <c r="K1052" t="str">
        <f t="shared" si="37"/>
        <v>andrew12</v>
      </c>
      <c r="L1052">
        <f t="shared" si="38"/>
        <v>19.1844</v>
      </c>
    </row>
    <row r="1053" spans="1:12" x14ac:dyDescent="0.25">
      <c r="A1053">
        <v>12</v>
      </c>
      <c r="B1053" t="s">
        <v>60</v>
      </c>
      <c r="C1053" t="s">
        <v>57</v>
      </c>
      <c r="D1053" s="1" t="s">
        <v>1404</v>
      </c>
      <c r="E1053">
        <v>8.4600000000000009</v>
      </c>
      <c r="F1053">
        <v>11.62</v>
      </c>
      <c r="G1053">
        <v>1.1000000000000001</v>
      </c>
      <c r="H1053">
        <v>5.26</v>
      </c>
      <c r="I1053">
        <v>6.36</v>
      </c>
      <c r="J1053" t="s">
        <v>352</v>
      </c>
      <c r="K1053" t="str">
        <f t="shared" si="37"/>
        <v>jake12</v>
      </c>
      <c r="L1053">
        <f t="shared" si="38"/>
        <v>27.667599999999997</v>
      </c>
    </row>
    <row r="1054" spans="1:12" x14ac:dyDescent="0.25">
      <c r="A1054">
        <v>12</v>
      </c>
      <c r="B1054" t="s">
        <v>368</v>
      </c>
      <c r="C1054" t="s">
        <v>57</v>
      </c>
      <c r="D1054" s="1" t="s">
        <v>1405</v>
      </c>
      <c r="E1054">
        <v>5.25</v>
      </c>
      <c r="F1054">
        <v>7.61</v>
      </c>
      <c r="G1054">
        <v>0.05</v>
      </c>
      <c r="H1054">
        <v>3.78</v>
      </c>
      <c r="I1054">
        <v>3.83</v>
      </c>
      <c r="J1054" t="s">
        <v>353</v>
      </c>
      <c r="K1054" t="str">
        <f t="shared" si="37"/>
        <v>breanna12</v>
      </c>
      <c r="L1054">
        <f t="shared" si="38"/>
        <v>14.288399999999999</v>
      </c>
    </row>
    <row r="1055" spans="1:12" x14ac:dyDescent="0.25">
      <c r="A1055">
        <v>12</v>
      </c>
      <c r="B1055" t="s">
        <v>962</v>
      </c>
      <c r="C1055" t="s">
        <v>57</v>
      </c>
      <c r="D1055" s="1" t="s">
        <v>1406</v>
      </c>
      <c r="E1055">
        <v>5.98</v>
      </c>
      <c r="F1055">
        <v>9.49</v>
      </c>
      <c r="G1055">
        <v>-0.37</v>
      </c>
      <c r="H1055">
        <v>4.93</v>
      </c>
      <c r="I1055">
        <v>4.5599999999999996</v>
      </c>
      <c r="J1055" t="s">
        <v>354</v>
      </c>
      <c r="K1055" t="str">
        <f t="shared" si="37"/>
        <v>joseph12</v>
      </c>
      <c r="L1055">
        <f t="shared" si="38"/>
        <v>24.304899999999996</v>
      </c>
    </row>
    <row r="1056" spans="1:12" x14ac:dyDescent="0.25">
      <c r="A1056">
        <v>12</v>
      </c>
      <c r="B1056" t="s">
        <v>182</v>
      </c>
      <c r="C1056" t="s">
        <v>57</v>
      </c>
      <c r="D1056" s="1" t="s">
        <v>1407</v>
      </c>
      <c r="E1056">
        <v>2.99</v>
      </c>
      <c r="F1056">
        <v>4.75</v>
      </c>
      <c r="G1056">
        <v>-0.45</v>
      </c>
      <c r="H1056">
        <v>2.6</v>
      </c>
      <c r="I1056">
        <v>2.15</v>
      </c>
      <c r="J1056" t="s">
        <v>355</v>
      </c>
      <c r="K1056" t="str">
        <f t="shared" si="37"/>
        <v>alyssa12</v>
      </c>
      <c r="L1056">
        <f t="shared" si="38"/>
        <v>6.7600000000000007</v>
      </c>
    </row>
    <row r="1057" spans="1:12" x14ac:dyDescent="0.25">
      <c r="A1057">
        <v>12</v>
      </c>
      <c r="B1057" t="s">
        <v>58</v>
      </c>
      <c r="C1057" t="s">
        <v>57</v>
      </c>
      <c r="D1057" s="1" t="s">
        <v>1408</v>
      </c>
      <c r="E1057">
        <v>10.220000000000001</v>
      </c>
      <c r="F1057">
        <v>12.24</v>
      </c>
      <c r="G1057">
        <v>3.64</v>
      </c>
      <c r="H1057">
        <v>4.3</v>
      </c>
      <c r="I1057">
        <v>7.94</v>
      </c>
      <c r="J1057" t="s">
        <v>356</v>
      </c>
      <c r="K1057" t="str">
        <f t="shared" si="37"/>
        <v>chris12</v>
      </c>
      <c r="L1057">
        <f t="shared" si="38"/>
        <v>18.489999999999998</v>
      </c>
    </row>
    <row r="1058" spans="1:12" x14ac:dyDescent="0.25">
      <c r="A1058">
        <v>12</v>
      </c>
      <c r="B1058" t="s">
        <v>62</v>
      </c>
      <c r="C1058" t="s">
        <v>57</v>
      </c>
      <c r="D1058" s="1" t="s">
        <v>1409</v>
      </c>
      <c r="E1058">
        <v>12.01</v>
      </c>
      <c r="F1058">
        <v>14.68</v>
      </c>
      <c r="G1058">
        <v>3.82</v>
      </c>
      <c r="H1058">
        <v>5.43</v>
      </c>
      <c r="I1058">
        <v>9.25</v>
      </c>
      <c r="J1058" t="s">
        <v>357</v>
      </c>
      <c r="K1058" t="str">
        <f t="shared" si="37"/>
        <v>jordan12</v>
      </c>
      <c r="L1058">
        <f t="shared" si="38"/>
        <v>29.484899999999996</v>
      </c>
    </row>
    <row r="1059" spans="1:12" x14ac:dyDescent="0.25">
      <c r="A1059">
        <v>12</v>
      </c>
      <c r="B1059" t="s">
        <v>150</v>
      </c>
      <c r="C1059" t="s">
        <v>57</v>
      </c>
      <c r="D1059" s="1" t="s">
        <v>1410</v>
      </c>
      <c r="E1059">
        <v>9.27</v>
      </c>
      <c r="F1059">
        <v>13.4</v>
      </c>
      <c r="G1059">
        <v>1.22</v>
      </c>
      <c r="H1059">
        <v>6.09</v>
      </c>
      <c r="I1059">
        <v>7.31</v>
      </c>
      <c r="J1059" t="s">
        <v>358</v>
      </c>
      <c r="K1059" t="str">
        <f t="shared" si="37"/>
        <v>alex12</v>
      </c>
      <c r="L1059">
        <f t="shared" si="38"/>
        <v>37.088099999999997</v>
      </c>
    </row>
    <row r="1060" spans="1:12" x14ac:dyDescent="0.25">
      <c r="A1060">
        <v>12</v>
      </c>
      <c r="B1060" t="s">
        <v>73</v>
      </c>
      <c r="C1060" t="s">
        <v>57</v>
      </c>
      <c r="D1060" s="1" t="s">
        <v>1411</v>
      </c>
      <c r="E1060">
        <v>9.57</v>
      </c>
      <c r="F1060">
        <v>11.49</v>
      </c>
      <c r="G1060">
        <v>3.09</v>
      </c>
      <c r="H1060">
        <v>4.2</v>
      </c>
      <c r="I1060">
        <v>7.29</v>
      </c>
      <c r="J1060" t="s">
        <v>359</v>
      </c>
      <c r="K1060" t="str">
        <f t="shared" si="37"/>
        <v>colin12</v>
      </c>
      <c r="L1060">
        <f t="shared" si="38"/>
        <v>17.64</v>
      </c>
    </row>
    <row r="1061" spans="1:12" x14ac:dyDescent="0.25">
      <c r="A1061">
        <v>12</v>
      </c>
      <c r="B1061" t="s">
        <v>59</v>
      </c>
      <c r="C1061" t="s">
        <v>57</v>
      </c>
      <c r="D1061" s="1" t="s">
        <v>1412</v>
      </c>
      <c r="E1061">
        <v>8.94</v>
      </c>
      <c r="F1061">
        <v>12.32</v>
      </c>
      <c r="G1061">
        <v>0.8</v>
      </c>
      <c r="H1061">
        <v>5.76</v>
      </c>
      <c r="I1061">
        <v>6.56</v>
      </c>
      <c r="J1061" t="s">
        <v>360</v>
      </c>
      <c r="K1061" t="str">
        <f t="shared" si="37"/>
        <v>paul12</v>
      </c>
      <c r="L1061">
        <f t="shared" si="38"/>
        <v>33.177599999999998</v>
      </c>
    </row>
    <row r="1062" spans="1:12" x14ac:dyDescent="0.25">
      <c r="A1062">
        <v>12</v>
      </c>
      <c r="B1062" t="s">
        <v>196</v>
      </c>
      <c r="C1062" t="s">
        <v>63</v>
      </c>
      <c r="D1062" s="1" t="s">
        <v>1413</v>
      </c>
      <c r="E1062">
        <v>9.9285999999999994</v>
      </c>
      <c r="F1062">
        <v>16.77</v>
      </c>
      <c r="G1062">
        <v>3.13</v>
      </c>
      <c r="H1062">
        <v>6.82</v>
      </c>
      <c r="I1062">
        <v>9.9285999999999994</v>
      </c>
      <c r="J1062" t="s">
        <v>351</v>
      </c>
      <c r="K1062" t="str">
        <f t="shared" si="37"/>
        <v>andrew12</v>
      </c>
      <c r="L1062">
        <f t="shared" si="38"/>
        <v>46.512400000000007</v>
      </c>
    </row>
    <row r="1063" spans="1:12" x14ac:dyDescent="0.25">
      <c r="A1063">
        <v>12</v>
      </c>
      <c r="B1063" t="s">
        <v>318</v>
      </c>
      <c r="C1063" t="s">
        <v>63</v>
      </c>
      <c r="D1063" s="1" t="s">
        <v>1234</v>
      </c>
      <c r="E1063">
        <v>7.9386999999999999</v>
      </c>
      <c r="F1063">
        <v>13.9</v>
      </c>
      <c r="G1063">
        <v>1.98</v>
      </c>
      <c r="H1063">
        <v>5.96</v>
      </c>
      <c r="I1063">
        <v>7.9386999999999999</v>
      </c>
      <c r="J1063" t="s">
        <v>352</v>
      </c>
      <c r="K1063" t="str">
        <f t="shared" si="37"/>
        <v>jake12</v>
      </c>
      <c r="L1063">
        <f t="shared" si="38"/>
        <v>35.521599999999999</v>
      </c>
    </row>
    <row r="1064" spans="1:12" x14ac:dyDescent="0.25">
      <c r="A1064">
        <v>12</v>
      </c>
      <c r="B1064" t="s">
        <v>195</v>
      </c>
      <c r="C1064" t="s">
        <v>63</v>
      </c>
      <c r="D1064" s="1" t="s">
        <v>1414</v>
      </c>
      <c r="E1064">
        <v>8.5801999999999996</v>
      </c>
      <c r="F1064">
        <v>15.91</v>
      </c>
      <c r="G1064">
        <v>1.23</v>
      </c>
      <c r="H1064">
        <v>7.34</v>
      </c>
      <c r="I1064">
        <v>8.5801999999999996</v>
      </c>
      <c r="J1064" t="s">
        <v>353</v>
      </c>
      <c r="K1064" t="str">
        <f t="shared" si="37"/>
        <v>breanna12</v>
      </c>
      <c r="L1064">
        <f t="shared" si="38"/>
        <v>53.875599999999999</v>
      </c>
    </row>
    <row r="1065" spans="1:12" x14ac:dyDescent="0.25">
      <c r="A1065">
        <v>12</v>
      </c>
      <c r="B1065" t="s">
        <v>372</v>
      </c>
      <c r="C1065" t="s">
        <v>63</v>
      </c>
      <c r="D1065" s="1" t="s">
        <v>1415</v>
      </c>
      <c r="E1065">
        <v>9.7062000000000008</v>
      </c>
      <c r="F1065">
        <v>17.010000000000002</v>
      </c>
      <c r="G1065">
        <v>2.41</v>
      </c>
      <c r="H1065">
        <v>7.3</v>
      </c>
      <c r="I1065">
        <v>9.7062000000000008</v>
      </c>
      <c r="J1065" t="s">
        <v>354</v>
      </c>
      <c r="K1065" t="str">
        <f t="shared" si="37"/>
        <v>joseph12</v>
      </c>
      <c r="L1065">
        <f t="shared" si="38"/>
        <v>53.29</v>
      </c>
    </row>
    <row r="1066" spans="1:12" x14ac:dyDescent="0.25">
      <c r="A1066">
        <v>12</v>
      </c>
      <c r="B1066" t="s">
        <v>389</v>
      </c>
      <c r="C1066" t="s">
        <v>63</v>
      </c>
      <c r="D1066" s="1" t="s">
        <v>1416</v>
      </c>
      <c r="E1066">
        <v>7.5598000000000001</v>
      </c>
      <c r="F1066">
        <v>12.64</v>
      </c>
      <c r="G1066">
        <v>2.46</v>
      </c>
      <c r="H1066">
        <v>5.09</v>
      </c>
      <c r="I1066">
        <v>7.5598000000000001</v>
      </c>
      <c r="J1066" t="s">
        <v>355</v>
      </c>
      <c r="K1066" t="str">
        <f t="shared" si="37"/>
        <v>alyssa12</v>
      </c>
      <c r="L1066">
        <f t="shared" si="38"/>
        <v>25.908099999999997</v>
      </c>
    </row>
    <row r="1067" spans="1:12" x14ac:dyDescent="0.25">
      <c r="A1067">
        <v>12</v>
      </c>
      <c r="B1067" t="s">
        <v>177</v>
      </c>
      <c r="C1067" t="s">
        <v>63</v>
      </c>
      <c r="D1067" s="1" t="s">
        <v>1417</v>
      </c>
      <c r="E1067">
        <v>13.0824</v>
      </c>
      <c r="F1067">
        <v>19.54</v>
      </c>
      <c r="G1067">
        <v>6.6</v>
      </c>
      <c r="H1067">
        <v>6.47</v>
      </c>
      <c r="I1067">
        <v>13.0824</v>
      </c>
      <c r="J1067" t="s">
        <v>356</v>
      </c>
      <c r="K1067" t="str">
        <f t="shared" si="37"/>
        <v>chris12</v>
      </c>
      <c r="L1067">
        <f t="shared" si="38"/>
        <v>41.860899999999994</v>
      </c>
    </row>
    <row r="1068" spans="1:12" x14ac:dyDescent="0.25">
      <c r="A1068">
        <v>12</v>
      </c>
      <c r="B1068" t="s">
        <v>203</v>
      </c>
      <c r="C1068" t="s">
        <v>63</v>
      </c>
      <c r="D1068" s="1" t="s">
        <v>1418</v>
      </c>
      <c r="E1068">
        <v>6.7629000000000001</v>
      </c>
      <c r="F1068">
        <v>12.1</v>
      </c>
      <c r="G1068">
        <v>1.44</v>
      </c>
      <c r="H1068">
        <v>5.33</v>
      </c>
      <c r="I1068">
        <v>6.7629000000000001</v>
      </c>
      <c r="J1068" t="s">
        <v>357</v>
      </c>
      <c r="K1068" t="str">
        <f t="shared" si="37"/>
        <v>jordan12</v>
      </c>
      <c r="L1068">
        <f t="shared" si="38"/>
        <v>28.408899999999999</v>
      </c>
    </row>
    <row r="1069" spans="1:12" x14ac:dyDescent="0.25">
      <c r="A1069">
        <v>12</v>
      </c>
      <c r="B1069" t="s">
        <v>178</v>
      </c>
      <c r="C1069" t="s">
        <v>63</v>
      </c>
      <c r="D1069" s="1" t="s">
        <v>886</v>
      </c>
      <c r="E1069">
        <v>11.3786</v>
      </c>
      <c r="F1069">
        <v>18.03</v>
      </c>
      <c r="G1069">
        <v>4.7300000000000004</v>
      </c>
      <c r="H1069">
        <v>6.65</v>
      </c>
      <c r="I1069">
        <v>11.3786</v>
      </c>
      <c r="J1069" t="s">
        <v>358</v>
      </c>
      <c r="K1069" t="str">
        <f t="shared" si="37"/>
        <v>alex12</v>
      </c>
      <c r="L1069">
        <f t="shared" si="38"/>
        <v>44.222500000000004</v>
      </c>
    </row>
    <row r="1070" spans="1:12" x14ac:dyDescent="0.25">
      <c r="A1070">
        <v>12</v>
      </c>
      <c r="B1070" t="s">
        <v>257</v>
      </c>
      <c r="C1070" t="s">
        <v>63</v>
      </c>
      <c r="D1070" s="1" t="s">
        <v>1419</v>
      </c>
      <c r="E1070">
        <v>5.3151999999999999</v>
      </c>
      <c r="F1070">
        <v>10.4</v>
      </c>
      <c r="G1070">
        <v>0.24</v>
      </c>
      <c r="H1070">
        <v>5.08</v>
      </c>
      <c r="I1070">
        <v>5.3151999999999999</v>
      </c>
      <c r="J1070" t="s">
        <v>359</v>
      </c>
      <c r="K1070" t="str">
        <f t="shared" si="37"/>
        <v>colin12</v>
      </c>
      <c r="L1070">
        <f t="shared" si="38"/>
        <v>25.8064</v>
      </c>
    </row>
    <row r="1071" spans="1:12" x14ac:dyDescent="0.25">
      <c r="A1071">
        <v>12</v>
      </c>
      <c r="B1071" t="s">
        <v>255</v>
      </c>
      <c r="C1071" t="s">
        <v>63</v>
      </c>
      <c r="D1071" s="1" t="s">
        <v>1420</v>
      </c>
      <c r="E1071">
        <v>9.9985999999999997</v>
      </c>
      <c r="F1071">
        <v>16.420000000000002</v>
      </c>
      <c r="G1071">
        <v>3.56</v>
      </c>
      <c r="H1071">
        <v>6.43</v>
      </c>
      <c r="I1071">
        <v>9.9985999999999997</v>
      </c>
      <c r="J1071" t="s">
        <v>360</v>
      </c>
      <c r="K1071" t="str">
        <f t="shared" si="37"/>
        <v>paul12</v>
      </c>
      <c r="L1071">
        <f t="shared" si="38"/>
        <v>41.344899999999996</v>
      </c>
    </row>
    <row r="1072" spans="1:12" x14ac:dyDescent="0.25">
      <c r="A1072">
        <v>12</v>
      </c>
      <c r="B1072" t="s">
        <v>159</v>
      </c>
      <c r="C1072" t="s">
        <v>64</v>
      </c>
      <c r="D1072" s="1" t="s">
        <v>1421</v>
      </c>
      <c r="E1072">
        <v>7.31</v>
      </c>
      <c r="F1072">
        <v>12</v>
      </c>
      <c r="G1072">
        <v>2.66</v>
      </c>
      <c r="H1072">
        <v>4.67</v>
      </c>
      <c r="I1072">
        <v>7.33</v>
      </c>
      <c r="J1072" t="s">
        <v>351</v>
      </c>
      <c r="K1072" t="str">
        <f t="shared" si="37"/>
        <v>andrew12</v>
      </c>
      <c r="L1072">
        <f t="shared" si="38"/>
        <v>21.808899999999998</v>
      </c>
    </row>
    <row r="1073" spans="1:12" x14ac:dyDescent="0.25">
      <c r="A1073">
        <v>12</v>
      </c>
      <c r="B1073" t="s">
        <v>155</v>
      </c>
      <c r="C1073" t="s">
        <v>64</v>
      </c>
      <c r="D1073" s="1" t="s">
        <v>1422</v>
      </c>
      <c r="E1073">
        <v>9.4600000000000009</v>
      </c>
      <c r="F1073">
        <v>13.93</v>
      </c>
      <c r="G1073">
        <v>4.95</v>
      </c>
      <c r="H1073">
        <v>4.49</v>
      </c>
      <c r="I1073">
        <v>9.44</v>
      </c>
      <c r="J1073" t="s">
        <v>352</v>
      </c>
      <c r="K1073" t="str">
        <f t="shared" si="37"/>
        <v>jake12</v>
      </c>
      <c r="L1073">
        <f t="shared" si="38"/>
        <v>20.160100000000003</v>
      </c>
    </row>
    <row r="1074" spans="1:12" x14ac:dyDescent="0.25">
      <c r="A1074">
        <v>12</v>
      </c>
      <c r="B1074" t="s">
        <v>979</v>
      </c>
      <c r="C1074" t="s">
        <v>64</v>
      </c>
      <c r="D1074" s="1" t="s">
        <v>1423</v>
      </c>
      <c r="E1074">
        <v>8.1999999999999993</v>
      </c>
      <c r="F1074">
        <v>12.94</v>
      </c>
      <c r="G1074">
        <v>3.4</v>
      </c>
      <c r="H1074">
        <v>4.7699999999999996</v>
      </c>
      <c r="I1074">
        <v>8.17</v>
      </c>
      <c r="J1074" t="s">
        <v>353</v>
      </c>
      <c r="K1074" t="str">
        <f t="shared" si="37"/>
        <v>breanna12</v>
      </c>
      <c r="L1074">
        <f t="shared" si="38"/>
        <v>22.752899999999997</v>
      </c>
    </row>
    <row r="1075" spans="1:12" x14ac:dyDescent="0.25">
      <c r="A1075">
        <v>12</v>
      </c>
      <c r="B1075" t="s">
        <v>376</v>
      </c>
      <c r="C1075" t="s">
        <v>64</v>
      </c>
      <c r="D1075" s="1" t="s">
        <v>1424</v>
      </c>
      <c r="E1075">
        <v>8.83</v>
      </c>
      <c r="F1075">
        <v>12.52</v>
      </c>
      <c r="G1075">
        <v>5.2</v>
      </c>
      <c r="H1075">
        <v>3.66</v>
      </c>
      <c r="I1075">
        <v>8.86</v>
      </c>
      <c r="J1075" t="s">
        <v>354</v>
      </c>
      <c r="K1075" t="str">
        <f t="shared" si="37"/>
        <v>joseph12</v>
      </c>
      <c r="L1075">
        <f t="shared" si="38"/>
        <v>13.395600000000002</v>
      </c>
    </row>
    <row r="1076" spans="1:12" x14ac:dyDescent="0.25">
      <c r="A1076">
        <v>12</v>
      </c>
      <c r="B1076" t="s">
        <v>65</v>
      </c>
      <c r="C1076" t="s">
        <v>64</v>
      </c>
      <c r="D1076" s="1" t="s">
        <v>1425</v>
      </c>
      <c r="E1076">
        <v>8.51</v>
      </c>
      <c r="F1076">
        <v>13.04</v>
      </c>
      <c r="G1076">
        <v>4</v>
      </c>
      <c r="H1076">
        <v>4.5199999999999996</v>
      </c>
      <c r="I1076">
        <v>8.52</v>
      </c>
      <c r="J1076" t="s">
        <v>355</v>
      </c>
      <c r="K1076" t="str">
        <f t="shared" si="37"/>
        <v>alyssa12</v>
      </c>
      <c r="L1076">
        <f t="shared" si="38"/>
        <v>20.430399999999995</v>
      </c>
    </row>
    <row r="1077" spans="1:12" x14ac:dyDescent="0.25">
      <c r="A1077">
        <v>12</v>
      </c>
      <c r="B1077" t="s">
        <v>67</v>
      </c>
      <c r="C1077" t="s">
        <v>64</v>
      </c>
      <c r="D1077" s="1" t="s">
        <v>1426</v>
      </c>
      <c r="E1077">
        <v>9.3699999999999992</v>
      </c>
      <c r="F1077">
        <v>13.52</v>
      </c>
      <c r="G1077">
        <v>5.3</v>
      </c>
      <c r="H1077">
        <v>4.1100000000000003</v>
      </c>
      <c r="I1077">
        <v>9.41</v>
      </c>
      <c r="J1077" t="s">
        <v>356</v>
      </c>
      <c r="K1077" t="str">
        <f t="shared" si="37"/>
        <v>chris12</v>
      </c>
      <c r="L1077">
        <f t="shared" si="38"/>
        <v>16.892100000000003</v>
      </c>
    </row>
    <row r="1078" spans="1:12" x14ac:dyDescent="0.25">
      <c r="A1078">
        <v>12</v>
      </c>
      <c r="B1078" t="s">
        <v>66</v>
      </c>
      <c r="C1078" t="s">
        <v>64</v>
      </c>
      <c r="D1078" s="1" t="s">
        <v>1071</v>
      </c>
      <c r="E1078">
        <v>8.6</v>
      </c>
      <c r="F1078">
        <v>12.98</v>
      </c>
      <c r="G1078">
        <v>4.18</v>
      </c>
      <c r="H1078">
        <v>4.4000000000000004</v>
      </c>
      <c r="I1078">
        <v>8.58</v>
      </c>
      <c r="J1078" t="s">
        <v>357</v>
      </c>
      <c r="K1078" t="str">
        <f t="shared" si="37"/>
        <v>jordan12</v>
      </c>
      <c r="L1078">
        <f t="shared" si="38"/>
        <v>19.360000000000003</v>
      </c>
    </row>
    <row r="1079" spans="1:12" x14ac:dyDescent="0.25">
      <c r="A1079">
        <v>12</v>
      </c>
      <c r="B1079" t="s">
        <v>378</v>
      </c>
      <c r="C1079" t="s">
        <v>64</v>
      </c>
      <c r="D1079" s="1" t="s">
        <v>1427</v>
      </c>
      <c r="E1079">
        <v>8.15</v>
      </c>
      <c r="F1079">
        <v>11.92</v>
      </c>
      <c r="G1079">
        <v>4.38</v>
      </c>
      <c r="H1079">
        <v>3.77</v>
      </c>
      <c r="I1079">
        <v>8.15</v>
      </c>
      <c r="J1079" t="s">
        <v>358</v>
      </c>
      <c r="K1079" t="str">
        <f t="shared" si="37"/>
        <v>alex12</v>
      </c>
      <c r="L1079">
        <f t="shared" si="38"/>
        <v>14.212899999999999</v>
      </c>
    </row>
    <row r="1080" spans="1:12" x14ac:dyDescent="0.25">
      <c r="A1080">
        <v>12</v>
      </c>
      <c r="B1080" t="s">
        <v>261</v>
      </c>
      <c r="C1080" t="s">
        <v>64</v>
      </c>
      <c r="D1080" s="1" t="s">
        <v>1428</v>
      </c>
      <c r="E1080">
        <v>8.3800000000000008</v>
      </c>
      <c r="F1080">
        <v>12.26</v>
      </c>
      <c r="G1080">
        <v>4.54</v>
      </c>
      <c r="H1080">
        <v>3.86</v>
      </c>
      <c r="I1080">
        <v>8.4</v>
      </c>
      <c r="J1080" t="s">
        <v>359</v>
      </c>
      <c r="K1080" t="str">
        <f t="shared" si="37"/>
        <v>colin12</v>
      </c>
      <c r="L1080">
        <f t="shared" si="38"/>
        <v>14.8996</v>
      </c>
    </row>
    <row r="1081" spans="1:12" x14ac:dyDescent="0.25">
      <c r="A1081">
        <v>12</v>
      </c>
      <c r="B1081" t="s">
        <v>167</v>
      </c>
      <c r="C1081" t="s">
        <v>64</v>
      </c>
      <c r="D1081" s="1" t="s">
        <v>1429</v>
      </c>
      <c r="E1081">
        <v>8.16</v>
      </c>
      <c r="F1081">
        <v>12.25</v>
      </c>
      <c r="G1081">
        <v>4.13</v>
      </c>
      <c r="H1081">
        <v>4.0599999999999996</v>
      </c>
      <c r="I1081">
        <v>8.19</v>
      </c>
      <c r="J1081" t="s">
        <v>360</v>
      </c>
      <c r="K1081" t="str">
        <f t="shared" si="37"/>
        <v>paul12</v>
      </c>
      <c r="L1081">
        <f t="shared" si="38"/>
        <v>16.483599999999996</v>
      </c>
    </row>
    <row r="1082" spans="1:12" x14ac:dyDescent="0.25">
      <c r="A1082">
        <v>13</v>
      </c>
      <c r="B1082" t="s">
        <v>68</v>
      </c>
      <c r="C1082" t="s">
        <v>10</v>
      </c>
      <c r="D1082" s="1" t="s">
        <v>1430</v>
      </c>
      <c r="E1082">
        <v>16.47</v>
      </c>
      <c r="F1082">
        <v>23.61</v>
      </c>
      <c r="G1082">
        <v>6.79</v>
      </c>
      <c r="H1082">
        <v>8.41</v>
      </c>
      <c r="I1082">
        <v>15.2</v>
      </c>
      <c r="J1082" t="s">
        <v>351</v>
      </c>
      <c r="K1082" t="str">
        <f t="shared" si="37"/>
        <v>andrew13</v>
      </c>
      <c r="L1082">
        <f t="shared" si="38"/>
        <v>70.728099999999998</v>
      </c>
    </row>
    <row r="1083" spans="1:12" x14ac:dyDescent="0.25">
      <c r="A1083">
        <v>13</v>
      </c>
      <c r="B1083" t="s">
        <v>30</v>
      </c>
      <c r="C1083" t="s">
        <v>10</v>
      </c>
      <c r="D1083" s="1" t="s">
        <v>1431</v>
      </c>
      <c r="E1083">
        <v>12.31</v>
      </c>
      <c r="F1083">
        <v>17.399999999999999</v>
      </c>
      <c r="G1083">
        <v>4.5199999999999996</v>
      </c>
      <c r="H1083">
        <v>6.44</v>
      </c>
      <c r="I1083">
        <v>10.96</v>
      </c>
      <c r="J1083" t="s">
        <v>351</v>
      </c>
      <c r="K1083" t="str">
        <f t="shared" si="37"/>
        <v>andrew13</v>
      </c>
      <c r="L1083">
        <f t="shared" si="38"/>
        <v>41.473600000000005</v>
      </c>
    </row>
    <row r="1084" spans="1:12" x14ac:dyDescent="0.25">
      <c r="A1084">
        <v>13</v>
      </c>
      <c r="B1084" t="s">
        <v>181</v>
      </c>
      <c r="C1084" t="s">
        <v>10</v>
      </c>
      <c r="D1084" s="1" t="s">
        <v>1432</v>
      </c>
      <c r="E1084">
        <v>13.97</v>
      </c>
      <c r="F1084">
        <v>19.41</v>
      </c>
      <c r="G1084">
        <v>4.25</v>
      </c>
      <c r="H1084">
        <v>7.58</v>
      </c>
      <c r="I1084">
        <v>11.83</v>
      </c>
      <c r="J1084" t="s">
        <v>352</v>
      </c>
      <c r="K1084" t="str">
        <f t="shared" si="37"/>
        <v>jake13</v>
      </c>
      <c r="L1084">
        <f t="shared" si="38"/>
        <v>57.456400000000002</v>
      </c>
    </row>
    <row r="1085" spans="1:12" x14ac:dyDescent="0.25">
      <c r="A1085">
        <v>13</v>
      </c>
      <c r="B1085" t="s">
        <v>9</v>
      </c>
      <c r="C1085" t="s">
        <v>10</v>
      </c>
      <c r="D1085" s="1" t="s">
        <v>1433</v>
      </c>
      <c r="E1085">
        <v>11.68</v>
      </c>
      <c r="F1085">
        <v>16.04</v>
      </c>
      <c r="G1085">
        <v>4.42</v>
      </c>
      <c r="H1085">
        <v>5.81</v>
      </c>
      <c r="I1085">
        <v>10.23</v>
      </c>
      <c r="J1085" t="s">
        <v>352</v>
      </c>
      <c r="K1085" t="str">
        <f t="shared" si="37"/>
        <v>jake13</v>
      </c>
      <c r="L1085">
        <f t="shared" si="38"/>
        <v>33.756099999999996</v>
      </c>
    </row>
    <row r="1086" spans="1:12" x14ac:dyDescent="0.25">
      <c r="A1086">
        <v>13</v>
      </c>
      <c r="B1086" t="s">
        <v>27</v>
      </c>
      <c r="C1086" t="s">
        <v>10</v>
      </c>
      <c r="D1086" s="1" t="s">
        <v>1434</v>
      </c>
      <c r="E1086">
        <v>19.05</v>
      </c>
      <c r="F1086">
        <v>25.06</v>
      </c>
      <c r="G1086">
        <v>8.68</v>
      </c>
      <c r="H1086">
        <v>8.19</v>
      </c>
      <c r="I1086">
        <v>16.87</v>
      </c>
      <c r="J1086" t="s">
        <v>353</v>
      </c>
      <c r="K1086" t="str">
        <f t="shared" si="37"/>
        <v>breanna13</v>
      </c>
      <c r="L1086">
        <f t="shared" si="38"/>
        <v>67.076099999999997</v>
      </c>
    </row>
    <row r="1087" spans="1:12" x14ac:dyDescent="0.25">
      <c r="A1087">
        <v>13</v>
      </c>
      <c r="B1087" t="s">
        <v>219</v>
      </c>
      <c r="C1087" t="s">
        <v>10</v>
      </c>
      <c r="D1087" s="1" t="s">
        <v>1435</v>
      </c>
      <c r="E1087">
        <v>15.39</v>
      </c>
      <c r="F1087">
        <v>20.8</v>
      </c>
      <c r="G1087">
        <v>7.38</v>
      </c>
      <c r="H1087">
        <v>6.71</v>
      </c>
      <c r="I1087">
        <v>14.09</v>
      </c>
      <c r="J1087" t="s">
        <v>353</v>
      </c>
      <c r="K1087" t="str">
        <f t="shared" si="37"/>
        <v>breanna13</v>
      </c>
      <c r="L1087">
        <f t="shared" si="38"/>
        <v>45.024099999999997</v>
      </c>
    </row>
    <row r="1088" spans="1:12" x14ac:dyDescent="0.25">
      <c r="A1088">
        <v>13</v>
      </c>
      <c r="B1088" t="s">
        <v>16</v>
      </c>
      <c r="C1088" t="s">
        <v>10</v>
      </c>
      <c r="D1088" s="1" t="s">
        <v>1436</v>
      </c>
      <c r="E1088">
        <v>13.68</v>
      </c>
      <c r="F1088">
        <v>18.309999999999999</v>
      </c>
      <c r="G1088">
        <v>7.31</v>
      </c>
      <c r="H1088">
        <v>5.5</v>
      </c>
      <c r="I1088">
        <v>12.81</v>
      </c>
      <c r="J1088" t="s">
        <v>354</v>
      </c>
      <c r="K1088" t="str">
        <f t="shared" si="37"/>
        <v>joseph13</v>
      </c>
      <c r="L1088">
        <f t="shared" si="38"/>
        <v>30.25</v>
      </c>
    </row>
    <row r="1089" spans="1:12" x14ac:dyDescent="0.25">
      <c r="A1089">
        <v>13</v>
      </c>
      <c r="B1089" t="s">
        <v>74</v>
      </c>
      <c r="C1089" t="s">
        <v>10</v>
      </c>
      <c r="D1089" s="1" t="s">
        <v>1437</v>
      </c>
      <c r="E1089">
        <v>13.86</v>
      </c>
      <c r="F1089">
        <v>21.08</v>
      </c>
      <c r="G1089">
        <v>4.4400000000000004</v>
      </c>
      <c r="H1089">
        <v>8.32</v>
      </c>
      <c r="I1089">
        <v>12.76</v>
      </c>
      <c r="J1089" t="s">
        <v>354</v>
      </c>
      <c r="K1089" t="str">
        <f t="shared" si="37"/>
        <v>joseph13</v>
      </c>
      <c r="L1089">
        <f t="shared" si="38"/>
        <v>69.222400000000007</v>
      </c>
    </row>
    <row r="1090" spans="1:12" x14ac:dyDescent="0.25">
      <c r="A1090">
        <v>13</v>
      </c>
      <c r="B1090" t="s">
        <v>216</v>
      </c>
      <c r="C1090" t="s">
        <v>10</v>
      </c>
      <c r="D1090" s="1" t="s">
        <v>1438</v>
      </c>
      <c r="E1090">
        <v>14.35</v>
      </c>
      <c r="F1090">
        <v>18.55</v>
      </c>
      <c r="G1090">
        <v>5.71</v>
      </c>
      <c r="H1090">
        <v>6.42</v>
      </c>
      <c r="I1090">
        <v>12.13</v>
      </c>
      <c r="J1090" t="s">
        <v>354</v>
      </c>
      <c r="K1090" t="str">
        <f t="shared" si="37"/>
        <v>joseph13</v>
      </c>
      <c r="L1090">
        <f t="shared" si="38"/>
        <v>41.2164</v>
      </c>
    </row>
    <row r="1091" spans="1:12" x14ac:dyDescent="0.25">
      <c r="A1091">
        <v>13</v>
      </c>
      <c r="B1091" t="s">
        <v>75</v>
      </c>
      <c r="C1091" t="s">
        <v>10</v>
      </c>
      <c r="D1091" s="1" t="s">
        <v>1439</v>
      </c>
      <c r="E1091">
        <v>23.4</v>
      </c>
      <c r="F1091">
        <v>33.340000000000003</v>
      </c>
      <c r="G1091">
        <v>10.38</v>
      </c>
      <c r="H1091">
        <v>11.48</v>
      </c>
      <c r="I1091">
        <v>21.86</v>
      </c>
      <c r="J1091" t="s">
        <v>355</v>
      </c>
      <c r="K1091" t="str">
        <f t="shared" ref="K1091:K1154" si="39">J1091&amp;A1091</f>
        <v>alyssa13</v>
      </c>
      <c r="L1091">
        <f t="shared" ref="L1091:L1154" si="40">H1091^2</f>
        <v>131.79040000000001</v>
      </c>
    </row>
    <row r="1092" spans="1:12" x14ac:dyDescent="0.25">
      <c r="A1092">
        <v>13</v>
      </c>
      <c r="B1092" t="s">
        <v>28</v>
      </c>
      <c r="C1092" t="s">
        <v>10</v>
      </c>
      <c r="D1092" s="1" t="s">
        <v>1440</v>
      </c>
      <c r="E1092">
        <v>16.829999999999998</v>
      </c>
      <c r="F1092">
        <v>22.67</v>
      </c>
      <c r="G1092">
        <v>5.21</v>
      </c>
      <c r="H1092">
        <v>8.73</v>
      </c>
      <c r="I1092">
        <v>13.94</v>
      </c>
      <c r="J1092" t="s">
        <v>355</v>
      </c>
      <c r="K1092" t="str">
        <f t="shared" si="39"/>
        <v>alyssa13</v>
      </c>
      <c r="L1092">
        <f t="shared" si="40"/>
        <v>76.212900000000005</v>
      </c>
    </row>
    <row r="1093" spans="1:12" x14ac:dyDescent="0.25">
      <c r="A1093">
        <v>13</v>
      </c>
      <c r="B1093" t="s">
        <v>25</v>
      </c>
      <c r="C1093" t="s">
        <v>10</v>
      </c>
      <c r="D1093" s="1" t="s">
        <v>1441</v>
      </c>
      <c r="E1093">
        <v>21.63</v>
      </c>
      <c r="F1093">
        <v>28.11</v>
      </c>
      <c r="G1093">
        <v>11.03</v>
      </c>
      <c r="H1093">
        <v>8.5399999999999991</v>
      </c>
      <c r="I1093">
        <v>19.57</v>
      </c>
      <c r="J1093" t="s">
        <v>356</v>
      </c>
      <c r="K1093" t="str">
        <f t="shared" si="39"/>
        <v>chris13</v>
      </c>
      <c r="L1093">
        <f t="shared" si="40"/>
        <v>72.931599999999989</v>
      </c>
    </row>
    <row r="1094" spans="1:12" x14ac:dyDescent="0.25">
      <c r="A1094">
        <v>13</v>
      </c>
      <c r="B1094" t="s">
        <v>160</v>
      </c>
      <c r="C1094" t="s">
        <v>10</v>
      </c>
      <c r="D1094" s="1" t="s">
        <v>1442</v>
      </c>
      <c r="E1094">
        <v>11.35</v>
      </c>
      <c r="F1094">
        <v>14.41</v>
      </c>
      <c r="G1094">
        <v>4.91</v>
      </c>
      <c r="H1094">
        <v>4.75</v>
      </c>
      <c r="I1094">
        <v>9.66</v>
      </c>
      <c r="J1094" t="s">
        <v>356</v>
      </c>
      <c r="K1094" t="str">
        <f t="shared" si="39"/>
        <v>chris13</v>
      </c>
      <c r="L1094">
        <f t="shared" si="40"/>
        <v>22.5625</v>
      </c>
    </row>
    <row r="1095" spans="1:12" x14ac:dyDescent="0.25">
      <c r="A1095">
        <v>13</v>
      </c>
      <c r="B1095" t="s">
        <v>158</v>
      </c>
      <c r="C1095" t="s">
        <v>10</v>
      </c>
      <c r="D1095" s="1" t="s">
        <v>1443</v>
      </c>
      <c r="E1095">
        <v>19.78</v>
      </c>
      <c r="F1095">
        <v>26.84</v>
      </c>
      <c r="G1095">
        <v>8.68</v>
      </c>
      <c r="H1095">
        <v>9.08</v>
      </c>
      <c r="I1095">
        <v>17.760000000000002</v>
      </c>
      <c r="J1095" t="s">
        <v>357</v>
      </c>
      <c r="K1095" t="str">
        <f t="shared" si="39"/>
        <v>jordan13</v>
      </c>
      <c r="L1095">
        <f t="shared" si="40"/>
        <v>82.446399999999997</v>
      </c>
    </row>
    <row r="1096" spans="1:12" x14ac:dyDescent="0.25">
      <c r="A1096">
        <v>13</v>
      </c>
      <c r="B1096" t="s">
        <v>284</v>
      </c>
      <c r="C1096" t="s">
        <v>10</v>
      </c>
      <c r="D1096" s="1" t="s">
        <v>1444</v>
      </c>
      <c r="E1096">
        <v>14.89</v>
      </c>
      <c r="F1096">
        <v>22.49</v>
      </c>
      <c r="G1096">
        <v>4.63</v>
      </c>
      <c r="H1096">
        <v>8.93</v>
      </c>
      <c r="I1096">
        <v>13.56</v>
      </c>
      <c r="J1096" t="s">
        <v>357</v>
      </c>
      <c r="K1096" t="str">
        <f t="shared" si="39"/>
        <v>jordan13</v>
      </c>
      <c r="L1096">
        <f t="shared" si="40"/>
        <v>79.744900000000001</v>
      </c>
    </row>
    <row r="1097" spans="1:12" x14ac:dyDescent="0.25">
      <c r="A1097">
        <v>13</v>
      </c>
      <c r="B1097" t="s">
        <v>157</v>
      </c>
      <c r="C1097" t="s">
        <v>10</v>
      </c>
      <c r="D1097" s="1" t="s">
        <v>1445</v>
      </c>
      <c r="E1097">
        <v>11.08</v>
      </c>
      <c r="F1097">
        <v>19.82</v>
      </c>
      <c r="G1097">
        <v>1.48</v>
      </c>
      <c r="H1097">
        <v>9.17</v>
      </c>
      <c r="I1097">
        <v>10.65</v>
      </c>
      <c r="J1097" t="s">
        <v>357</v>
      </c>
      <c r="K1097" t="str">
        <f t="shared" si="39"/>
        <v>jordan13</v>
      </c>
      <c r="L1097">
        <f t="shared" si="40"/>
        <v>84.088899999999995</v>
      </c>
    </row>
    <row r="1098" spans="1:12" x14ac:dyDescent="0.25">
      <c r="A1098">
        <v>13</v>
      </c>
      <c r="B1098" t="s">
        <v>14</v>
      </c>
      <c r="C1098" t="s">
        <v>10</v>
      </c>
      <c r="D1098" s="1" t="s">
        <v>1446</v>
      </c>
      <c r="E1098">
        <v>14.08</v>
      </c>
      <c r="F1098">
        <v>19.850000000000001</v>
      </c>
      <c r="G1098">
        <v>5.25</v>
      </c>
      <c r="H1098">
        <v>7.3</v>
      </c>
      <c r="I1098">
        <v>12.55</v>
      </c>
      <c r="J1098" t="s">
        <v>358</v>
      </c>
      <c r="K1098" t="str">
        <f t="shared" si="39"/>
        <v>alex13</v>
      </c>
      <c r="L1098">
        <f t="shared" si="40"/>
        <v>53.29</v>
      </c>
    </row>
    <row r="1099" spans="1:12" x14ac:dyDescent="0.25">
      <c r="A1099">
        <v>13</v>
      </c>
      <c r="B1099" t="s">
        <v>12</v>
      </c>
      <c r="C1099" t="s">
        <v>10</v>
      </c>
      <c r="D1099" s="1" t="s">
        <v>1447</v>
      </c>
      <c r="E1099">
        <v>12.63</v>
      </c>
      <c r="F1099">
        <v>18.3</v>
      </c>
      <c r="G1099">
        <v>4.0599999999999996</v>
      </c>
      <c r="H1099">
        <v>7.12</v>
      </c>
      <c r="I1099">
        <v>11.18</v>
      </c>
      <c r="J1099" t="s">
        <v>358</v>
      </c>
      <c r="K1099" t="str">
        <f t="shared" si="39"/>
        <v>alex13</v>
      </c>
      <c r="L1099">
        <f t="shared" si="40"/>
        <v>50.694400000000002</v>
      </c>
    </row>
    <row r="1100" spans="1:12" x14ac:dyDescent="0.25">
      <c r="A1100">
        <v>13</v>
      </c>
      <c r="B1100" t="s">
        <v>152</v>
      </c>
      <c r="C1100" t="s">
        <v>10</v>
      </c>
      <c r="D1100" s="1" t="s">
        <v>1448</v>
      </c>
      <c r="E1100">
        <v>17.18</v>
      </c>
      <c r="F1100">
        <v>22.42</v>
      </c>
      <c r="G1100">
        <v>6.76</v>
      </c>
      <c r="H1100">
        <v>7.83</v>
      </c>
      <c r="I1100">
        <v>14.59</v>
      </c>
      <c r="J1100" t="s">
        <v>359</v>
      </c>
      <c r="K1100" t="str">
        <f t="shared" si="39"/>
        <v>colin13</v>
      </c>
      <c r="L1100">
        <f t="shared" si="40"/>
        <v>61.308900000000001</v>
      </c>
    </row>
    <row r="1101" spans="1:12" x14ac:dyDescent="0.25">
      <c r="A1101">
        <v>13</v>
      </c>
      <c r="B1101" t="s">
        <v>264</v>
      </c>
      <c r="C1101" t="s">
        <v>10</v>
      </c>
      <c r="D1101" s="1" t="s">
        <v>1449</v>
      </c>
      <c r="E1101">
        <v>6.95</v>
      </c>
      <c r="F1101">
        <v>11.82</v>
      </c>
      <c r="G1101">
        <v>1.1000000000000001</v>
      </c>
      <c r="H1101">
        <v>5.36</v>
      </c>
      <c r="I1101">
        <v>6.46</v>
      </c>
      <c r="J1101" t="s">
        <v>359</v>
      </c>
      <c r="K1101" t="str">
        <f t="shared" si="39"/>
        <v>colin13</v>
      </c>
      <c r="L1101">
        <f t="shared" si="40"/>
        <v>28.729600000000005</v>
      </c>
    </row>
    <row r="1102" spans="1:12" x14ac:dyDescent="0.25">
      <c r="A1102">
        <v>13</v>
      </c>
      <c r="B1102" t="s">
        <v>13</v>
      </c>
      <c r="C1102" t="s">
        <v>10</v>
      </c>
      <c r="D1102" s="1" t="s">
        <v>1450</v>
      </c>
      <c r="E1102">
        <v>16.760000000000002</v>
      </c>
      <c r="F1102">
        <v>23.63</v>
      </c>
      <c r="G1102">
        <v>6.87</v>
      </c>
      <c r="H1102">
        <v>8.3800000000000008</v>
      </c>
      <c r="I1102">
        <v>15.25</v>
      </c>
      <c r="J1102" t="s">
        <v>360</v>
      </c>
      <c r="K1102" t="str">
        <f t="shared" si="39"/>
        <v>paul13</v>
      </c>
      <c r="L1102">
        <f t="shared" si="40"/>
        <v>70.224400000000017</v>
      </c>
    </row>
    <row r="1103" spans="1:12" x14ac:dyDescent="0.25">
      <c r="A1103">
        <v>13</v>
      </c>
      <c r="B1103" t="s">
        <v>115</v>
      </c>
      <c r="C1103" t="s">
        <v>10</v>
      </c>
      <c r="D1103" s="1" t="s">
        <v>1451</v>
      </c>
      <c r="E1103">
        <v>12.19</v>
      </c>
      <c r="F1103">
        <v>16.89</v>
      </c>
      <c r="G1103">
        <v>4.51</v>
      </c>
      <c r="H1103">
        <v>6.19</v>
      </c>
      <c r="I1103">
        <v>10.7</v>
      </c>
      <c r="J1103" t="s">
        <v>360</v>
      </c>
      <c r="K1103" t="str">
        <f t="shared" si="39"/>
        <v>paul13</v>
      </c>
      <c r="L1103">
        <f t="shared" si="40"/>
        <v>38.316100000000006</v>
      </c>
    </row>
    <row r="1104" spans="1:12" x14ac:dyDescent="0.25">
      <c r="A1104">
        <v>13</v>
      </c>
      <c r="B1104" t="s">
        <v>186</v>
      </c>
      <c r="C1104" t="s">
        <v>10</v>
      </c>
      <c r="D1104" s="1" t="s">
        <v>1452</v>
      </c>
      <c r="E1104">
        <v>11.34</v>
      </c>
      <c r="F1104">
        <v>17.63</v>
      </c>
      <c r="G1104">
        <v>2.11</v>
      </c>
      <c r="H1104">
        <v>7.76</v>
      </c>
      <c r="I1104">
        <v>9.8699999999999992</v>
      </c>
      <c r="J1104" t="s">
        <v>360</v>
      </c>
      <c r="K1104" t="str">
        <f t="shared" si="39"/>
        <v>paul13</v>
      </c>
      <c r="L1104">
        <f t="shared" si="40"/>
        <v>60.217599999999997</v>
      </c>
    </row>
    <row r="1105" spans="1:12" x14ac:dyDescent="0.25">
      <c r="A1105">
        <v>13</v>
      </c>
      <c r="B1105" t="s">
        <v>41</v>
      </c>
      <c r="C1105" t="s">
        <v>32</v>
      </c>
      <c r="D1105" s="1" t="s">
        <v>1453</v>
      </c>
      <c r="E1105">
        <v>19.149999999999999</v>
      </c>
      <c r="F1105">
        <v>23.49</v>
      </c>
      <c r="G1105">
        <v>7.59</v>
      </c>
      <c r="H1105">
        <v>7.95</v>
      </c>
      <c r="I1105">
        <v>15.54</v>
      </c>
      <c r="J1105" t="s">
        <v>351</v>
      </c>
      <c r="K1105" t="str">
        <f t="shared" si="39"/>
        <v>andrew13</v>
      </c>
      <c r="L1105">
        <f t="shared" si="40"/>
        <v>63.202500000000001</v>
      </c>
    </row>
    <row r="1106" spans="1:12" x14ac:dyDescent="0.25">
      <c r="A1106">
        <v>13</v>
      </c>
      <c r="B1106" t="s">
        <v>72</v>
      </c>
      <c r="C1106" t="s">
        <v>32</v>
      </c>
      <c r="D1106" s="1" t="s">
        <v>1454</v>
      </c>
      <c r="E1106">
        <v>15.53</v>
      </c>
      <c r="F1106">
        <v>19.8</v>
      </c>
      <c r="G1106">
        <v>4.82</v>
      </c>
      <c r="H1106">
        <v>7.49</v>
      </c>
      <c r="I1106">
        <v>12.31</v>
      </c>
      <c r="J1106" t="s">
        <v>351</v>
      </c>
      <c r="K1106" t="str">
        <f t="shared" si="39"/>
        <v>andrew13</v>
      </c>
      <c r="L1106">
        <f t="shared" si="40"/>
        <v>56.100100000000005</v>
      </c>
    </row>
    <row r="1107" spans="1:12" x14ac:dyDescent="0.25">
      <c r="A1107">
        <v>13</v>
      </c>
      <c r="B1107" t="s">
        <v>37</v>
      </c>
      <c r="C1107" t="s">
        <v>32</v>
      </c>
      <c r="D1107" s="1" t="s">
        <v>1455</v>
      </c>
      <c r="E1107">
        <v>11</v>
      </c>
      <c r="F1107">
        <v>15.88</v>
      </c>
      <c r="G1107">
        <v>1.62</v>
      </c>
      <c r="H1107">
        <v>7.13</v>
      </c>
      <c r="I1107">
        <v>8.75</v>
      </c>
      <c r="J1107" t="s">
        <v>351</v>
      </c>
      <c r="K1107" t="str">
        <f t="shared" si="39"/>
        <v>andrew13</v>
      </c>
      <c r="L1107">
        <f t="shared" si="40"/>
        <v>50.8369</v>
      </c>
    </row>
    <row r="1108" spans="1:12" x14ac:dyDescent="0.25">
      <c r="A1108">
        <v>13</v>
      </c>
      <c r="B1108" t="s">
        <v>33</v>
      </c>
      <c r="C1108" t="s">
        <v>32</v>
      </c>
      <c r="D1108" s="1" t="s">
        <v>1456</v>
      </c>
      <c r="E1108">
        <v>15.86</v>
      </c>
      <c r="F1108">
        <v>20.420000000000002</v>
      </c>
      <c r="G1108">
        <v>5.2</v>
      </c>
      <c r="H1108">
        <v>7.61</v>
      </c>
      <c r="I1108">
        <v>12.81</v>
      </c>
      <c r="J1108" t="s">
        <v>352</v>
      </c>
      <c r="K1108" t="str">
        <f t="shared" si="39"/>
        <v>jake13</v>
      </c>
      <c r="L1108">
        <f t="shared" si="40"/>
        <v>57.912100000000002</v>
      </c>
    </row>
    <row r="1109" spans="1:12" x14ac:dyDescent="0.25">
      <c r="A1109">
        <v>13</v>
      </c>
      <c r="B1109" t="s">
        <v>285</v>
      </c>
      <c r="C1109" t="s">
        <v>32</v>
      </c>
      <c r="D1109" s="1" t="s">
        <v>1457</v>
      </c>
      <c r="E1109">
        <v>12.88</v>
      </c>
      <c r="F1109">
        <v>17.73</v>
      </c>
      <c r="G1109">
        <v>2.21</v>
      </c>
      <c r="H1109">
        <v>7.76</v>
      </c>
      <c r="I1109">
        <v>9.9700000000000006</v>
      </c>
      <c r="J1109" t="s">
        <v>352</v>
      </c>
      <c r="K1109" t="str">
        <f t="shared" si="39"/>
        <v>jake13</v>
      </c>
      <c r="L1109">
        <f t="shared" si="40"/>
        <v>60.217599999999997</v>
      </c>
    </row>
    <row r="1110" spans="1:12" x14ac:dyDescent="0.25">
      <c r="A1110">
        <v>13</v>
      </c>
      <c r="B1110" t="s">
        <v>45</v>
      </c>
      <c r="C1110" t="s">
        <v>32</v>
      </c>
      <c r="D1110" s="1" t="s">
        <v>1458</v>
      </c>
      <c r="E1110">
        <v>13.03</v>
      </c>
      <c r="F1110">
        <v>15.37</v>
      </c>
      <c r="G1110">
        <v>4.1500000000000004</v>
      </c>
      <c r="H1110">
        <v>5.61</v>
      </c>
      <c r="I1110">
        <v>9.76</v>
      </c>
      <c r="J1110" t="s">
        <v>352</v>
      </c>
      <c r="K1110" t="str">
        <f t="shared" si="39"/>
        <v>jake13</v>
      </c>
      <c r="L1110">
        <f t="shared" si="40"/>
        <v>31.472100000000005</v>
      </c>
    </row>
    <row r="1111" spans="1:12" x14ac:dyDescent="0.25">
      <c r="A1111">
        <v>13</v>
      </c>
      <c r="B1111" t="s">
        <v>44</v>
      </c>
      <c r="C1111" t="s">
        <v>32</v>
      </c>
      <c r="D1111" s="1" t="s">
        <v>1459</v>
      </c>
      <c r="E1111">
        <v>16.23</v>
      </c>
      <c r="F1111">
        <v>23.24</v>
      </c>
      <c r="G1111">
        <v>2.5</v>
      </c>
      <c r="H1111">
        <v>10.37</v>
      </c>
      <c r="I1111">
        <v>12.87</v>
      </c>
      <c r="J1111" t="s">
        <v>353</v>
      </c>
      <c r="K1111" t="str">
        <f t="shared" si="39"/>
        <v>breanna13</v>
      </c>
      <c r="L1111">
        <f t="shared" si="40"/>
        <v>107.53689999999999</v>
      </c>
    </row>
    <row r="1112" spans="1:12" x14ac:dyDescent="0.25">
      <c r="A1112">
        <v>13</v>
      </c>
      <c r="B1112" t="s">
        <v>48</v>
      </c>
      <c r="C1112" t="s">
        <v>32</v>
      </c>
      <c r="D1112" s="1" t="s">
        <v>1460</v>
      </c>
      <c r="E1112">
        <v>11.29</v>
      </c>
      <c r="F1112">
        <v>13.69</v>
      </c>
      <c r="G1112">
        <v>4.7300000000000004</v>
      </c>
      <c r="H1112">
        <v>4.4800000000000004</v>
      </c>
      <c r="I1112">
        <v>9.2100000000000009</v>
      </c>
      <c r="J1112" t="s">
        <v>353</v>
      </c>
      <c r="K1112" t="str">
        <f t="shared" si="39"/>
        <v>breanna13</v>
      </c>
      <c r="L1112">
        <f t="shared" si="40"/>
        <v>20.070400000000003</v>
      </c>
    </row>
    <row r="1113" spans="1:12" x14ac:dyDescent="0.25">
      <c r="A1113">
        <v>13</v>
      </c>
      <c r="B1113" t="s">
        <v>165</v>
      </c>
      <c r="C1113" t="s">
        <v>32</v>
      </c>
      <c r="D1113" s="1" t="s">
        <v>1461</v>
      </c>
      <c r="E1113">
        <v>10.74</v>
      </c>
      <c r="F1113">
        <v>14.99</v>
      </c>
      <c r="G1113">
        <v>2.13</v>
      </c>
      <c r="H1113">
        <v>6.43</v>
      </c>
      <c r="I1113">
        <v>8.56</v>
      </c>
      <c r="J1113" t="s">
        <v>353</v>
      </c>
      <c r="K1113" t="str">
        <f t="shared" si="39"/>
        <v>breanna13</v>
      </c>
      <c r="L1113">
        <f t="shared" si="40"/>
        <v>41.344899999999996</v>
      </c>
    </row>
    <row r="1114" spans="1:12" x14ac:dyDescent="0.25">
      <c r="A1114">
        <v>13</v>
      </c>
      <c r="B1114" t="s">
        <v>42</v>
      </c>
      <c r="C1114" t="s">
        <v>32</v>
      </c>
      <c r="D1114" s="1" t="s">
        <v>1462</v>
      </c>
      <c r="E1114">
        <v>15.66</v>
      </c>
      <c r="F1114">
        <v>18.66</v>
      </c>
      <c r="G1114">
        <v>6.38</v>
      </c>
      <c r="H1114">
        <v>6.14</v>
      </c>
      <c r="I1114">
        <v>12.52</v>
      </c>
      <c r="J1114" t="s">
        <v>354</v>
      </c>
      <c r="K1114" t="str">
        <f t="shared" si="39"/>
        <v>joseph13</v>
      </c>
      <c r="L1114">
        <f t="shared" si="40"/>
        <v>37.699599999999997</v>
      </c>
    </row>
    <row r="1115" spans="1:12" x14ac:dyDescent="0.25">
      <c r="A1115">
        <v>13</v>
      </c>
      <c r="B1115" t="s">
        <v>43</v>
      </c>
      <c r="C1115" t="s">
        <v>32</v>
      </c>
      <c r="D1115" s="1" t="s">
        <v>1463</v>
      </c>
      <c r="E1115">
        <v>13.12</v>
      </c>
      <c r="F1115">
        <v>18.14</v>
      </c>
      <c r="G1115">
        <v>3.08</v>
      </c>
      <c r="H1115">
        <v>7.53</v>
      </c>
      <c r="I1115">
        <v>10.61</v>
      </c>
      <c r="J1115" t="s">
        <v>354</v>
      </c>
      <c r="K1115" t="str">
        <f t="shared" si="39"/>
        <v>joseph13</v>
      </c>
      <c r="L1115">
        <f t="shared" si="40"/>
        <v>56.700900000000004</v>
      </c>
    </row>
    <row r="1116" spans="1:12" x14ac:dyDescent="0.25">
      <c r="A1116">
        <v>13</v>
      </c>
      <c r="B1116" t="s">
        <v>69</v>
      </c>
      <c r="C1116" t="s">
        <v>32</v>
      </c>
      <c r="D1116" s="1" t="s">
        <v>1464</v>
      </c>
      <c r="E1116">
        <v>17.22</v>
      </c>
      <c r="F1116">
        <v>20.58</v>
      </c>
      <c r="G1116">
        <v>6.4</v>
      </c>
      <c r="H1116">
        <v>7.09</v>
      </c>
      <c r="I1116">
        <v>13.49</v>
      </c>
      <c r="J1116" t="s">
        <v>355</v>
      </c>
      <c r="K1116" t="str">
        <f t="shared" si="39"/>
        <v>alyssa13</v>
      </c>
      <c r="L1116">
        <f t="shared" si="40"/>
        <v>50.268099999999997</v>
      </c>
    </row>
    <row r="1117" spans="1:12" x14ac:dyDescent="0.25">
      <c r="A1117">
        <v>13</v>
      </c>
      <c r="B1117" t="s">
        <v>71</v>
      </c>
      <c r="C1117" t="s">
        <v>32</v>
      </c>
      <c r="D1117" s="1" t="s">
        <v>1465</v>
      </c>
      <c r="E1117">
        <v>14.47</v>
      </c>
      <c r="F1117">
        <v>18.53</v>
      </c>
      <c r="G1117">
        <v>4.1100000000000003</v>
      </c>
      <c r="H1117">
        <v>7.21</v>
      </c>
      <c r="I1117">
        <v>11.32</v>
      </c>
      <c r="J1117" t="s">
        <v>355</v>
      </c>
      <c r="K1117" t="str">
        <f t="shared" si="39"/>
        <v>alyssa13</v>
      </c>
      <c r="L1117">
        <f t="shared" si="40"/>
        <v>51.984099999999998</v>
      </c>
    </row>
    <row r="1118" spans="1:12" x14ac:dyDescent="0.25">
      <c r="A1118">
        <v>13</v>
      </c>
      <c r="B1118" t="s">
        <v>51</v>
      </c>
      <c r="C1118" t="s">
        <v>32</v>
      </c>
      <c r="D1118" s="1" t="s">
        <v>1466</v>
      </c>
      <c r="E1118">
        <v>13.45</v>
      </c>
      <c r="F1118">
        <v>17.600000000000001</v>
      </c>
      <c r="G1118">
        <v>3.46</v>
      </c>
      <c r="H1118">
        <v>7.07</v>
      </c>
      <c r="I1118">
        <v>10.53</v>
      </c>
      <c r="J1118" t="s">
        <v>355</v>
      </c>
      <c r="K1118" t="str">
        <f t="shared" si="39"/>
        <v>alyssa13</v>
      </c>
      <c r="L1118">
        <f t="shared" si="40"/>
        <v>49.984900000000003</v>
      </c>
    </row>
    <row r="1119" spans="1:12" x14ac:dyDescent="0.25">
      <c r="A1119">
        <v>13</v>
      </c>
      <c r="B1119" t="s">
        <v>47</v>
      </c>
      <c r="C1119" t="s">
        <v>32</v>
      </c>
      <c r="D1119" s="1" t="s">
        <v>1467</v>
      </c>
      <c r="E1119">
        <v>13.34</v>
      </c>
      <c r="F1119">
        <v>17.41</v>
      </c>
      <c r="G1119">
        <v>3.69</v>
      </c>
      <c r="H1119">
        <v>6.86</v>
      </c>
      <c r="I1119">
        <v>10.55</v>
      </c>
      <c r="J1119" t="s">
        <v>356</v>
      </c>
      <c r="K1119" t="str">
        <f t="shared" si="39"/>
        <v>chris13</v>
      </c>
      <c r="L1119">
        <f t="shared" si="40"/>
        <v>47.059600000000003</v>
      </c>
    </row>
    <row r="1120" spans="1:12" x14ac:dyDescent="0.25">
      <c r="A1120">
        <v>13</v>
      </c>
      <c r="B1120" t="s">
        <v>46</v>
      </c>
      <c r="C1120" t="s">
        <v>32</v>
      </c>
      <c r="D1120" s="1" t="s">
        <v>1468</v>
      </c>
      <c r="E1120">
        <v>12.11</v>
      </c>
      <c r="F1120">
        <v>15.58</v>
      </c>
      <c r="G1120">
        <v>2.8</v>
      </c>
      <c r="H1120">
        <v>6.39</v>
      </c>
      <c r="I1120">
        <v>9.19</v>
      </c>
      <c r="J1120" t="s">
        <v>356</v>
      </c>
      <c r="K1120" t="str">
        <f t="shared" si="39"/>
        <v>chris13</v>
      </c>
      <c r="L1120">
        <f t="shared" si="40"/>
        <v>40.832099999999997</v>
      </c>
    </row>
    <row r="1121" spans="1:12" x14ac:dyDescent="0.25">
      <c r="A1121">
        <v>13</v>
      </c>
      <c r="B1121" t="s">
        <v>224</v>
      </c>
      <c r="C1121" t="s">
        <v>32</v>
      </c>
      <c r="D1121" s="1" t="s">
        <v>1469</v>
      </c>
      <c r="E1121">
        <v>8.4600000000000009</v>
      </c>
      <c r="F1121">
        <v>11.29</v>
      </c>
      <c r="G1121">
        <v>1.37</v>
      </c>
      <c r="H1121">
        <v>4.96</v>
      </c>
      <c r="I1121">
        <v>6.33</v>
      </c>
      <c r="J1121" t="s">
        <v>356</v>
      </c>
      <c r="K1121" t="str">
        <f t="shared" si="39"/>
        <v>chris13</v>
      </c>
      <c r="L1121">
        <f t="shared" si="40"/>
        <v>24.601600000000001</v>
      </c>
    </row>
    <row r="1122" spans="1:12" x14ac:dyDescent="0.25">
      <c r="A1122">
        <v>13</v>
      </c>
      <c r="B1122" t="s">
        <v>35</v>
      </c>
      <c r="C1122" t="s">
        <v>32</v>
      </c>
      <c r="D1122" s="1" t="s">
        <v>1470</v>
      </c>
      <c r="E1122">
        <v>13.72</v>
      </c>
      <c r="F1122">
        <v>15.66</v>
      </c>
      <c r="G1122">
        <v>4.28</v>
      </c>
      <c r="H1122">
        <v>5.69</v>
      </c>
      <c r="I1122">
        <v>9.9700000000000006</v>
      </c>
      <c r="J1122" t="s">
        <v>357</v>
      </c>
      <c r="K1122" t="str">
        <f t="shared" si="39"/>
        <v>jordan13</v>
      </c>
      <c r="L1122">
        <f t="shared" si="40"/>
        <v>32.376100000000001</v>
      </c>
    </row>
    <row r="1123" spans="1:12" x14ac:dyDescent="0.25">
      <c r="A1123">
        <v>13</v>
      </c>
      <c r="B1123" t="s">
        <v>222</v>
      </c>
      <c r="C1123" t="s">
        <v>32</v>
      </c>
      <c r="D1123" s="1" t="s">
        <v>1471</v>
      </c>
      <c r="E1123">
        <v>9.17</v>
      </c>
      <c r="F1123">
        <v>14.13</v>
      </c>
      <c r="G1123">
        <v>0.33</v>
      </c>
      <c r="H1123">
        <v>6.9</v>
      </c>
      <c r="I1123">
        <v>7.23</v>
      </c>
      <c r="J1123" t="s">
        <v>357</v>
      </c>
      <c r="K1123" t="str">
        <f t="shared" si="39"/>
        <v>jordan13</v>
      </c>
      <c r="L1123">
        <f t="shared" si="40"/>
        <v>47.610000000000007</v>
      </c>
    </row>
    <row r="1124" spans="1:12" x14ac:dyDescent="0.25">
      <c r="A1124">
        <v>13</v>
      </c>
      <c r="B1124" t="s">
        <v>34</v>
      </c>
      <c r="C1124" t="s">
        <v>32</v>
      </c>
      <c r="D1124" s="1" t="s">
        <v>1472</v>
      </c>
      <c r="E1124">
        <v>14.82</v>
      </c>
      <c r="F1124">
        <v>17.71</v>
      </c>
      <c r="G1124">
        <v>6.01</v>
      </c>
      <c r="H1124">
        <v>5.85</v>
      </c>
      <c r="I1124">
        <v>11.86</v>
      </c>
      <c r="J1124" t="s">
        <v>358</v>
      </c>
      <c r="K1124" t="str">
        <f t="shared" si="39"/>
        <v>alex13</v>
      </c>
      <c r="L1124">
        <f t="shared" si="40"/>
        <v>34.222499999999997</v>
      </c>
    </row>
    <row r="1125" spans="1:12" x14ac:dyDescent="0.25">
      <c r="A1125">
        <v>13</v>
      </c>
      <c r="B1125" t="s">
        <v>36</v>
      </c>
      <c r="C1125" t="s">
        <v>32</v>
      </c>
      <c r="D1125" s="1" t="s">
        <v>1473</v>
      </c>
      <c r="E1125">
        <v>14.49</v>
      </c>
      <c r="F1125">
        <v>18.82</v>
      </c>
      <c r="G1125">
        <v>4.4400000000000004</v>
      </c>
      <c r="H1125">
        <v>7.19</v>
      </c>
      <c r="I1125">
        <v>11.63</v>
      </c>
      <c r="J1125" t="s">
        <v>358</v>
      </c>
      <c r="K1125" t="str">
        <f t="shared" si="39"/>
        <v>alex13</v>
      </c>
      <c r="L1125">
        <f t="shared" si="40"/>
        <v>51.696100000000008</v>
      </c>
    </row>
    <row r="1126" spans="1:12" x14ac:dyDescent="0.25">
      <c r="A1126">
        <v>13</v>
      </c>
      <c r="B1126" t="s">
        <v>1121</v>
      </c>
      <c r="C1126" t="s">
        <v>32</v>
      </c>
      <c r="D1126" s="1" t="s">
        <v>1474</v>
      </c>
      <c r="E1126">
        <v>11.69</v>
      </c>
      <c r="F1126">
        <v>15.44</v>
      </c>
      <c r="G1126">
        <v>2.42</v>
      </c>
      <c r="H1126">
        <v>6.51</v>
      </c>
      <c r="I1126">
        <v>8.93</v>
      </c>
      <c r="J1126" t="s">
        <v>358</v>
      </c>
      <c r="K1126" t="str">
        <f t="shared" si="39"/>
        <v>alex13</v>
      </c>
      <c r="L1126">
        <f t="shared" si="40"/>
        <v>42.380099999999999</v>
      </c>
    </row>
    <row r="1127" spans="1:12" x14ac:dyDescent="0.25">
      <c r="A1127">
        <v>13</v>
      </c>
      <c r="B1127" t="s">
        <v>234</v>
      </c>
      <c r="C1127" t="s">
        <v>32</v>
      </c>
      <c r="D1127" s="1" t="s">
        <v>1475</v>
      </c>
      <c r="E1127">
        <v>10.83</v>
      </c>
      <c r="F1127">
        <v>13.98</v>
      </c>
      <c r="G1127">
        <v>3.14</v>
      </c>
      <c r="H1127">
        <v>5.42</v>
      </c>
      <c r="I1127">
        <v>8.56</v>
      </c>
      <c r="J1127" t="s">
        <v>359</v>
      </c>
      <c r="K1127" t="str">
        <f t="shared" si="39"/>
        <v>colin13</v>
      </c>
      <c r="L1127">
        <f t="shared" si="40"/>
        <v>29.3764</v>
      </c>
    </row>
    <row r="1128" spans="1:12" x14ac:dyDescent="0.25">
      <c r="A1128">
        <v>13</v>
      </c>
      <c r="B1128" t="s">
        <v>161</v>
      </c>
      <c r="C1128" t="s">
        <v>32</v>
      </c>
      <c r="D1128" s="1" t="s">
        <v>1476</v>
      </c>
      <c r="E1128">
        <v>8.94</v>
      </c>
      <c r="F1128">
        <v>12.38</v>
      </c>
      <c r="G1128">
        <v>1.96</v>
      </c>
      <c r="H1128">
        <v>5.21</v>
      </c>
      <c r="I1128">
        <v>7.17</v>
      </c>
      <c r="J1128" t="s">
        <v>359</v>
      </c>
      <c r="K1128" t="str">
        <f t="shared" si="39"/>
        <v>colin13</v>
      </c>
      <c r="L1128">
        <f t="shared" si="40"/>
        <v>27.144099999999998</v>
      </c>
    </row>
    <row r="1129" spans="1:12" x14ac:dyDescent="0.25">
      <c r="A1129">
        <v>13</v>
      </c>
      <c r="B1129" t="s">
        <v>183</v>
      </c>
      <c r="C1129" t="s">
        <v>32</v>
      </c>
      <c r="D1129" s="1" t="s">
        <v>1477</v>
      </c>
      <c r="E1129">
        <v>9.36</v>
      </c>
      <c r="F1129">
        <v>12.92</v>
      </c>
      <c r="G1129">
        <v>1.4</v>
      </c>
      <c r="H1129">
        <v>5.76</v>
      </c>
      <c r="I1129">
        <v>7.16</v>
      </c>
      <c r="J1129" t="s">
        <v>359</v>
      </c>
      <c r="K1129" t="str">
        <f t="shared" si="39"/>
        <v>colin13</v>
      </c>
      <c r="L1129">
        <f t="shared" si="40"/>
        <v>33.177599999999998</v>
      </c>
    </row>
    <row r="1130" spans="1:12" x14ac:dyDescent="0.25">
      <c r="A1130">
        <v>13</v>
      </c>
      <c r="B1130" t="s">
        <v>49</v>
      </c>
      <c r="C1130" t="s">
        <v>32</v>
      </c>
      <c r="D1130" s="1" t="s">
        <v>1478</v>
      </c>
      <c r="E1130">
        <v>16.649999999999999</v>
      </c>
      <c r="F1130">
        <v>22.36</v>
      </c>
      <c r="G1130">
        <v>5.24</v>
      </c>
      <c r="H1130">
        <v>8.56</v>
      </c>
      <c r="I1130">
        <v>13.8</v>
      </c>
      <c r="J1130" t="s">
        <v>360</v>
      </c>
      <c r="K1130" t="str">
        <f t="shared" si="39"/>
        <v>paul13</v>
      </c>
      <c r="L1130">
        <f t="shared" si="40"/>
        <v>73.273600000000002</v>
      </c>
    </row>
    <row r="1131" spans="1:12" x14ac:dyDescent="0.25">
      <c r="A1131">
        <v>13</v>
      </c>
      <c r="B1131" t="s">
        <v>153</v>
      </c>
      <c r="C1131" t="s">
        <v>32</v>
      </c>
      <c r="D1131" s="1" t="s">
        <v>1479</v>
      </c>
      <c r="E1131">
        <v>13.2</v>
      </c>
      <c r="F1131">
        <v>17.79</v>
      </c>
      <c r="G1131">
        <v>3.51</v>
      </c>
      <c r="H1131">
        <v>7.14</v>
      </c>
      <c r="I1131">
        <v>10.65</v>
      </c>
      <c r="J1131" t="s">
        <v>360</v>
      </c>
      <c r="K1131" t="str">
        <f t="shared" si="39"/>
        <v>paul13</v>
      </c>
      <c r="L1131">
        <f t="shared" si="40"/>
        <v>50.979599999999998</v>
      </c>
    </row>
    <row r="1132" spans="1:12" x14ac:dyDescent="0.25">
      <c r="A1132">
        <v>13</v>
      </c>
      <c r="B1132" t="s">
        <v>246</v>
      </c>
      <c r="C1132" t="s">
        <v>53</v>
      </c>
      <c r="D1132" s="1" t="s">
        <v>1480</v>
      </c>
      <c r="E1132">
        <v>22.94</v>
      </c>
      <c r="F1132">
        <v>30.72</v>
      </c>
      <c r="G1132">
        <v>13.96</v>
      </c>
      <c r="H1132">
        <v>8.3800000000000008</v>
      </c>
      <c r="I1132">
        <v>22.34</v>
      </c>
      <c r="J1132" t="s">
        <v>351</v>
      </c>
      <c r="K1132" t="str">
        <f t="shared" si="39"/>
        <v>andrew13</v>
      </c>
      <c r="L1132">
        <f t="shared" si="40"/>
        <v>70.224400000000017</v>
      </c>
    </row>
    <row r="1133" spans="1:12" x14ac:dyDescent="0.25">
      <c r="A1133">
        <v>13</v>
      </c>
      <c r="B1133" t="s">
        <v>204</v>
      </c>
      <c r="C1133" t="s">
        <v>53</v>
      </c>
      <c r="D1133" s="1" t="s">
        <v>1481</v>
      </c>
      <c r="E1133">
        <v>18.86</v>
      </c>
      <c r="F1133">
        <v>24.5</v>
      </c>
      <c r="G1133">
        <v>11.82</v>
      </c>
      <c r="H1133">
        <v>6.34</v>
      </c>
      <c r="I1133">
        <v>18.16</v>
      </c>
      <c r="J1133" t="s">
        <v>352</v>
      </c>
      <c r="K1133" t="str">
        <f t="shared" si="39"/>
        <v>jake13</v>
      </c>
      <c r="L1133">
        <f t="shared" si="40"/>
        <v>40.195599999999999</v>
      </c>
    </row>
    <row r="1134" spans="1:12" x14ac:dyDescent="0.25">
      <c r="A1134">
        <v>13</v>
      </c>
      <c r="B1134" t="s">
        <v>290</v>
      </c>
      <c r="C1134" t="s">
        <v>53</v>
      </c>
      <c r="D1134" s="1" t="s">
        <v>1482</v>
      </c>
      <c r="E1134">
        <v>21</v>
      </c>
      <c r="F1134">
        <v>26.75</v>
      </c>
      <c r="G1134">
        <v>13.45</v>
      </c>
      <c r="H1134">
        <v>6.65</v>
      </c>
      <c r="I1134">
        <v>20.100000000000001</v>
      </c>
      <c r="J1134" t="s">
        <v>353</v>
      </c>
      <c r="K1134" t="str">
        <f t="shared" si="39"/>
        <v>breanna13</v>
      </c>
      <c r="L1134">
        <f t="shared" si="40"/>
        <v>44.222500000000004</v>
      </c>
    </row>
    <row r="1135" spans="1:12" x14ac:dyDescent="0.25">
      <c r="A1135">
        <v>13</v>
      </c>
      <c r="B1135" t="s">
        <v>364</v>
      </c>
      <c r="C1135" t="s">
        <v>53</v>
      </c>
      <c r="D1135" s="1" t="s">
        <v>1483</v>
      </c>
      <c r="E1135">
        <v>18.02</v>
      </c>
      <c r="F1135">
        <v>24.13</v>
      </c>
      <c r="G1135">
        <v>10.67</v>
      </c>
      <c r="H1135">
        <v>6.73</v>
      </c>
      <c r="I1135">
        <v>17.399999999999999</v>
      </c>
      <c r="J1135" t="s">
        <v>354</v>
      </c>
      <c r="K1135" t="str">
        <f t="shared" si="39"/>
        <v>joseph13</v>
      </c>
      <c r="L1135">
        <f t="shared" si="40"/>
        <v>45.292900000000003</v>
      </c>
    </row>
    <row r="1136" spans="1:12" x14ac:dyDescent="0.25">
      <c r="A1136">
        <v>13</v>
      </c>
      <c r="B1136" t="s">
        <v>386</v>
      </c>
      <c r="C1136" t="s">
        <v>53</v>
      </c>
      <c r="D1136" s="1" t="s">
        <v>1484</v>
      </c>
      <c r="E1136">
        <v>19.68</v>
      </c>
      <c r="F1136">
        <v>25.45</v>
      </c>
      <c r="G1136">
        <v>11.91</v>
      </c>
      <c r="H1136">
        <v>6.77</v>
      </c>
      <c r="I1136">
        <v>18.68</v>
      </c>
      <c r="J1136" t="s">
        <v>355</v>
      </c>
      <c r="K1136" t="str">
        <f t="shared" si="39"/>
        <v>alyssa13</v>
      </c>
      <c r="L1136">
        <f t="shared" si="40"/>
        <v>45.832899999999995</v>
      </c>
    </row>
    <row r="1137" spans="1:12" x14ac:dyDescent="0.25">
      <c r="A1137">
        <v>13</v>
      </c>
      <c r="B1137" t="s">
        <v>55</v>
      </c>
      <c r="C1137" t="s">
        <v>53</v>
      </c>
      <c r="D1137" s="1" t="s">
        <v>1485</v>
      </c>
      <c r="E1137">
        <v>22.32</v>
      </c>
      <c r="F1137">
        <v>30.74</v>
      </c>
      <c r="G1137">
        <v>12.68</v>
      </c>
      <c r="H1137">
        <v>9.0299999999999994</v>
      </c>
      <c r="I1137">
        <v>21.71</v>
      </c>
      <c r="J1137" t="s">
        <v>356</v>
      </c>
      <c r="K1137" t="str">
        <f t="shared" si="39"/>
        <v>chris13</v>
      </c>
      <c r="L1137">
        <f t="shared" si="40"/>
        <v>81.540899999999993</v>
      </c>
    </row>
    <row r="1138" spans="1:12" x14ac:dyDescent="0.25">
      <c r="A1138">
        <v>13</v>
      </c>
      <c r="B1138" t="s">
        <v>56</v>
      </c>
      <c r="C1138" t="s">
        <v>53</v>
      </c>
      <c r="D1138" s="1" t="s">
        <v>1486</v>
      </c>
      <c r="E1138">
        <v>22.53</v>
      </c>
      <c r="F1138">
        <v>29.2</v>
      </c>
      <c r="G1138">
        <v>14.4</v>
      </c>
      <c r="H1138">
        <v>7.4</v>
      </c>
      <c r="I1138">
        <v>21.8</v>
      </c>
      <c r="J1138" t="s">
        <v>357</v>
      </c>
      <c r="K1138" t="str">
        <f t="shared" si="39"/>
        <v>jordan13</v>
      </c>
      <c r="L1138">
        <f t="shared" si="40"/>
        <v>54.760000000000005</v>
      </c>
    </row>
    <row r="1139" spans="1:12" x14ac:dyDescent="0.25">
      <c r="A1139">
        <v>13</v>
      </c>
      <c r="B1139" t="s">
        <v>54</v>
      </c>
      <c r="C1139" t="s">
        <v>53</v>
      </c>
      <c r="D1139" s="1" t="s">
        <v>1487</v>
      </c>
      <c r="E1139">
        <v>22.54</v>
      </c>
      <c r="F1139">
        <v>31.24</v>
      </c>
      <c r="G1139">
        <v>12.7</v>
      </c>
      <c r="H1139">
        <v>9.27</v>
      </c>
      <c r="I1139">
        <v>21.97</v>
      </c>
      <c r="J1139" t="s">
        <v>358</v>
      </c>
      <c r="K1139" t="str">
        <f t="shared" si="39"/>
        <v>alex13</v>
      </c>
      <c r="L1139">
        <f t="shared" si="40"/>
        <v>85.932899999999989</v>
      </c>
    </row>
    <row r="1140" spans="1:12" x14ac:dyDescent="0.25">
      <c r="A1140">
        <v>13</v>
      </c>
      <c r="B1140" t="s">
        <v>52</v>
      </c>
      <c r="C1140" t="s">
        <v>53</v>
      </c>
      <c r="D1140" s="1" t="s">
        <v>1488</v>
      </c>
      <c r="E1140">
        <v>19.23</v>
      </c>
      <c r="F1140">
        <v>26.72</v>
      </c>
      <c r="G1140">
        <v>9.42</v>
      </c>
      <c r="H1140">
        <v>8.65</v>
      </c>
      <c r="I1140">
        <v>18.07</v>
      </c>
      <c r="J1140" t="s">
        <v>359</v>
      </c>
      <c r="K1140" t="str">
        <f t="shared" si="39"/>
        <v>colin13</v>
      </c>
      <c r="L1140">
        <f t="shared" si="40"/>
        <v>74.822500000000005</v>
      </c>
    </row>
    <row r="1141" spans="1:12" x14ac:dyDescent="0.25">
      <c r="A1141">
        <v>13</v>
      </c>
      <c r="B1141" t="s">
        <v>194</v>
      </c>
      <c r="C1141" t="s">
        <v>53</v>
      </c>
      <c r="D1141" s="1" t="s">
        <v>1489</v>
      </c>
      <c r="E1141">
        <v>22.81</v>
      </c>
      <c r="F1141">
        <v>31.29</v>
      </c>
      <c r="G1141">
        <v>13.53</v>
      </c>
      <c r="H1141">
        <v>8.8800000000000008</v>
      </c>
      <c r="I1141">
        <v>22.41</v>
      </c>
      <c r="J1141" t="s">
        <v>360</v>
      </c>
      <c r="K1141" t="str">
        <f t="shared" si="39"/>
        <v>paul13</v>
      </c>
      <c r="L1141">
        <f t="shared" si="40"/>
        <v>78.854400000000012</v>
      </c>
    </row>
    <row r="1142" spans="1:12" x14ac:dyDescent="0.25">
      <c r="A1142">
        <v>13</v>
      </c>
      <c r="B1142" t="s">
        <v>497</v>
      </c>
      <c r="C1142" t="s">
        <v>57</v>
      </c>
      <c r="D1142" s="1" t="s">
        <v>1490</v>
      </c>
      <c r="E1142">
        <v>8.89</v>
      </c>
      <c r="F1142">
        <v>12.8</v>
      </c>
      <c r="G1142">
        <v>1.26</v>
      </c>
      <c r="H1142">
        <v>5.77</v>
      </c>
      <c r="I1142">
        <v>7.03</v>
      </c>
      <c r="J1142" t="s">
        <v>351</v>
      </c>
      <c r="K1142" t="str">
        <f t="shared" si="39"/>
        <v>andrew13</v>
      </c>
      <c r="L1142">
        <f t="shared" si="40"/>
        <v>33.292899999999996</v>
      </c>
    </row>
    <row r="1143" spans="1:12" x14ac:dyDescent="0.25">
      <c r="A1143">
        <v>13</v>
      </c>
      <c r="B1143" t="s">
        <v>60</v>
      </c>
      <c r="C1143" t="s">
        <v>57</v>
      </c>
      <c r="D1143" s="1" t="s">
        <v>1491</v>
      </c>
      <c r="E1143">
        <v>10.119999999999999</v>
      </c>
      <c r="F1143">
        <v>13.58</v>
      </c>
      <c r="G1143">
        <v>1.96</v>
      </c>
      <c r="H1143">
        <v>5.81</v>
      </c>
      <c r="I1143">
        <v>7.77</v>
      </c>
      <c r="J1143" t="s">
        <v>352</v>
      </c>
      <c r="K1143" t="str">
        <f t="shared" si="39"/>
        <v>jake13</v>
      </c>
      <c r="L1143">
        <f t="shared" si="40"/>
        <v>33.756099999999996</v>
      </c>
    </row>
    <row r="1144" spans="1:12" x14ac:dyDescent="0.25">
      <c r="A1144">
        <v>13</v>
      </c>
      <c r="B1144" t="s">
        <v>368</v>
      </c>
      <c r="C1144" t="s">
        <v>57</v>
      </c>
      <c r="D1144" s="1" t="s">
        <v>1492</v>
      </c>
      <c r="E1144">
        <v>5.7</v>
      </c>
      <c r="F1144">
        <v>7.87</v>
      </c>
      <c r="G1144">
        <v>0.59</v>
      </c>
      <c r="H1144">
        <v>3.64</v>
      </c>
      <c r="I1144">
        <v>4.2300000000000004</v>
      </c>
      <c r="J1144" t="s">
        <v>353</v>
      </c>
      <c r="K1144" t="str">
        <f t="shared" si="39"/>
        <v>breanna13</v>
      </c>
      <c r="L1144">
        <f t="shared" si="40"/>
        <v>13.249600000000001</v>
      </c>
    </row>
    <row r="1145" spans="1:12" x14ac:dyDescent="0.25">
      <c r="A1145">
        <v>13</v>
      </c>
      <c r="B1145" t="s">
        <v>61</v>
      </c>
      <c r="C1145" t="s">
        <v>57</v>
      </c>
      <c r="D1145" s="1" t="s">
        <v>1493</v>
      </c>
      <c r="E1145">
        <v>12.43</v>
      </c>
      <c r="F1145">
        <v>15.63</v>
      </c>
      <c r="G1145">
        <v>3.89</v>
      </c>
      <c r="H1145">
        <v>5.87</v>
      </c>
      <c r="I1145">
        <v>9.76</v>
      </c>
      <c r="J1145" t="s">
        <v>354</v>
      </c>
      <c r="K1145" t="str">
        <f t="shared" si="39"/>
        <v>joseph13</v>
      </c>
      <c r="L1145">
        <f t="shared" si="40"/>
        <v>34.456900000000005</v>
      </c>
    </row>
    <row r="1146" spans="1:12" x14ac:dyDescent="0.25">
      <c r="A1146">
        <v>13</v>
      </c>
      <c r="B1146" t="s">
        <v>182</v>
      </c>
      <c r="C1146" t="s">
        <v>57</v>
      </c>
      <c r="D1146" s="1" t="s">
        <v>1494</v>
      </c>
      <c r="E1146">
        <v>4.08</v>
      </c>
      <c r="F1146">
        <v>6.1</v>
      </c>
      <c r="G1146">
        <v>0.1</v>
      </c>
      <c r="H1146">
        <v>3</v>
      </c>
      <c r="I1146">
        <v>3.1</v>
      </c>
      <c r="J1146" t="s">
        <v>355</v>
      </c>
      <c r="K1146" t="str">
        <f t="shared" si="39"/>
        <v>alyssa13</v>
      </c>
      <c r="L1146">
        <f t="shared" si="40"/>
        <v>9</v>
      </c>
    </row>
    <row r="1147" spans="1:12" x14ac:dyDescent="0.25">
      <c r="A1147">
        <v>13</v>
      </c>
      <c r="B1147" t="s">
        <v>58</v>
      </c>
      <c r="C1147" t="s">
        <v>57</v>
      </c>
      <c r="D1147" s="1" t="s">
        <v>1495</v>
      </c>
      <c r="E1147">
        <v>9.35</v>
      </c>
      <c r="F1147">
        <v>10.82</v>
      </c>
      <c r="G1147">
        <v>3.12</v>
      </c>
      <c r="H1147">
        <v>3.85</v>
      </c>
      <c r="I1147">
        <v>6.97</v>
      </c>
      <c r="J1147" t="s">
        <v>356</v>
      </c>
      <c r="K1147" t="str">
        <f t="shared" si="39"/>
        <v>chris13</v>
      </c>
      <c r="L1147">
        <f t="shared" si="40"/>
        <v>14.822500000000002</v>
      </c>
    </row>
    <row r="1148" spans="1:12" x14ac:dyDescent="0.25">
      <c r="A1148">
        <v>13</v>
      </c>
      <c r="B1148" t="s">
        <v>62</v>
      </c>
      <c r="C1148" t="s">
        <v>57</v>
      </c>
      <c r="D1148" s="1" t="s">
        <v>1496</v>
      </c>
      <c r="E1148">
        <v>11.08</v>
      </c>
      <c r="F1148">
        <v>14.65</v>
      </c>
      <c r="G1148">
        <v>3.13</v>
      </c>
      <c r="H1148">
        <v>5.76</v>
      </c>
      <c r="I1148">
        <v>8.89</v>
      </c>
      <c r="J1148" t="s">
        <v>357</v>
      </c>
      <c r="K1148" t="str">
        <f t="shared" si="39"/>
        <v>jordan13</v>
      </c>
      <c r="L1148">
        <f t="shared" si="40"/>
        <v>33.177599999999998</v>
      </c>
    </row>
    <row r="1149" spans="1:12" x14ac:dyDescent="0.25">
      <c r="A1149">
        <v>13</v>
      </c>
      <c r="B1149" t="s">
        <v>150</v>
      </c>
      <c r="C1149" t="s">
        <v>57</v>
      </c>
      <c r="D1149" s="1" t="s">
        <v>1497</v>
      </c>
      <c r="E1149">
        <v>9.52</v>
      </c>
      <c r="F1149">
        <v>13.1</v>
      </c>
      <c r="G1149">
        <v>1.84</v>
      </c>
      <c r="H1149">
        <v>5.63</v>
      </c>
      <c r="I1149">
        <v>7.47</v>
      </c>
      <c r="J1149" t="s">
        <v>358</v>
      </c>
      <c r="K1149" t="str">
        <f t="shared" si="39"/>
        <v>alex13</v>
      </c>
      <c r="L1149">
        <f t="shared" si="40"/>
        <v>31.696899999999999</v>
      </c>
    </row>
    <row r="1150" spans="1:12" x14ac:dyDescent="0.25">
      <c r="A1150">
        <v>13</v>
      </c>
      <c r="B1150" t="s">
        <v>73</v>
      </c>
      <c r="C1150" t="s">
        <v>57</v>
      </c>
      <c r="D1150" s="1" t="s">
        <v>1498</v>
      </c>
      <c r="E1150">
        <v>11.52</v>
      </c>
      <c r="F1150">
        <v>13.15</v>
      </c>
      <c r="G1150">
        <v>4.57</v>
      </c>
      <c r="H1150">
        <v>4.29</v>
      </c>
      <c r="I1150">
        <v>8.86</v>
      </c>
      <c r="J1150" t="s">
        <v>359</v>
      </c>
      <c r="K1150" t="str">
        <f t="shared" si="39"/>
        <v>colin13</v>
      </c>
      <c r="L1150">
        <f t="shared" si="40"/>
        <v>18.4041</v>
      </c>
    </row>
    <row r="1151" spans="1:12" x14ac:dyDescent="0.25">
      <c r="A1151">
        <v>13</v>
      </c>
      <c r="B1151" t="s">
        <v>59</v>
      </c>
      <c r="C1151" t="s">
        <v>57</v>
      </c>
      <c r="D1151" s="1" t="s">
        <v>1499</v>
      </c>
      <c r="E1151">
        <v>8.35</v>
      </c>
      <c r="F1151">
        <v>11.11</v>
      </c>
      <c r="G1151">
        <v>0.67</v>
      </c>
      <c r="H1151">
        <v>5.22</v>
      </c>
      <c r="I1151">
        <v>5.89</v>
      </c>
      <c r="J1151" t="s">
        <v>360</v>
      </c>
      <c r="K1151" t="str">
        <f t="shared" si="39"/>
        <v>paul13</v>
      </c>
      <c r="L1151">
        <f t="shared" si="40"/>
        <v>27.248399999999997</v>
      </c>
    </row>
    <row r="1152" spans="1:12" x14ac:dyDescent="0.25">
      <c r="A1152">
        <v>13</v>
      </c>
      <c r="B1152" t="s">
        <v>787</v>
      </c>
      <c r="C1152" t="s">
        <v>63</v>
      </c>
      <c r="D1152" s="1" t="s">
        <v>1500</v>
      </c>
      <c r="E1152">
        <v>8.9998000000000005</v>
      </c>
      <c r="F1152">
        <v>15.17</v>
      </c>
      <c r="G1152">
        <v>2.81</v>
      </c>
      <c r="H1152">
        <v>6.18</v>
      </c>
      <c r="I1152">
        <v>8.9998000000000005</v>
      </c>
      <c r="J1152" t="s">
        <v>351</v>
      </c>
      <c r="K1152" t="str">
        <f t="shared" si="39"/>
        <v>andrew13</v>
      </c>
      <c r="L1152">
        <f t="shared" si="40"/>
        <v>38.192399999999999</v>
      </c>
    </row>
    <row r="1153" spans="1:12" x14ac:dyDescent="0.25">
      <c r="A1153">
        <v>13</v>
      </c>
      <c r="B1153" t="s">
        <v>318</v>
      </c>
      <c r="C1153" t="s">
        <v>63</v>
      </c>
      <c r="D1153" s="1" t="s">
        <v>1501</v>
      </c>
      <c r="E1153">
        <v>4.0766</v>
      </c>
      <c r="F1153">
        <v>8.56</v>
      </c>
      <c r="G1153">
        <v>-0.4</v>
      </c>
      <c r="H1153">
        <v>4.4800000000000004</v>
      </c>
      <c r="I1153">
        <v>4.0766</v>
      </c>
      <c r="J1153" t="s">
        <v>352</v>
      </c>
      <c r="K1153" t="str">
        <f t="shared" si="39"/>
        <v>jake13</v>
      </c>
      <c r="L1153">
        <f t="shared" si="40"/>
        <v>20.070400000000003</v>
      </c>
    </row>
    <row r="1154" spans="1:12" x14ac:dyDescent="0.25">
      <c r="A1154">
        <v>13</v>
      </c>
      <c r="B1154" t="s">
        <v>335</v>
      </c>
      <c r="C1154" t="s">
        <v>63</v>
      </c>
      <c r="D1154" s="1" t="s">
        <v>1502</v>
      </c>
      <c r="E1154">
        <v>6.4546000000000001</v>
      </c>
      <c r="F1154">
        <v>11.55</v>
      </c>
      <c r="G1154">
        <v>1.39</v>
      </c>
      <c r="H1154">
        <v>5.08</v>
      </c>
      <c r="I1154">
        <v>6.4546000000000001</v>
      </c>
      <c r="J1154" t="s">
        <v>353</v>
      </c>
      <c r="K1154" t="str">
        <f t="shared" si="39"/>
        <v>breanna13</v>
      </c>
      <c r="L1154">
        <f t="shared" si="40"/>
        <v>25.8064</v>
      </c>
    </row>
    <row r="1155" spans="1:12" x14ac:dyDescent="0.25">
      <c r="A1155">
        <v>13</v>
      </c>
      <c r="B1155" t="s">
        <v>372</v>
      </c>
      <c r="C1155" t="s">
        <v>63</v>
      </c>
      <c r="D1155" s="1" t="s">
        <v>1149</v>
      </c>
      <c r="E1155">
        <v>8.5967000000000002</v>
      </c>
      <c r="F1155">
        <v>14.29</v>
      </c>
      <c r="G1155">
        <v>2.91</v>
      </c>
      <c r="H1155">
        <v>5.69</v>
      </c>
      <c r="I1155">
        <v>8.5967000000000002</v>
      </c>
      <c r="J1155" t="s">
        <v>354</v>
      </c>
      <c r="K1155" t="str">
        <f t="shared" ref="K1155:K1218" si="41">J1155&amp;A1155</f>
        <v>joseph13</v>
      </c>
      <c r="L1155">
        <f t="shared" ref="L1155:L1218" si="42">H1155^2</f>
        <v>32.376100000000001</v>
      </c>
    </row>
    <row r="1156" spans="1:12" x14ac:dyDescent="0.25">
      <c r="A1156">
        <v>13</v>
      </c>
      <c r="B1156" t="s">
        <v>374</v>
      </c>
      <c r="C1156" t="s">
        <v>63</v>
      </c>
      <c r="D1156" s="1" t="s">
        <v>1503</v>
      </c>
      <c r="E1156">
        <v>7.8201000000000001</v>
      </c>
      <c r="F1156">
        <v>13.09</v>
      </c>
      <c r="G1156">
        <v>2.57</v>
      </c>
      <c r="H1156">
        <v>5.26</v>
      </c>
      <c r="I1156">
        <v>7.8201000000000001</v>
      </c>
      <c r="J1156" t="s">
        <v>355</v>
      </c>
      <c r="K1156" t="str">
        <f t="shared" si="41"/>
        <v>alyssa13</v>
      </c>
      <c r="L1156">
        <f t="shared" si="42"/>
        <v>27.667599999999997</v>
      </c>
    </row>
    <row r="1157" spans="1:12" x14ac:dyDescent="0.25">
      <c r="A1157">
        <v>13</v>
      </c>
      <c r="B1157" t="s">
        <v>154</v>
      </c>
      <c r="C1157" t="s">
        <v>63</v>
      </c>
      <c r="D1157" s="1" t="s">
        <v>1238</v>
      </c>
      <c r="E1157">
        <v>11.313700000000001</v>
      </c>
      <c r="F1157">
        <v>16.82</v>
      </c>
      <c r="G1157">
        <v>5.78</v>
      </c>
      <c r="H1157">
        <v>5.52</v>
      </c>
      <c r="I1157">
        <v>11.313700000000001</v>
      </c>
      <c r="J1157" t="s">
        <v>356</v>
      </c>
      <c r="K1157" t="str">
        <f t="shared" si="41"/>
        <v>chris13</v>
      </c>
      <c r="L1157">
        <f t="shared" si="42"/>
        <v>30.470399999999994</v>
      </c>
    </row>
    <row r="1158" spans="1:12" x14ac:dyDescent="0.25">
      <c r="A1158">
        <v>13</v>
      </c>
      <c r="B1158" t="s">
        <v>166</v>
      </c>
      <c r="C1158" t="s">
        <v>63</v>
      </c>
      <c r="D1158" s="1" t="s">
        <v>1504</v>
      </c>
      <c r="E1158">
        <v>10.441800000000001</v>
      </c>
      <c r="F1158">
        <v>17.260000000000002</v>
      </c>
      <c r="G1158">
        <v>3.62</v>
      </c>
      <c r="H1158">
        <v>6.82</v>
      </c>
      <c r="I1158">
        <v>10.441800000000001</v>
      </c>
      <c r="J1158" t="s">
        <v>357</v>
      </c>
      <c r="K1158" t="str">
        <f t="shared" si="41"/>
        <v>jordan13</v>
      </c>
      <c r="L1158">
        <f t="shared" si="42"/>
        <v>46.512400000000007</v>
      </c>
    </row>
    <row r="1159" spans="1:12" x14ac:dyDescent="0.25">
      <c r="A1159">
        <v>13</v>
      </c>
      <c r="B1159" t="s">
        <v>499</v>
      </c>
      <c r="C1159" t="s">
        <v>63</v>
      </c>
      <c r="D1159" s="1" t="s">
        <v>1505</v>
      </c>
      <c r="E1159">
        <v>9.2197999999999993</v>
      </c>
      <c r="F1159">
        <v>15.36</v>
      </c>
      <c r="G1159">
        <v>3.06</v>
      </c>
      <c r="H1159">
        <v>6.15</v>
      </c>
      <c r="I1159">
        <v>9.2197999999999993</v>
      </c>
      <c r="J1159" t="s">
        <v>358</v>
      </c>
      <c r="K1159" t="str">
        <f t="shared" si="41"/>
        <v>alex13</v>
      </c>
      <c r="L1159">
        <f t="shared" si="42"/>
        <v>37.822500000000005</v>
      </c>
    </row>
    <row r="1160" spans="1:12" x14ac:dyDescent="0.25">
      <c r="A1160">
        <v>13</v>
      </c>
      <c r="B1160" t="s">
        <v>257</v>
      </c>
      <c r="C1160" t="s">
        <v>63</v>
      </c>
      <c r="D1160" s="1" t="s">
        <v>1506</v>
      </c>
      <c r="E1160">
        <v>11.1915</v>
      </c>
      <c r="F1160">
        <v>18.84</v>
      </c>
      <c r="G1160">
        <v>3.58</v>
      </c>
      <c r="H1160">
        <v>7.63</v>
      </c>
      <c r="I1160">
        <v>11.1915</v>
      </c>
      <c r="J1160" t="s">
        <v>359</v>
      </c>
      <c r="K1160" t="str">
        <f t="shared" si="41"/>
        <v>colin13</v>
      </c>
      <c r="L1160">
        <f t="shared" si="42"/>
        <v>58.216899999999995</v>
      </c>
    </row>
    <row r="1161" spans="1:12" x14ac:dyDescent="0.25">
      <c r="A1161">
        <v>13</v>
      </c>
      <c r="B1161" t="s">
        <v>255</v>
      </c>
      <c r="C1161" t="s">
        <v>63</v>
      </c>
      <c r="D1161" s="1" t="s">
        <v>1507</v>
      </c>
      <c r="E1161">
        <v>7.6195000000000004</v>
      </c>
      <c r="F1161">
        <v>12.36</v>
      </c>
      <c r="G1161">
        <v>2.88</v>
      </c>
      <c r="H1161">
        <v>4.74</v>
      </c>
      <c r="I1161">
        <v>7.6195000000000004</v>
      </c>
      <c r="J1161" t="s">
        <v>360</v>
      </c>
      <c r="K1161" t="str">
        <f t="shared" si="41"/>
        <v>paul13</v>
      </c>
      <c r="L1161">
        <f t="shared" si="42"/>
        <v>22.467600000000001</v>
      </c>
    </row>
    <row r="1162" spans="1:12" x14ac:dyDescent="0.25">
      <c r="A1162">
        <v>13</v>
      </c>
      <c r="B1162" t="s">
        <v>159</v>
      </c>
      <c r="C1162" t="s">
        <v>64</v>
      </c>
      <c r="D1162" s="1" t="s">
        <v>1508</v>
      </c>
      <c r="E1162">
        <v>7.19</v>
      </c>
      <c r="F1162">
        <v>11.45</v>
      </c>
      <c r="G1162">
        <v>2.99</v>
      </c>
      <c r="H1162">
        <v>4.2300000000000004</v>
      </c>
      <c r="I1162">
        <v>7.22</v>
      </c>
      <c r="J1162" t="s">
        <v>351</v>
      </c>
      <c r="K1162" t="str">
        <f t="shared" si="41"/>
        <v>andrew13</v>
      </c>
      <c r="L1162">
        <f t="shared" si="42"/>
        <v>17.892900000000004</v>
      </c>
    </row>
    <row r="1163" spans="1:12" x14ac:dyDescent="0.25">
      <c r="A1163">
        <v>13</v>
      </c>
      <c r="B1163" t="s">
        <v>155</v>
      </c>
      <c r="C1163" t="s">
        <v>64</v>
      </c>
      <c r="D1163" s="1" t="s">
        <v>1509</v>
      </c>
      <c r="E1163">
        <v>9.52</v>
      </c>
      <c r="F1163">
        <v>13.73</v>
      </c>
      <c r="G1163">
        <v>5.31</v>
      </c>
      <c r="H1163">
        <v>4.21</v>
      </c>
      <c r="I1163">
        <v>9.52</v>
      </c>
      <c r="J1163" t="s">
        <v>352</v>
      </c>
      <c r="K1163" t="str">
        <f t="shared" si="41"/>
        <v>jake13</v>
      </c>
      <c r="L1163">
        <f t="shared" si="42"/>
        <v>17.7241</v>
      </c>
    </row>
    <row r="1164" spans="1:12" x14ac:dyDescent="0.25">
      <c r="A1164">
        <v>13</v>
      </c>
      <c r="B1164" t="s">
        <v>149</v>
      </c>
      <c r="C1164" t="s">
        <v>64</v>
      </c>
      <c r="D1164" s="1" t="s">
        <v>1510</v>
      </c>
      <c r="E1164">
        <v>8.0299999999999994</v>
      </c>
      <c r="F1164">
        <v>11.98</v>
      </c>
      <c r="G1164">
        <v>4.0199999999999996</v>
      </c>
      <c r="H1164">
        <v>3.98</v>
      </c>
      <c r="I1164">
        <v>8</v>
      </c>
      <c r="J1164" t="s">
        <v>353</v>
      </c>
      <c r="K1164" t="str">
        <f t="shared" si="41"/>
        <v>breanna13</v>
      </c>
      <c r="L1164">
        <f t="shared" si="42"/>
        <v>15.840400000000001</v>
      </c>
    </row>
    <row r="1165" spans="1:12" x14ac:dyDescent="0.25">
      <c r="A1165">
        <v>13</v>
      </c>
      <c r="B1165" t="s">
        <v>376</v>
      </c>
      <c r="C1165" t="s">
        <v>64</v>
      </c>
      <c r="D1165" s="1" t="s">
        <v>1511</v>
      </c>
      <c r="E1165">
        <v>7.53</v>
      </c>
      <c r="F1165">
        <v>11.32</v>
      </c>
      <c r="G1165">
        <v>3.78</v>
      </c>
      <c r="H1165">
        <v>3.77</v>
      </c>
      <c r="I1165">
        <v>7.55</v>
      </c>
      <c r="J1165" t="s">
        <v>354</v>
      </c>
      <c r="K1165" t="str">
        <f t="shared" si="41"/>
        <v>joseph13</v>
      </c>
      <c r="L1165">
        <f t="shared" si="42"/>
        <v>14.212899999999999</v>
      </c>
    </row>
    <row r="1166" spans="1:12" x14ac:dyDescent="0.25">
      <c r="A1166">
        <v>13</v>
      </c>
      <c r="B1166" t="s">
        <v>65</v>
      </c>
      <c r="C1166" t="s">
        <v>64</v>
      </c>
      <c r="D1166" s="1" t="s">
        <v>1512</v>
      </c>
      <c r="E1166">
        <v>9.1199999999999992</v>
      </c>
      <c r="F1166">
        <v>13.07</v>
      </c>
      <c r="G1166">
        <v>5.1100000000000003</v>
      </c>
      <c r="H1166">
        <v>3.98</v>
      </c>
      <c r="I1166">
        <v>9.09</v>
      </c>
      <c r="J1166" t="s">
        <v>355</v>
      </c>
      <c r="K1166" t="str">
        <f t="shared" si="41"/>
        <v>alyssa13</v>
      </c>
      <c r="L1166">
        <f t="shared" si="42"/>
        <v>15.840400000000001</v>
      </c>
    </row>
    <row r="1167" spans="1:12" x14ac:dyDescent="0.25">
      <c r="A1167">
        <v>13</v>
      </c>
      <c r="B1167" t="s">
        <v>262</v>
      </c>
      <c r="C1167" t="s">
        <v>64</v>
      </c>
      <c r="D1167" s="1" t="s">
        <v>1513</v>
      </c>
      <c r="E1167">
        <v>8.19</v>
      </c>
      <c r="F1167">
        <v>12.16</v>
      </c>
      <c r="G1167">
        <v>4.16</v>
      </c>
      <c r="H1167">
        <v>4</v>
      </c>
      <c r="I1167">
        <v>8.16</v>
      </c>
      <c r="J1167" t="s">
        <v>356</v>
      </c>
      <c r="K1167" t="str">
        <f t="shared" si="41"/>
        <v>chris13</v>
      </c>
      <c r="L1167">
        <f t="shared" si="42"/>
        <v>16</v>
      </c>
    </row>
    <row r="1168" spans="1:12" x14ac:dyDescent="0.25">
      <c r="A1168">
        <v>13</v>
      </c>
      <c r="B1168" t="s">
        <v>66</v>
      </c>
      <c r="C1168" t="s">
        <v>64</v>
      </c>
      <c r="D1168" s="1" t="s">
        <v>1514</v>
      </c>
      <c r="E1168">
        <v>9.2200000000000006</v>
      </c>
      <c r="F1168">
        <v>14.22</v>
      </c>
      <c r="G1168">
        <v>4.2</v>
      </c>
      <c r="H1168">
        <v>5.01</v>
      </c>
      <c r="I1168">
        <v>9.2100000000000009</v>
      </c>
      <c r="J1168" t="s">
        <v>357</v>
      </c>
      <c r="K1168" t="str">
        <f t="shared" si="41"/>
        <v>jordan13</v>
      </c>
      <c r="L1168">
        <f t="shared" si="42"/>
        <v>25.100099999999998</v>
      </c>
    </row>
    <row r="1169" spans="1:12" x14ac:dyDescent="0.25">
      <c r="A1169">
        <v>13</v>
      </c>
      <c r="B1169" t="s">
        <v>378</v>
      </c>
      <c r="C1169" t="s">
        <v>64</v>
      </c>
      <c r="D1169" s="1" t="s">
        <v>1515</v>
      </c>
      <c r="E1169">
        <v>7.47</v>
      </c>
      <c r="F1169">
        <v>11.49</v>
      </c>
      <c r="G1169">
        <v>3.41</v>
      </c>
      <c r="H1169">
        <v>4.04</v>
      </c>
      <c r="I1169">
        <v>7.45</v>
      </c>
      <c r="J1169" t="s">
        <v>358</v>
      </c>
      <c r="K1169" t="str">
        <f t="shared" si="41"/>
        <v>alex13</v>
      </c>
      <c r="L1169">
        <f t="shared" si="42"/>
        <v>16.3216</v>
      </c>
    </row>
    <row r="1170" spans="1:12" x14ac:dyDescent="0.25">
      <c r="A1170">
        <v>13</v>
      </c>
      <c r="B1170" t="s">
        <v>261</v>
      </c>
      <c r="C1170" t="s">
        <v>64</v>
      </c>
      <c r="D1170" s="1" t="s">
        <v>1516</v>
      </c>
      <c r="E1170">
        <v>7.73</v>
      </c>
      <c r="F1170">
        <v>12.76</v>
      </c>
      <c r="G1170">
        <v>2.74</v>
      </c>
      <c r="H1170">
        <v>5.01</v>
      </c>
      <c r="I1170">
        <v>7.75</v>
      </c>
      <c r="J1170" t="s">
        <v>359</v>
      </c>
      <c r="K1170" t="str">
        <f t="shared" si="41"/>
        <v>colin13</v>
      </c>
      <c r="L1170">
        <f t="shared" si="42"/>
        <v>25.100099999999998</v>
      </c>
    </row>
    <row r="1171" spans="1:12" x14ac:dyDescent="0.25">
      <c r="A1171">
        <v>13</v>
      </c>
      <c r="B1171" t="s">
        <v>167</v>
      </c>
      <c r="C1171" t="s">
        <v>64</v>
      </c>
      <c r="D1171" s="1" t="s">
        <v>1517</v>
      </c>
      <c r="E1171">
        <v>8.3800000000000008</v>
      </c>
      <c r="F1171">
        <v>12.19</v>
      </c>
      <c r="G1171">
        <v>4.63</v>
      </c>
      <c r="H1171">
        <v>3.78</v>
      </c>
      <c r="I1171">
        <v>8.41</v>
      </c>
      <c r="J1171" t="s">
        <v>360</v>
      </c>
      <c r="K1171" t="str">
        <f t="shared" si="41"/>
        <v>paul13</v>
      </c>
      <c r="L1171">
        <f t="shared" si="42"/>
        <v>14.288399999999999</v>
      </c>
    </row>
    <row r="1172" spans="1:12" x14ac:dyDescent="0.25">
      <c r="A1172">
        <v>14</v>
      </c>
      <c r="B1172" t="s">
        <v>30</v>
      </c>
      <c r="C1172" t="s">
        <v>10</v>
      </c>
      <c r="D1172" s="1" t="s">
        <v>1518</v>
      </c>
      <c r="E1172">
        <v>13.36</v>
      </c>
      <c r="F1172">
        <v>17.03</v>
      </c>
      <c r="G1172">
        <v>6.71</v>
      </c>
      <c r="H1172">
        <v>5.16</v>
      </c>
      <c r="I1172">
        <v>11.87</v>
      </c>
      <c r="J1172" t="s">
        <v>351</v>
      </c>
      <c r="K1172" t="str">
        <f t="shared" si="41"/>
        <v>andrew14</v>
      </c>
      <c r="L1172">
        <f t="shared" si="42"/>
        <v>26.625600000000002</v>
      </c>
    </row>
    <row r="1173" spans="1:12" x14ac:dyDescent="0.25">
      <c r="A1173">
        <v>14</v>
      </c>
      <c r="B1173" t="s">
        <v>68</v>
      </c>
      <c r="C1173" t="s">
        <v>10</v>
      </c>
      <c r="D1173" s="1" t="s">
        <v>1519</v>
      </c>
      <c r="E1173">
        <v>12.14</v>
      </c>
      <c r="F1173">
        <v>18.22</v>
      </c>
      <c r="G1173">
        <v>3.7</v>
      </c>
      <c r="H1173">
        <v>7.26</v>
      </c>
      <c r="I1173">
        <v>10.96</v>
      </c>
      <c r="J1173" t="s">
        <v>351</v>
      </c>
      <c r="K1173" t="str">
        <f t="shared" si="41"/>
        <v>andrew14</v>
      </c>
      <c r="L1173">
        <f t="shared" si="42"/>
        <v>52.707599999999999</v>
      </c>
    </row>
    <row r="1174" spans="1:12" x14ac:dyDescent="0.25">
      <c r="A1174">
        <v>14</v>
      </c>
      <c r="B1174" t="s">
        <v>181</v>
      </c>
      <c r="C1174" t="s">
        <v>10</v>
      </c>
      <c r="D1174" s="1" t="s">
        <v>1520</v>
      </c>
      <c r="E1174">
        <v>14.59</v>
      </c>
      <c r="F1174">
        <v>19.5</v>
      </c>
      <c r="G1174">
        <v>4.76</v>
      </c>
      <c r="H1174">
        <v>7.37</v>
      </c>
      <c r="I1174">
        <v>12.13</v>
      </c>
      <c r="J1174" t="s">
        <v>352</v>
      </c>
      <c r="K1174" t="str">
        <f t="shared" si="41"/>
        <v>jake14</v>
      </c>
      <c r="L1174">
        <f t="shared" si="42"/>
        <v>54.316900000000004</v>
      </c>
    </row>
    <row r="1175" spans="1:12" x14ac:dyDescent="0.25">
      <c r="A1175">
        <v>14</v>
      </c>
      <c r="B1175" t="s">
        <v>20</v>
      </c>
      <c r="C1175" t="s">
        <v>10</v>
      </c>
      <c r="D1175" s="1" t="s">
        <v>1521</v>
      </c>
      <c r="E1175">
        <v>12.7</v>
      </c>
      <c r="F1175">
        <v>18.82</v>
      </c>
      <c r="G1175">
        <v>3.42</v>
      </c>
      <c r="H1175">
        <v>7.7</v>
      </c>
      <c r="I1175">
        <v>11.12</v>
      </c>
      <c r="J1175" t="s">
        <v>352</v>
      </c>
      <c r="K1175" t="str">
        <f t="shared" si="41"/>
        <v>jake14</v>
      </c>
      <c r="L1175">
        <f t="shared" si="42"/>
        <v>59.290000000000006</v>
      </c>
    </row>
    <row r="1176" spans="1:12" x14ac:dyDescent="0.25">
      <c r="A1176">
        <v>14</v>
      </c>
      <c r="B1176" t="s">
        <v>9</v>
      </c>
      <c r="C1176" t="s">
        <v>10</v>
      </c>
      <c r="D1176" s="1" t="s">
        <v>1522</v>
      </c>
      <c r="E1176">
        <v>10.8</v>
      </c>
      <c r="F1176">
        <v>17.239999999999998</v>
      </c>
      <c r="G1176">
        <v>2.44</v>
      </c>
      <c r="H1176">
        <v>7.4</v>
      </c>
      <c r="I1176">
        <v>9.84</v>
      </c>
      <c r="J1176" t="s">
        <v>352</v>
      </c>
      <c r="K1176" t="str">
        <f t="shared" si="41"/>
        <v>jake14</v>
      </c>
      <c r="L1176">
        <f t="shared" si="42"/>
        <v>54.760000000000005</v>
      </c>
    </row>
    <row r="1177" spans="1:12" x14ac:dyDescent="0.25">
      <c r="A1177">
        <v>14</v>
      </c>
      <c r="B1177" t="s">
        <v>27</v>
      </c>
      <c r="C1177" t="s">
        <v>10</v>
      </c>
      <c r="D1177" s="1" t="s">
        <v>1523</v>
      </c>
      <c r="E1177">
        <v>18.72</v>
      </c>
      <c r="F1177">
        <v>23.7</v>
      </c>
      <c r="G1177">
        <v>9.26</v>
      </c>
      <c r="H1177">
        <v>7.22</v>
      </c>
      <c r="I1177">
        <v>16.48</v>
      </c>
      <c r="J1177" t="s">
        <v>353</v>
      </c>
      <c r="K1177" t="str">
        <f t="shared" si="41"/>
        <v>breanna14</v>
      </c>
      <c r="L1177">
        <f t="shared" si="42"/>
        <v>52.128399999999999</v>
      </c>
    </row>
    <row r="1178" spans="1:12" x14ac:dyDescent="0.25">
      <c r="A1178">
        <v>14</v>
      </c>
      <c r="B1178" t="s">
        <v>219</v>
      </c>
      <c r="C1178" t="s">
        <v>10</v>
      </c>
      <c r="D1178" s="1" t="s">
        <v>1524</v>
      </c>
      <c r="E1178">
        <v>12.98</v>
      </c>
      <c r="F1178">
        <v>18.75</v>
      </c>
      <c r="G1178">
        <v>4.83</v>
      </c>
      <c r="H1178">
        <v>6.96</v>
      </c>
      <c r="I1178">
        <v>11.79</v>
      </c>
      <c r="J1178" t="s">
        <v>353</v>
      </c>
      <c r="K1178" t="str">
        <f t="shared" si="41"/>
        <v>breanna14</v>
      </c>
      <c r="L1178">
        <f t="shared" si="42"/>
        <v>48.441600000000001</v>
      </c>
    </row>
    <row r="1179" spans="1:12" x14ac:dyDescent="0.25">
      <c r="A1179">
        <v>14</v>
      </c>
      <c r="B1179" t="s">
        <v>16</v>
      </c>
      <c r="C1179" t="s">
        <v>10</v>
      </c>
      <c r="D1179" s="1" t="s">
        <v>1525</v>
      </c>
      <c r="E1179">
        <v>12.77</v>
      </c>
      <c r="F1179">
        <v>17.96</v>
      </c>
      <c r="G1179">
        <v>5.98</v>
      </c>
      <c r="H1179">
        <v>5.99</v>
      </c>
      <c r="I1179">
        <v>11.97</v>
      </c>
      <c r="J1179" t="s">
        <v>354</v>
      </c>
      <c r="K1179" t="str">
        <f t="shared" si="41"/>
        <v>joseph14</v>
      </c>
      <c r="L1179">
        <f t="shared" si="42"/>
        <v>35.880100000000006</v>
      </c>
    </row>
    <row r="1180" spans="1:12" x14ac:dyDescent="0.25">
      <c r="A1180">
        <v>14</v>
      </c>
      <c r="B1180" t="s">
        <v>216</v>
      </c>
      <c r="C1180" t="s">
        <v>10</v>
      </c>
      <c r="D1180" s="1" t="s">
        <v>1526</v>
      </c>
      <c r="E1180">
        <v>14.19</v>
      </c>
      <c r="F1180">
        <v>18.16</v>
      </c>
      <c r="G1180">
        <v>5.58</v>
      </c>
      <c r="H1180">
        <v>6.29</v>
      </c>
      <c r="I1180">
        <v>11.87</v>
      </c>
      <c r="J1180" t="s">
        <v>354</v>
      </c>
      <c r="K1180" t="str">
        <f t="shared" si="41"/>
        <v>joseph14</v>
      </c>
      <c r="L1180">
        <f t="shared" si="42"/>
        <v>39.564100000000003</v>
      </c>
    </row>
    <row r="1181" spans="1:12" x14ac:dyDescent="0.25">
      <c r="A1181">
        <v>14</v>
      </c>
      <c r="B1181" t="s">
        <v>74</v>
      </c>
      <c r="C1181" t="s">
        <v>10</v>
      </c>
      <c r="D1181" s="1" t="s">
        <v>1527</v>
      </c>
      <c r="E1181">
        <v>12.79</v>
      </c>
      <c r="F1181">
        <v>20.59</v>
      </c>
      <c r="G1181">
        <v>2.99</v>
      </c>
      <c r="H1181">
        <v>8.8000000000000007</v>
      </c>
      <c r="I1181">
        <v>11.79</v>
      </c>
      <c r="J1181" t="s">
        <v>354</v>
      </c>
      <c r="K1181" t="str">
        <f t="shared" si="41"/>
        <v>joseph14</v>
      </c>
      <c r="L1181">
        <f t="shared" si="42"/>
        <v>77.440000000000012</v>
      </c>
    </row>
    <row r="1182" spans="1:12" x14ac:dyDescent="0.25">
      <c r="A1182">
        <v>14</v>
      </c>
      <c r="B1182" t="s">
        <v>75</v>
      </c>
      <c r="C1182" t="s">
        <v>10</v>
      </c>
      <c r="D1182" s="1" t="s">
        <v>1528</v>
      </c>
      <c r="E1182">
        <v>19.54</v>
      </c>
      <c r="F1182">
        <v>27.78</v>
      </c>
      <c r="G1182">
        <v>7.5</v>
      </c>
      <c r="H1182">
        <v>10.14</v>
      </c>
      <c r="I1182">
        <v>17.64</v>
      </c>
      <c r="J1182" t="s">
        <v>355</v>
      </c>
      <c r="K1182" t="str">
        <f t="shared" si="41"/>
        <v>alyssa14</v>
      </c>
      <c r="L1182">
        <f t="shared" si="42"/>
        <v>102.81960000000001</v>
      </c>
    </row>
    <row r="1183" spans="1:12" x14ac:dyDescent="0.25">
      <c r="A1183">
        <v>14</v>
      </c>
      <c r="B1183" t="s">
        <v>28</v>
      </c>
      <c r="C1183" t="s">
        <v>10</v>
      </c>
      <c r="D1183" s="1" t="s">
        <v>1529</v>
      </c>
      <c r="E1183">
        <v>14.5</v>
      </c>
      <c r="F1183">
        <v>18.399999999999999</v>
      </c>
      <c r="G1183">
        <v>5.28</v>
      </c>
      <c r="H1183">
        <v>6.56</v>
      </c>
      <c r="I1183">
        <v>11.84</v>
      </c>
      <c r="J1183" t="s">
        <v>355</v>
      </c>
      <c r="K1183" t="str">
        <f t="shared" si="41"/>
        <v>alyssa14</v>
      </c>
      <c r="L1183">
        <f t="shared" si="42"/>
        <v>43.033599999999993</v>
      </c>
    </row>
    <row r="1184" spans="1:12" x14ac:dyDescent="0.25">
      <c r="A1184">
        <v>14</v>
      </c>
      <c r="B1184" t="s">
        <v>25</v>
      </c>
      <c r="C1184" t="s">
        <v>10</v>
      </c>
      <c r="D1184" s="1" t="s">
        <v>1530</v>
      </c>
      <c r="E1184">
        <v>17.600000000000001</v>
      </c>
      <c r="F1184">
        <v>22.72</v>
      </c>
      <c r="G1184">
        <v>8.02</v>
      </c>
      <c r="H1184">
        <v>7.35</v>
      </c>
      <c r="I1184">
        <v>15.37</v>
      </c>
      <c r="J1184" t="s">
        <v>356</v>
      </c>
      <c r="K1184" t="str">
        <f t="shared" si="41"/>
        <v>chris14</v>
      </c>
      <c r="L1184">
        <f t="shared" si="42"/>
        <v>54.022499999999994</v>
      </c>
    </row>
    <row r="1185" spans="1:12" x14ac:dyDescent="0.25">
      <c r="A1185">
        <v>14</v>
      </c>
      <c r="B1185" t="s">
        <v>160</v>
      </c>
      <c r="C1185" t="s">
        <v>10</v>
      </c>
      <c r="D1185" s="1" t="s">
        <v>546</v>
      </c>
      <c r="E1185">
        <v>10.74</v>
      </c>
      <c r="F1185">
        <v>13.16</v>
      </c>
      <c r="G1185">
        <v>4.62</v>
      </c>
      <c r="H1185">
        <v>4.2699999999999996</v>
      </c>
      <c r="I1185">
        <v>8.89</v>
      </c>
      <c r="J1185" t="s">
        <v>356</v>
      </c>
      <c r="K1185" t="str">
        <f t="shared" si="41"/>
        <v>chris14</v>
      </c>
      <c r="L1185">
        <f t="shared" si="42"/>
        <v>18.232899999999997</v>
      </c>
    </row>
    <row r="1186" spans="1:12" x14ac:dyDescent="0.25">
      <c r="A1186">
        <v>14</v>
      </c>
      <c r="B1186" t="s">
        <v>158</v>
      </c>
      <c r="C1186" t="s">
        <v>10</v>
      </c>
      <c r="D1186" s="1" t="s">
        <v>1531</v>
      </c>
      <c r="E1186">
        <v>19.579999999999998</v>
      </c>
      <c r="F1186">
        <v>26.99</v>
      </c>
      <c r="G1186">
        <v>8.11</v>
      </c>
      <c r="H1186">
        <v>9.44</v>
      </c>
      <c r="I1186">
        <v>17.55</v>
      </c>
      <c r="J1186" t="s">
        <v>357</v>
      </c>
      <c r="K1186" t="str">
        <f t="shared" si="41"/>
        <v>jordan14</v>
      </c>
      <c r="L1186">
        <f t="shared" si="42"/>
        <v>89.113599999999991</v>
      </c>
    </row>
    <row r="1187" spans="1:12" x14ac:dyDescent="0.25">
      <c r="A1187">
        <v>14</v>
      </c>
      <c r="B1187" t="s">
        <v>284</v>
      </c>
      <c r="C1187" t="s">
        <v>10</v>
      </c>
      <c r="D1187" s="1" t="s">
        <v>287</v>
      </c>
      <c r="E1187">
        <v>15.6</v>
      </c>
      <c r="F1187">
        <v>22.56</v>
      </c>
      <c r="G1187">
        <v>5.2</v>
      </c>
      <c r="H1187">
        <v>8.68</v>
      </c>
      <c r="I1187">
        <v>13.88</v>
      </c>
      <c r="J1187" t="s">
        <v>357</v>
      </c>
      <c r="K1187" t="str">
        <f t="shared" si="41"/>
        <v>jordan14</v>
      </c>
      <c r="L1187">
        <f t="shared" si="42"/>
        <v>75.342399999999998</v>
      </c>
    </row>
    <row r="1188" spans="1:12" x14ac:dyDescent="0.25">
      <c r="A1188">
        <v>14</v>
      </c>
      <c r="B1188" t="s">
        <v>157</v>
      </c>
      <c r="C1188" t="s">
        <v>10</v>
      </c>
      <c r="D1188" s="1" t="s">
        <v>1532</v>
      </c>
      <c r="E1188">
        <v>10.31</v>
      </c>
      <c r="F1188">
        <v>17.86</v>
      </c>
      <c r="G1188">
        <v>1.96</v>
      </c>
      <c r="H1188">
        <v>7.95</v>
      </c>
      <c r="I1188">
        <v>9.91</v>
      </c>
      <c r="J1188" t="s">
        <v>357</v>
      </c>
      <c r="K1188" t="str">
        <f t="shared" si="41"/>
        <v>jordan14</v>
      </c>
      <c r="L1188">
        <f t="shared" si="42"/>
        <v>63.202500000000001</v>
      </c>
    </row>
    <row r="1189" spans="1:12" x14ac:dyDescent="0.25">
      <c r="A1189">
        <v>14</v>
      </c>
      <c r="B1189" t="s">
        <v>14</v>
      </c>
      <c r="C1189" t="s">
        <v>10</v>
      </c>
      <c r="D1189" s="1" t="s">
        <v>1533</v>
      </c>
      <c r="E1189">
        <v>15.84</v>
      </c>
      <c r="F1189">
        <v>21.42</v>
      </c>
      <c r="G1189">
        <v>7.26</v>
      </c>
      <c r="H1189">
        <v>7.08</v>
      </c>
      <c r="I1189">
        <v>14.34</v>
      </c>
      <c r="J1189" t="s">
        <v>358</v>
      </c>
      <c r="K1189" t="str">
        <f t="shared" si="41"/>
        <v>alex14</v>
      </c>
      <c r="L1189">
        <f t="shared" si="42"/>
        <v>50.126400000000004</v>
      </c>
    </row>
    <row r="1190" spans="1:12" x14ac:dyDescent="0.25">
      <c r="A1190">
        <v>14</v>
      </c>
      <c r="B1190" t="s">
        <v>12</v>
      </c>
      <c r="C1190" t="s">
        <v>10</v>
      </c>
      <c r="D1190" s="1" t="s">
        <v>1534</v>
      </c>
      <c r="E1190">
        <v>14.68</v>
      </c>
      <c r="F1190">
        <v>20.74</v>
      </c>
      <c r="G1190">
        <v>4.88</v>
      </c>
      <c r="H1190">
        <v>7.93</v>
      </c>
      <c r="I1190">
        <v>12.81</v>
      </c>
      <c r="J1190" t="s">
        <v>358</v>
      </c>
      <c r="K1190" t="str">
        <f t="shared" si="41"/>
        <v>alex14</v>
      </c>
      <c r="L1190">
        <f t="shared" si="42"/>
        <v>62.884899999999995</v>
      </c>
    </row>
    <row r="1191" spans="1:12" x14ac:dyDescent="0.25">
      <c r="A1191">
        <v>14</v>
      </c>
      <c r="B1191" t="s">
        <v>152</v>
      </c>
      <c r="C1191" t="s">
        <v>10</v>
      </c>
      <c r="D1191" s="1" t="s">
        <v>1535</v>
      </c>
      <c r="E1191">
        <v>18.7</v>
      </c>
      <c r="F1191">
        <v>24.22</v>
      </c>
      <c r="G1191">
        <v>7.4</v>
      </c>
      <c r="H1191">
        <v>8.41</v>
      </c>
      <c r="I1191">
        <v>15.81</v>
      </c>
      <c r="J1191" t="s">
        <v>359</v>
      </c>
      <c r="K1191" t="str">
        <f t="shared" si="41"/>
        <v>colin14</v>
      </c>
      <c r="L1191">
        <f t="shared" si="42"/>
        <v>70.728099999999998</v>
      </c>
    </row>
    <row r="1192" spans="1:12" x14ac:dyDescent="0.25">
      <c r="A1192">
        <v>14</v>
      </c>
      <c r="B1192" t="s">
        <v>265</v>
      </c>
      <c r="C1192" t="s">
        <v>10</v>
      </c>
      <c r="D1192" s="1" t="s">
        <v>1536</v>
      </c>
      <c r="E1192">
        <v>8.77</v>
      </c>
      <c r="F1192">
        <v>12.99</v>
      </c>
      <c r="G1192">
        <v>1.53</v>
      </c>
      <c r="H1192">
        <v>5.73</v>
      </c>
      <c r="I1192">
        <v>7.26</v>
      </c>
      <c r="J1192" t="s">
        <v>359</v>
      </c>
      <c r="K1192" t="str">
        <f t="shared" si="41"/>
        <v>colin14</v>
      </c>
      <c r="L1192">
        <f t="shared" si="42"/>
        <v>32.832900000000002</v>
      </c>
    </row>
    <row r="1193" spans="1:12" x14ac:dyDescent="0.25">
      <c r="A1193">
        <v>14</v>
      </c>
      <c r="B1193" t="s">
        <v>13</v>
      </c>
      <c r="C1193" t="s">
        <v>10</v>
      </c>
      <c r="D1193" s="1" t="s">
        <v>1537</v>
      </c>
      <c r="E1193">
        <v>14.54</v>
      </c>
      <c r="F1193">
        <v>19.62</v>
      </c>
      <c r="G1193">
        <v>6.08</v>
      </c>
      <c r="H1193">
        <v>6.77</v>
      </c>
      <c r="I1193">
        <v>12.85</v>
      </c>
      <c r="J1193" t="s">
        <v>360</v>
      </c>
      <c r="K1193" t="str">
        <f t="shared" si="41"/>
        <v>paul14</v>
      </c>
      <c r="L1193">
        <f t="shared" si="42"/>
        <v>45.832899999999995</v>
      </c>
    </row>
    <row r="1194" spans="1:12" x14ac:dyDescent="0.25">
      <c r="A1194">
        <v>14</v>
      </c>
      <c r="B1194" t="s">
        <v>115</v>
      </c>
      <c r="C1194" t="s">
        <v>10</v>
      </c>
      <c r="D1194" s="1" t="s">
        <v>1538</v>
      </c>
      <c r="E1194">
        <v>14.13</v>
      </c>
      <c r="F1194">
        <v>18.52</v>
      </c>
      <c r="G1194">
        <v>6.72</v>
      </c>
      <c r="H1194">
        <v>5.9</v>
      </c>
      <c r="I1194">
        <v>12.62</v>
      </c>
      <c r="J1194" t="s">
        <v>360</v>
      </c>
      <c r="K1194" t="str">
        <f t="shared" si="41"/>
        <v>paul14</v>
      </c>
      <c r="L1194">
        <f t="shared" si="42"/>
        <v>34.81</v>
      </c>
    </row>
    <row r="1195" spans="1:12" x14ac:dyDescent="0.25">
      <c r="A1195">
        <v>14</v>
      </c>
      <c r="B1195" t="s">
        <v>186</v>
      </c>
      <c r="C1195" t="s">
        <v>10</v>
      </c>
      <c r="D1195" s="1" t="s">
        <v>1539</v>
      </c>
      <c r="E1195">
        <v>13.53</v>
      </c>
      <c r="F1195">
        <v>20.23</v>
      </c>
      <c r="G1195">
        <v>3.79</v>
      </c>
      <c r="H1195">
        <v>8.2200000000000006</v>
      </c>
      <c r="I1195">
        <v>12.01</v>
      </c>
      <c r="J1195" t="s">
        <v>360</v>
      </c>
      <c r="K1195" t="str">
        <f t="shared" si="41"/>
        <v>paul14</v>
      </c>
      <c r="L1195">
        <f t="shared" si="42"/>
        <v>67.568400000000011</v>
      </c>
    </row>
    <row r="1196" spans="1:12" x14ac:dyDescent="0.25">
      <c r="A1196">
        <v>14</v>
      </c>
      <c r="B1196" t="s">
        <v>41</v>
      </c>
      <c r="C1196" t="s">
        <v>32</v>
      </c>
      <c r="D1196" s="1" t="s">
        <v>1540</v>
      </c>
      <c r="E1196">
        <v>19.89</v>
      </c>
      <c r="F1196">
        <v>23.9</v>
      </c>
      <c r="G1196">
        <v>7.86</v>
      </c>
      <c r="H1196">
        <v>8.02</v>
      </c>
      <c r="I1196">
        <v>15.88</v>
      </c>
      <c r="J1196" t="s">
        <v>351</v>
      </c>
      <c r="K1196" t="str">
        <f t="shared" si="41"/>
        <v>andrew14</v>
      </c>
      <c r="L1196">
        <f t="shared" si="42"/>
        <v>64.320399999999992</v>
      </c>
    </row>
    <row r="1197" spans="1:12" x14ac:dyDescent="0.25">
      <c r="A1197">
        <v>14</v>
      </c>
      <c r="B1197" t="s">
        <v>72</v>
      </c>
      <c r="C1197" t="s">
        <v>32</v>
      </c>
      <c r="D1197" s="1" t="s">
        <v>1541</v>
      </c>
      <c r="E1197">
        <v>13.49</v>
      </c>
      <c r="F1197">
        <v>17.670000000000002</v>
      </c>
      <c r="G1197">
        <v>3.55</v>
      </c>
      <c r="H1197">
        <v>7.06</v>
      </c>
      <c r="I1197">
        <v>10.61</v>
      </c>
      <c r="J1197" t="s">
        <v>351</v>
      </c>
      <c r="K1197" t="str">
        <f t="shared" si="41"/>
        <v>andrew14</v>
      </c>
      <c r="L1197">
        <f t="shared" si="42"/>
        <v>49.843599999999995</v>
      </c>
    </row>
    <row r="1198" spans="1:12" x14ac:dyDescent="0.25">
      <c r="A1198">
        <v>14</v>
      </c>
      <c r="B1198" t="s">
        <v>162</v>
      </c>
      <c r="C1198" t="s">
        <v>32</v>
      </c>
      <c r="D1198" s="1" t="s">
        <v>1542</v>
      </c>
      <c r="E1198">
        <v>13.15</v>
      </c>
      <c r="F1198">
        <v>16.88</v>
      </c>
      <c r="G1198">
        <v>4.32</v>
      </c>
      <c r="H1198">
        <v>6.28</v>
      </c>
      <c r="I1198">
        <v>10.6</v>
      </c>
      <c r="J1198" t="s">
        <v>351</v>
      </c>
      <c r="K1198" t="str">
        <f t="shared" si="41"/>
        <v>andrew14</v>
      </c>
      <c r="L1198">
        <f t="shared" si="42"/>
        <v>39.438400000000001</v>
      </c>
    </row>
    <row r="1199" spans="1:12" x14ac:dyDescent="0.25">
      <c r="A1199">
        <v>14</v>
      </c>
      <c r="B1199" t="s">
        <v>33</v>
      </c>
      <c r="C1199" t="s">
        <v>32</v>
      </c>
      <c r="D1199" s="1" t="s">
        <v>1543</v>
      </c>
      <c r="E1199">
        <v>16.100000000000001</v>
      </c>
      <c r="F1199">
        <v>20.7</v>
      </c>
      <c r="G1199">
        <v>5.54</v>
      </c>
      <c r="H1199">
        <v>7.58</v>
      </c>
      <c r="I1199">
        <v>13.12</v>
      </c>
      <c r="J1199" t="s">
        <v>352</v>
      </c>
      <c r="K1199" t="str">
        <f t="shared" si="41"/>
        <v>jake14</v>
      </c>
      <c r="L1199">
        <f t="shared" si="42"/>
        <v>57.456400000000002</v>
      </c>
    </row>
    <row r="1200" spans="1:12" x14ac:dyDescent="0.25">
      <c r="A1200">
        <v>14</v>
      </c>
      <c r="B1200" t="s">
        <v>45</v>
      </c>
      <c r="C1200" t="s">
        <v>32</v>
      </c>
      <c r="D1200" s="1" t="s">
        <v>1544</v>
      </c>
      <c r="E1200">
        <v>14.68</v>
      </c>
      <c r="F1200">
        <v>16.54</v>
      </c>
      <c r="G1200">
        <v>5.88</v>
      </c>
      <c r="H1200">
        <v>5.33</v>
      </c>
      <c r="I1200">
        <v>11.21</v>
      </c>
      <c r="J1200" t="s">
        <v>352</v>
      </c>
      <c r="K1200" t="str">
        <f t="shared" si="41"/>
        <v>jake14</v>
      </c>
      <c r="L1200">
        <f t="shared" si="42"/>
        <v>28.408899999999999</v>
      </c>
    </row>
    <row r="1201" spans="1:12" x14ac:dyDescent="0.25">
      <c r="A1201">
        <v>14</v>
      </c>
      <c r="B1201" t="s">
        <v>48</v>
      </c>
      <c r="C1201" t="s">
        <v>32</v>
      </c>
      <c r="D1201" s="1" t="s">
        <v>1545</v>
      </c>
      <c r="E1201">
        <v>12.96</v>
      </c>
      <c r="F1201">
        <v>17.059999999999999</v>
      </c>
      <c r="G1201">
        <v>4.4400000000000004</v>
      </c>
      <c r="H1201">
        <v>6.31</v>
      </c>
      <c r="I1201">
        <v>10.75</v>
      </c>
      <c r="J1201" t="s">
        <v>353</v>
      </c>
      <c r="K1201" t="str">
        <f t="shared" si="41"/>
        <v>breanna14</v>
      </c>
      <c r="L1201">
        <f t="shared" si="42"/>
        <v>39.816099999999992</v>
      </c>
    </row>
    <row r="1202" spans="1:12" x14ac:dyDescent="0.25">
      <c r="A1202">
        <v>14</v>
      </c>
      <c r="B1202" t="s">
        <v>44</v>
      </c>
      <c r="C1202" t="s">
        <v>32</v>
      </c>
      <c r="D1202" s="1" t="s">
        <v>1546</v>
      </c>
      <c r="E1202">
        <v>12.96</v>
      </c>
      <c r="F1202">
        <v>17.62</v>
      </c>
      <c r="G1202">
        <v>2.2400000000000002</v>
      </c>
      <c r="H1202">
        <v>7.69</v>
      </c>
      <c r="I1202">
        <v>9.93</v>
      </c>
      <c r="J1202" t="s">
        <v>353</v>
      </c>
      <c r="K1202" t="str">
        <f t="shared" si="41"/>
        <v>breanna14</v>
      </c>
      <c r="L1202">
        <f t="shared" si="42"/>
        <v>59.136100000000006</v>
      </c>
    </row>
    <row r="1203" spans="1:12" x14ac:dyDescent="0.25">
      <c r="A1203">
        <v>14</v>
      </c>
      <c r="B1203" t="s">
        <v>165</v>
      </c>
      <c r="C1203" t="s">
        <v>32</v>
      </c>
      <c r="D1203" s="1" t="s">
        <v>1547</v>
      </c>
      <c r="E1203">
        <v>10.4</v>
      </c>
      <c r="F1203">
        <v>13.72</v>
      </c>
      <c r="G1203">
        <v>2.78</v>
      </c>
      <c r="H1203">
        <v>5.47</v>
      </c>
      <c r="I1203">
        <v>8.25</v>
      </c>
      <c r="J1203" t="s">
        <v>353</v>
      </c>
      <c r="K1203" t="str">
        <f t="shared" si="41"/>
        <v>breanna14</v>
      </c>
      <c r="L1203">
        <f t="shared" si="42"/>
        <v>29.920899999999996</v>
      </c>
    </row>
    <row r="1204" spans="1:12" x14ac:dyDescent="0.25">
      <c r="A1204">
        <v>14</v>
      </c>
      <c r="B1204" t="s">
        <v>42</v>
      </c>
      <c r="C1204" t="s">
        <v>32</v>
      </c>
      <c r="D1204" s="1" t="s">
        <v>1548</v>
      </c>
      <c r="E1204">
        <v>18.82</v>
      </c>
      <c r="F1204">
        <v>23.24</v>
      </c>
      <c r="G1204">
        <v>7.4</v>
      </c>
      <c r="H1204">
        <v>7.92</v>
      </c>
      <c r="I1204">
        <v>15.32</v>
      </c>
      <c r="J1204" t="s">
        <v>354</v>
      </c>
      <c r="K1204" t="str">
        <f t="shared" si="41"/>
        <v>joseph14</v>
      </c>
      <c r="L1204">
        <f t="shared" si="42"/>
        <v>62.726399999999998</v>
      </c>
    </row>
    <row r="1205" spans="1:12" x14ac:dyDescent="0.25">
      <c r="A1205">
        <v>14</v>
      </c>
      <c r="B1205" t="s">
        <v>43</v>
      </c>
      <c r="C1205" t="s">
        <v>32</v>
      </c>
      <c r="D1205" s="1" t="s">
        <v>1549</v>
      </c>
      <c r="E1205">
        <v>16.12</v>
      </c>
      <c r="F1205">
        <v>21.2</v>
      </c>
      <c r="G1205">
        <v>5.44</v>
      </c>
      <c r="H1205">
        <v>7.88</v>
      </c>
      <c r="I1205">
        <v>13.32</v>
      </c>
      <c r="J1205" t="s">
        <v>354</v>
      </c>
      <c r="K1205" t="str">
        <f t="shared" si="41"/>
        <v>joseph14</v>
      </c>
      <c r="L1205">
        <f t="shared" si="42"/>
        <v>62.0944</v>
      </c>
    </row>
    <row r="1206" spans="1:12" x14ac:dyDescent="0.25">
      <c r="A1206">
        <v>14</v>
      </c>
      <c r="B1206" t="s">
        <v>69</v>
      </c>
      <c r="C1206" t="s">
        <v>32</v>
      </c>
      <c r="D1206" s="1" t="s">
        <v>1550</v>
      </c>
      <c r="E1206">
        <v>18.43</v>
      </c>
      <c r="F1206">
        <v>21.37</v>
      </c>
      <c r="G1206">
        <v>7.73</v>
      </c>
      <c r="H1206">
        <v>6.82</v>
      </c>
      <c r="I1206">
        <v>14.55</v>
      </c>
      <c r="J1206" t="s">
        <v>355</v>
      </c>
      <c r="K1206" t="str">
        <f t="shared" si="41"/>
        <v>alyssa14</v>
      </c>
      <c r="L1206">
        <f t="shared" si="42"/>
        <v>46.512400000000007</v>
      </c>
    </row>
    <row r="1207" spans="1:12" x14ac:dyDescent="0.25">
      <c r="A1207">
        <v>14</v>
      </c>
      <c r="B1207" t="s">
        <v>71</v>
      </c>
      <c r="C1207" t="s">
        <v>32</v>
      </c>
      <c r="D1207" s="1" t="s">
        <v>1551</v>
      </c>
      <c r="E1207">
        <v>14.04</v>
      </c>
      <c r="F1207">
        <v>17.68</v>
      </c>
      <c r="G1207">
        <v>4.3</v>
      </c>
      <c r="H1207">
        <v>6.69</v>
      </c>
      <c r="I1207">
        <v>10.99</v>
      </c>
      <c r="J1207" t="s">
        <v>355</v>
      </c>
      <c r="K1207" t="str">
        <f t="shared" si="41"/>
        <v>alyssa14</v>
      </c>
      <c r="L1207">
        <f t="shared" si="42"/>
        <v>44.756100000000004</v>
      </c>
    </row>
    <row r="1208" spans="1:12" x14ac:dyDescent="0.25">
      <c r="A1208">
        <v>14</v>
      </c>
      <c r="B1208" t="s">
        <v>51</v>
      </c>
      <c r="C1208" t="s">
        <v>32</v>
      </c>
      <c r="D1208" s="1" t="s">
        <v>1552</v>
      </c>
      <c r="E1208">
        <v>11.06</v>
      </c>
      <c r="F1208">
        <v>14.28</v>
      </c>
      <c r="G1208">
        <v>3.08</v>
      </c>
      <c r="H1208">
        <v>5.6</v>
      </c>
      <c r="I1208">
        <v>8.68</v>
      </c>
      <c r="J1208" t="s">
        <v>355</v>
      </c>
      <c r="K1208" t="str">
        <f t="shared" si="41"/>
        <v>alyssa14</v>
      </c>
      <c r="L1208">
        <f t="shared" si="42"/>
        <v>31.359999999999996</v>
      </c>
    </row>
    <row r="1209" spans="1:12" x14ac:dyDescent="0.25">
      <c r="A1209">
        <v>14</v>
      </c>
      <c r="B1209" t="s">
        <v>47</v>
      </c>
      <c r="C1209" t="s">
        <v>32</v>
      </c>
      <c r="D1209" s="1" t="s">
        <v>1553</v>
      </c>
      <c r="E1209">
        <v>14.99</v>
      </c>
      <c r="F1209">
        <v>18.36</v>
      </c>
      <c r="G1209">
        <v>5.52</v>
      </c>
      <c r="H1209">
        <v>6.42</v>
      </c>
      <c r="I1209">
        <v>11.94</v>
      </c>
      <c r="J1209" t="s">
        <v>356</v>
      </c>
      <c r="K1209" t="str">
        <f t="shared" si="41"/>
        <v>chris14</v>
      </c>
      <c r="L1209">
        <f t="shared" si="42"/>
        <v>41.2164</v>
      </c>
    </row>
    <row r="1210" spans="1:12" x14ac:dyDescent="0.25">
      <c r="A1210">
        <v>14</v>
      </c>
      <c r="B1210" t="s">
        <v>46</v>
      </c>
      <c r="C1210" t="s">
        <v>32</v>
      </c>
      <c r="D1210" s="1" t="s">
        <v>1554</v>
      </c>
      <c r="E1210">
        <v>12.01</v>
      </c>
      <c r="F1210">
        <v>13.8</v>
      </c>
      <c r="G1210">
        <v>4.46</v>
      </c>
      <c r="H1210">
        <v>4.67</v>
      </c>
      <c r="I1210">
        <v>9.1300000000000008</v>
      </c>
      <c r="J1210" t="s">
        <v>356</v>
      </c>
      <c r="K1210" t="str">
        <f t="shared" si="41"/>
        <v>chris14</v>
      </c>
      <c r="L1210">
        <f t="shared" si="42"/>
        <v>21.808899999999998</v>
      </c>
    </row>
    <row r="1211" spans="1:12" x14ac:dyDescent="0.25">
      <c r="A1211">
        <v>14</v>
      </c>
      <c r="B1211" t="s">
        <v>70</v>
      </c>
      <c r="C1211" t="s">
        <v>32</v>
      </c>
      <c r="D1211" s="1" t="s">
        <v>1555</v>
      </c>
      <c r="E1211">
        <v>8.7100000000000009</v>
      </c>
      <c r="F1211">
        <v>11.69</v>
      </c>
      <c r="G1211">
        <v>1.59</v>
      </c>
      <c r="H1211">
        <v>5.05</v>
      </c>
      <c r="I1211">
        <v>6.64</v>
      </c>
      <c r="J1211" t="s">
        <v>356</v>
      </c>
      <c r="K1211" t="str">
        <f t="shared" si="41"/>
        <v>chris14</v>
      </c>
      <c r="L1211">
        <f t="shared" si="42"/>
        <v>25.502499999999998</v>
      </c>
    </row>
    <row r="1212" spans="1:12" x14ac:dyDescent="0.25">
      <c r="A1212">
        <v>14</v>
      </c>
      <c r="B1212" t="s">
        <v>35</v>
      </c>
      <c r="C1212" t="s">
        <v>32</v>
      </c>
      <c r="D1212" s="1" t="s">
        <v>1556</v>
      </c>
      <c r="E1212">
        <v>13.22</v>
      </c>
      <c r="F1212">
        <v>14.76</v>
      </c>
      <c r="G1212">
        <v>4.92</v>
      </c>
      <c r="H1212">
        <v>4.92</v>
      </c>
      <c r="I1212">
        <v>9.84</v>
      </c>
      <c r="J1212" t="s">
        <v>357</v>
      </c>
      <c r="K1212" t="str">
        <f t="shared" si="41"/>
        <v>jordan14</v>
      </c>
      <c r="L1212">
        <f t="shared" si="42"/>
        <v>24.206399999999999</v>
      </c>
    </row>
    <row r="1213" spans="1:12" x14ac:dyDescent="0.25">
      <c r="A1213">
        <v>14</v>
      </c>
      <c r="B1213" t="s">
        <v>222</v>
      </c>
      <c r="C1213" t="s">
        <v>32</v>
      </c>
      <c r="D1213" s="1" t="s">
        <v>1557</v>
      </c>
      <c r="E1213">
        <v>10.41</v>
      </c>
      <c r="F1213">
        <v>16.34</v>
      </c>
      <c r="G1213">
        <v>0.5</v>
      </c>
      <c r="H1213">
        <v>7.92</v>
      </c>
      <c r="I1213">
        <v>8.42</v>
      </c>
      <c r="J1213" t="s">
        <v>357</v>
      </c>
      <c r="K1213" t="str">
        <f t="shared" si="41"/>
        <v>jordan14</v>
      </c>
      <c r="L1213">
        <f t="shared" si="42"/>
        <v>62.726399999999998</v>
      </c>
    </row>
    <row r="1214" spans="1:12" x14ac:dyDescent="0.25">
      <c r="A1214">
        <v>14</v>
      </c>
      <c r="B1214" t="s">
        <v>34</v>
      </c>
      <c r="C1214" t="s">
        <v>32</v>
      </c>
      <c r="D1214" s="1" t="s">
        <v>1558</v>
      </c>
      <c r="E1214">
        <v>16.18</v>
      </c>
      <c r="F1214">
        <v>21.37</v>
      </c>
      <c r="G1214">
        <v>4.63</v>
      </c>
      <c r="H1214">
        <v>8.3699999999999992</v>
      </c>
      <c r="I1214">
        <v>13</v>
      </c>
      <c r="J1214" t="s">
        <v>358</v>
      </c>
      <c r="K1214" t="str">
        <f t="shared" si="41"/>
        <v>alex14</v>
      </c>
      <c r="L1214">
        <f t="shared" si="42"/>
        <v>70.056899999999985</v>
      </c>
    </row>
    <row r="1215" spans="1:12" x14ac:dyDescent="0.25">
      <c r="A1215">
        <v>14</v>
      </c>
      <c r="B1215" t="s">
        <v>36</v>
      </c>
      <c r="C1215" t="s">
        <v>32</v>
      </c>
      <c r="D1215" s="1" t="s">
        <v>1559</v>
      </c>
      <c r="E1215">
        <v>14.13</v>
      </c>
      <c r="F1215">
        <v>17.25</v>
      </c>
      <c r="G1215">
        <v>5.35</v>
      </c>
      <c r="H1215">
        <v>5.95</v>
      </c>
      <c r="I1215">
        <v>11.3</v>
      </c>
      <c r="J1215" t="s">
        <v>358</v>
      </c>
      <c r="K1215" t="str">
        <f t="shared" si="41"/>
        <v>alex14</v>
      </c>
      <c r="L1215">
        <f t="shared" si="42"/>
        <v>35.402500000000003</v>
      </c>
    </row>
    <row r="1216" spans="1:12" x14ac:dyDescent="0.25">
      <c r="A1216">
        <v>14</v>
      </c>
      <c r="B1216" t="s">
        <v>184</v>
      </c>
      <c r="C1216" t="s">
        <v>32</v>
      </c>
      <c r="D1216" s="1" t="s">
        <v>1560</v>
      </c>
      <c r="E1216">
        <v>12.22</v>
      </c>
      <c r="F1216">
        <v>17.329999999999998</v>
      </c>
      <c r="G1216">
        <v>1.85</v>
      </c>
      <c r="H1216">
        <v>7.74</v>
      </c>
      <c r="I1216">
        <v>9.59</v>
      </c>
      <c r="J1216" t="s">
        <v>358</v>
      </c>
      <c r="K1216" t="str">
        <f t="shared" si="41"/>
        <v>alex14</v>
      </c>
      <c r="L1216">
        <f t="shared" si="42"/>
        <v>59.907600000000002</v>
      </c>
    </row>
    <row r="1217" spans="1:12" x14ac:dyDescent="0.25">
      <c r="A1217">
        <v>14</v>
      </c>
      <c r="B1217" t="s">
        <v>183</v>
      </c>
      <c r="C1217" t="s">
        <v>32</v>
      </c>
      <c r="D1217" s="1" t="s">
        <v>1561</v>
      </c>
      <c r="E1217">
        <v>9.94</v>
      </c>
      <c r="F1217">
        <v>13.5</v>
      </c>
      <c r="G1217">
        <v>1.82</v>
      </c>
      <c r="H1217">
        <v>5.84</v>
      </c>
      <c r="I1217">
        <v>7.66</v>
      </c>
      <c r="J1217" t="s">
        <v>359</v>
      </c>
      <c r="K1217" t="str">
        <f t="shared" si="41"/>
        <v>colin14</v>
      </c>
      <c r="L1217">
        <f t="shared" si="42"/>
        <v>34.105599999999995</v>
      </c>
    </row>
    <row r="1218" spans="1:12" x14ac:dyDescent="0.25">
      <c r="A1218">
        <v>14</v>
      </c>
      <c r="B1218" t="s">
        <v>234</v>
      </c>
      <c r="C1218" t="s">
        <v>32</v>
      </c>
      <c r="D1218" s="1" t="s">
        <v>1562</v>
      </c>
      <c r="E1218">
        <v>9.83</v>
      </c>
      <c r="F1218">
        <v>12.54</v>
      </c>
      <c r="G1218">
        <v>2.74</v>
      </c>
      <c r="H1218">
        <v>4.9000000000000004</v>
      </c>
      <c r="I1218">
        <v>7.64</v>
      </c>
      <c r="J1218" t="s">
        <v>359</v>
      </c>
      <c r="K1218" t="str">
        <f t="shared" si="41"/>
        <v>colin14</v>
      </c>
      <c r="L1218">
        <f t="shared" si="42"/>
        <v>24.010000000000005</v>
      </c>
    </row>
    <row r="1219" spans="1:12" x14ac:dyDescent="0.25">
      <c r="A1219">
        <v>14</v>
      </c>
      <c r="B1219" t="s">
        <v>161</v>
      </c>
      <c r="C1219" t="s">
        <v>32</v>
      </c>
      <c r="D1219" s="1" t="s">
        <v>1563</v>
      </c>
      <c r="E1219">
        <v>9.35</v>
      </c>
      <c r="F1219">
        <v>12.1</v>
      </c>
      <c r="G1219">
        <v>3.04</v>
      </c>
      <c r="H1219">
        <v>4.53</v>
      </c>
      <c r="I1219">
        <v>7.57</v>
      </c>
      <c r="J1219" t="s">
        <v>359</v>
      </c>
      <c r="K1219" t="str">
        <f t="shared" ref="K1219:K1282" si="43">J1219&amp;A1219</f>
        <v>colin14</v>
      </c>
      <c r="L1219">
        <f t="shared" ref="L1219:L1282" si="44">H1219^2</f>
        <v>20.520900000000001</v>
      </c>
    </row>
    <row r="1220" spans="1:12" x14ac:dyDescent="0.25">
      <c r="A1220">
        <v>14</v>
      </c>
      <c r="B1220" t="s">
        <v>49</v>
      </c>
      <c r="C1220" t="s">
        <v>32</v>
      </c>
      <c r="D1220" s="1" t="s">
        <v>1564</v>
      </c>
      <c r="E1220">
        <v>15.41</v>
      </c>
      <c r="F1220">
        <v>20.45</v>
      </c>
      <c r="G1220">
        <v>4.6900000000000004</v>
      </c>
      <c r="H1220">
        <v>7.88</v>
      </c>
      <c r="I1220">
        <v>12.57</v>
      </c>
      <c r="J1220" t="s">
        <v>360</v>
      </c>
      <c r="K1220" t="str">
        <f t="shared" si="43"/>
        <v>paul14</v>
      </c>
      <c r="L1220">
        <f t="shared" si="44"/>
        <v>62.0944</v>
      </c>
    </row>
    <row r="1221" spans="1:12" x14ac:dyDescent="0.25">
      <c r="A1221">
        <v>14</v>
      </c>
      <c r="B1221" t="s">
        <v>38</v>
      </c>
      <c r="C1221" t="s">
        <v>32</v>
      </c>
      <c r="D1221" s="1" t="s">
        <v>1565</v>
      </c>
      <c r="E1221">
        <v>14.16</v>
      </c>
      <c r="F1221">
        <v>18.420000000000002</v>
      </c>
      <c r="G1221">
        <v>4.7</v>
      </c>
      <c r="H1221">
        <v>6.86</v>
      </c>
      <c r="I1221">
        <v>11.56</v>
      </c>
      <c r="J1221" t="s">
        <v>360</v>
      </c>
      <c r="K1221" t="str">
        <f t="shared" si="43"/>
        <v>paul14</v>
      </c>
      <c r="L1221">
        <f t="shared" si="44"/>
        <v>47.059600000000003</v>
      </c>
    </row>
    <row r="1222" spans="1:12" x14ac:dyDescent="0.25">
      <c r="A1222">
        <v>14</v>
      </c>
      <c r="B1222" t="s">
        <v>246</v>
      </c>
      <c r="C1222" t="s">
        <v>53</v>
      </c>
      <c r="D1222" s="1" t="s">
        <v>1566</v>
      </c>
      <c r="E1222">
        <v>23.03</v>
      </c>
      <c r="F1222">
        <v>30.68</v>
      </c>
      <c r="G1222">
        <v>13.94</v>
      </c>
      <c r="H1222">
        <v>8.3699999999999992</v>
      </c>
      <c r="I1222">
        <v>22.31</v>
      </c>
      <c r="J1222" t="s">
        <v>351</v>
      </c>
      <c r="K1222" t="str">
        <f t="shared" si="43"/>
        <v>andrew14</v>
      </c>
      <c r="L1222">
        <f t="shared" si="44"/>
        <v>70.056899999999985</v>
      </c>
    </row>
    <row r="1223" spans="1:12" x14ac:dyDescent="0.25">
      <c r="A1223">
        <v>14</v>
      </c>
      <c r="B1223" t="s">
        <v>204</v>
      </c>
      <c r="C1223" t="s">
        <v>53</v>
      </c>
      <c r="D1223" s="1" t="s">
        <v>1567</v>
      </c>
      <c r="E1223">
        <v>20.079999999999998</v>
      </c>
      <c r="F1223">
        <v>26.97</v>
      </c>
      <c r="G1223">
        <v>12.03</v>
      </c>
      <c r="H1223">
        <v>7.47</v>
      </c>
      <c r="I1223">
        <v>19.5</v>
      </c>
      <c r="J1223" t="s">
        <v>352</v>
      </c>
      <c r="K1223" t="str">
        <f t="shared" si="43"/>
        <v>jake14</v>
      </c>
      <c r="L1223">
        <f t="shared" si="44"/>
        <v>55.800899999999999</v>
      </c>
    </row>
    <row r="1224" spans="1:12" x14ac:dyDescent="0.25">
      <c r="A1224">
        <v>14</v>
      </c>
      <c r="B1224" t="s">
        <v>290</v>
      </c>
      <c r="C1224" t="s">
        <v>53</v>
      </c>
      <c r="D1224" s="1" t="s">
        <v>1568</v>
      </c>
      <c r="E1224">
        <v>21.72</v>
      </c>
      <c r="F1224">
        <v>28.51</v>
      </c>
      <c r="G1224">
        <v>13.43</v>
      </c>
      <c r="H1224">
        <v>7.54</v>
      </c>
      <c r="I1224">
        <v>20.97</v>
      </c>
      <c r="J1224" t="s">
        <v>353</v>
      </c>
      <c r="K1224" t="str">
        <f t="shared" si="43"/>
        <v>breanna14</v>
      </c>
      <c r="L1224">
        <f t="shared" si="44"/>
        <v>56.851599999999998</v>
      </c>
    </row>
    <row r="1225" spans="1:12" x14ac:dyDescent="0.25">
      <c r="A1225">
        <v>14</v>
      </c>
      <c r="B1225" t="s">
        <v>364</v>
      </c>
      <c r="C1225" t="s">
        <v>53</v>
      </c>
      <c r="D1225" s="1" t="s">
        <v>1569</v>
      </c>
      <c r="E1225">
        <v>18.02</v>
      </c>
      <c r="F1225">
        <v>24.43</v>
      </c>
      <c r="G1225">
        <v>9.4700000000000006</v>
      </c>
      <c r="H1225">
        <v>7.48</v>
      </c>
      <c r="I1225">
        <v>16.95</v>
      </c>
      <c r="J1225" t="s">
        <v>354</v>
      </c>
      <c r="K1225" t="str">
        <f t="shared" si="43"/>
        <v>joseph14</v>
      </c>
      <c r="L1225">
        <f t="shared" si="44"/>
        <v>55.950400000000009</v>
      </c>
    </row>
    <row r="1226" spans="1:12" x14ac:dyDescent="0.25">
      <c r="A1226">
        <v>14</v>
      </c>
      <c r="B1226" t="s">
        <v>386</v>
      </c>
      <c r="C1226" t="s">
        <v>53</v>
      </c>
      <c r="D1226" s="1" t="s">
        <v>1570</v>
      </c>
      <c r="E1226">
        <v>21.83</v>
      </c>
      <c r="F1226">
        <v>27.13</v>
      </c>
      <c r="G1226">
        <v>15.13</v>
      </c>
      <c r="H1226">
        <v>6</v>
      </c>
      <c r="I1226">
        <v>21.13</v>
      </c>
      <c r="J1226" t="s">
        <v>355</v>
      </c>
      <c r="K1226" t="str">
        <f t="shared" si="43"/>
        <v>alyssa14</v>
      </c>
      <c r="L1226">
        <f t="shared" si="44"/>
        <v>36</v>
      </c>
    </row>
    <row r="1227" spans="1:12" x14ac:dyDescent="0.25">
      <c r="A1227">
        <v>14</v>
      </c>
      <c r="B1227" t="s">
        <v>156</v>
      </c>
      <c r="C1227" t="s">
        <v>53</v>
      </c>
      <c r="D1227" s="1" t="s">
        <v>1571</v>
      </c>
      <c r="E1227">
        <v>20.04</v>
      </c>
      <c r="F1227">
        <v>25.73</v>
      </c>
      <c r="G1227">
        <v>12.99</v>
      </c>
      <c r="H1227">
        <v>6.37</v>
      </c>
      <c r="I1227">
        <v>19.36</v>
      </c>
      <c r="J1227" t="s">
        <v>356</v>
      </c>
      <c r="K1227" t="str">
        <f t="shared" si="43"/>
        <v>chris14</v>
      </c>
      <c r="L1227">
        <f t="shared" si="44"/>
        <v>40.576900000000002</v>
      </c>
    </row>
    <row r="1228" spans="1:12" x14ac:dyDescent="0.25">
      <c r="A1228">
        <v>14</v>
      </c>
      <c r="B1228" t="s">
        <v>56</v>
      </c>
      <c r="C1228" t="s">
        <v>53</v>
      </c>
      <c r="D1228" s="1" t="s">
        <v>1572</v>
      </c>
      <c r="E1228">
        <v>23.39</v>
      </c>
      <c r="F1228">
        <v>30.12</v>
      </c>
      <c r="G1228">
        <v>15.3</v>
      </c>
      <c r="H1228">
        <v>7.41</v>
      </c>
      <c r="I1228">
        <v>22.71</v>
      </c>
      <c r="J1228" t="s">
        <v>357</v>
      </c>
      <c r="K1228" t="str">
        <f t="shared" si="43"/>
        <v>jordan14</v>
      </c>
      <c r="L1228">
        <f t="shared" si="44"/>
        <v>54.908100000000005</v>
      </c>
    </row>
    <row r="1229" spans="1:12" x14ac:dyDescent="0.25">
      <c r="A1229">
        <v>14</v>
      </c>
      <c r="B1229" t="s">
        <v>280</v>
      </c>
      <c r="C1229" t="s">
        <v>53</v>
      </c>
      <c r="D1229" s="1" t="s">
        <v>1573</v>
      </c>
      <c r="E1229">
        <v>20</v>
      </c>
      <c r="F1229">
        <v>26.69</v>
      </c>
      <c r="G1229">
        <v>11.09</v>
      </c>
      <c r="H1229">
        <v>7.8</v>
      </c>
      <c r="I1229">
        <v>18.89</v>
      </c>
      <c r="J1229" t="s">
        <v>358</v>
      </c>
      <c r="K1229" t="str">
        <f t="shared" si="43"/>
        <v>alex14</v>
      </c>
      <c r="L1229">
        <f t="shared" si="44"/>
        <v>60.839999999999996</v>
      </c>
    </row>
    <row r="1230" spans="1:12" x14ac:dyDescent="0.25">
      <c r="A1230">
        <v>14</v>
      </c>
      <c r="B1230" t="s">
        <v>52</v>
      </c>
      <c r="C1230" t="s">
        <v>53</v>
      </c>
      <c r="D1230" s="1" t="s">
        <v>1574</v>
      </c>
      <c r="E1230">
        <v>20.16</v>
      </c>
      <c r="F1230">
        <v>27.19</v>
      </c>
      <c r="G1230">
        <v>11.29</v>
      </c>
      <c r="H1230">
        <v>7.95</v>
      </c>
      <c r="I1230">
        <v>19.239999999999998</v>
      </c>
      <c r="J1230" t="s">
        <v>359</v>
      </c>
      <c r="K1230" t="str">
        <f t="shared" si="43"/>
        <v>colin14</v>
      </c>
      <c r="L1230">
        <f t="shared" si="44"/>
        <v>63.202500000000001</v>
      </c>
    </row>
    <row r="1231" spans="1:12" x14ac:dyDescent="0.25">
      <c r="A1231">
        <v>14</v>
      </c>
      <c r="B1231" t="s">
        <v>194</v>
      </c>
      <c r="C1231" t="s">
        <v>53</v>
      </c>
      <c r="D1231" s="1" t="s">
        <v>1575</v>
      </c>
      <c r="E1231">
        <v>23.47</v>
      </c>
      <c r="F1231">
        <v>30.27</v>
      </c>
      <c r="G1231">
        <v>15.89</v>
      </c>
      <c r="H1231">
        <v>7.19</v>
      </c>
      <c r="I1231">
        <v>23.08</v>
      </c>
      <c r="J1231" t="s">
        <v>360</v>
      </c>
      <c r="K1231" t="str">
        <f t="shared" si="43"/>
        <v>paul14</v>
      </c>
      <c r="L1231">
        <f t="shared" si="44"/>
        <v>51.696100000000008</v>
      </c>
    </row>
    <row r="1232" spans="1:12" x14ac:dyDescent="0.25">
      <c r="A1232">
        <v>14</v>
      </c>
      <c r="B1232" t="s">
        <v>497</v>
      </c>
      <c r="C1232" t="s">
        <v>57</v>
      </c>
      <c r="D1232" s="1" t="s">
        <v>1576</v>
      </c>
      <c r="E1232">
        <v>7.78</v>
      </c>
      <c r="F1232">
        <v>10.45</v>
      </c>
      <c r="G1232">
        <v>1.41</v>
      </c>
      <c r="H1232">
        <v>4.5199999999999996</v>
      </c>
      <c r="I1232">
        <v>5.93</v>
      </c>
      <c r="J1232" t="s">
        <v>351</v>
      </c>
      <c r="K1232" t="str">
        <f t="shared" si="43"/>
        <v>andrew14</v>
      </c>
      <c r="L1232">
        <f t="shared" si="44"/>
        <v>20.430399999999995</v>
      </c>
    </row>
    <row r="1233" spans="1:12" x14ac:dyDescent="0.25">
      <c r="A1233">
        <v>14</v>
      </c>
      <c r="B1233" t="s">
        <v>60</v>
      </c>
      <c r="C1233" t="s">
        <v>57</v>
      </c>
      <c r="D1233" s="1" t="s">
        <v>1577</v>
      </c>
      <c r="E1233">
        <v>9.1300000000000008</v>
      </c>
      <c r="F1233">
        <v>11.92</v>
      </c>
      <c r="G1233">
        <v>1.82</v>
      </c>
      <c r="H1233">
        <v>5.05</v>
      </c>
      <c r="I1233">
        <v>6.87</v>
      </c>
      <c r="J1233" t="s">
        <v>352</v>
      </c>
      <c r="K1233" t="str">
        <f t="shared" si="43"/>
        <v>jake14</v>
      </c>
      <c r="L1233">
        <f t="shared" si="44"/>
        <v>25.502499999999998</v>
      </c>
    </row>
    <row r="1234" spans="1:12" x14ac:dyDescent="0.25">
      <c r="A1234">
        <v>14</v>
      </c>
      <c r="B1234" t="s">
        <v>368</v>
      </c>
      <c r="C1234" t="s">
        <v>57</v>
      </c>
      <c r="D1234" s="1" t="s">
        <v>1578</v>
      </c>
      <c r="E1234">
        <v>6.27</v>
      </c>
      <c r="F1234">
        <v>8.91</v>
      </c>
      <c r="G1234">
        <v>0.61</v>
      </c>
      <c r="H1234">
        <v>4.1500000000000004</v>
      </c>
      <c r="I1234">
        <v>4.76</v>
      </c>
      <c r="J1234" t="s">
        <v>353</v>
      </c>
      <c r="K1234" t="str">
        <f t="shared" si="43"/>
        <v>breanna14</v>
      </c>
      <c r="L1234">
        <f t="shared" si="44"/>
        <v>17.222500000000004</v>
      </c>
    </row>
    <row r="1235" spans="1:12" x14ac:dyDescent="0.25">
      <c r="A1235">
        <v>14</v>
      </c>
      <c r="B1235" t="s">
        <v>61</v>
      </c>
      <c r="C1235" t="s">
        <v>57</v>
      </c>
      <c r="D1235" s="1" t="s">
        <v>1579</v>
      </c>
      <c r="E1235">
        <v>12.66</v>
      </c>
      <c r="F1235">
        <v>15.72</v>
      </c>
      <c r="G1235">
        <v>4.34</v>
      </c>
      <c r="H1235">
        <v>5.69</v>
      </c>
      <c r="I1235">
        <v>10.029999999999999</v>
      </c>
      <c r="J1235" t="s">
        <v>354</v>
      </c>
      <c r="K1235" t="str">
        <f t="shared" si="43"/>
        <v>joseph14</v>
      </c>
      <c r="L1235">
        <f t="shared" si="44"/>
        <v>32.376100000000001</v>
      </c>
    </row>
    <row r="1236" spans="1:12" x14ac:dyDescent="0.25">
      <c r="A1236">
        <v>14</v>
      </c>
      <c r="B1236" t="s">
        <v>182</v>
      </c>
      <c r="C1236" t="s">
        <v>57</v>
      </c>
      <c r="D1236" s="1" t="s">
        <v>1580</v>
      </c>
      <c r="E1236">
        <v>3.29</v>
      </c>
      <c r="F1236">
        <v>4.72</v>
      </c>
      <c r="G1236">
        <v>-0.04</v>
      </c>
      <c r="H1236">
        <v>2.38</v>
      </c>
      <c r="I1236">
        <v>2.34</v>
      </c>
      <c r="J1236" t="s">
        <v>355</v>
      </c>
      <c r="K1236" t="str">
        <f t="shared" si="43"/>
        <v>alyssa14</v>
      </c>
      <c r="L1236">
        <f t="shared" si="44"/>
        <v>5.6643999999999997</v>
      </c>
    </row>
    <row r="1237" spans="1:12" x14ac:dyDescent="0.25">
      <c r="A1237">
        <v>14</v>
      </c>
      <c r="B1237" t="s">
        <v>58</v>
      </c>
      <c r="C1237" t="s">
        <v>57</v>
      </c>
      <c r="D1237" s="1" t="s">
        <v>1581</v>
      </c>
      <c r="E1237">
        <v>9.6300000000000008</v>
      </c>
      <c r="F1237">
        <v>12.65</v>
      </c>
      <c r="G1237">
        <v>2.31</v>
      </c>
      <c r="H1237">
        <v>5.17</v>
      </c>
      <c r="I1237">
        <v>7.48</v>
      </c>
      <c r="J1237" t="s">
        <v>356</v>
      </c>
      <c r="K1237" t="str">
        <f t="shared" si="43"/>
        <v>chris14</v>
      </c>
      <c r="L1237">
        <f t="shared" si="44"/>
        <v>26.728899999999999</v>
      </c>
    </row>
    <row r="1238" spans="1:12" x14ac:dyDescent="0.25">
      <c r="A1238">
        <v>14</v>
      </c>
      <c r="B1238" t="s">
        <v>62</v>
      </c>
      <c r="C1238" t="s">
        <v>57</v>
      </c>
      <c r="D1238" s="1" t="s">
        <v>1582</v>
      </c>
      <c r="E1238">
        <v>11.27</v>
      </c>
      <c r="F1238">
        <v>14.46</v>
      </c>
      <c r="G1238">
        <v>3.18</v>
      </c>
      <c r="H1238">
        <v>5.64</v>
      </c>
      <c r="I1238">
        <v>8.82</v>
      </c>
      <c r="J1238" t="s">
        <v>357</v>
      </c>
      <c r="K1238" t="str">
        <f t="shared" si="43"/>
        <v>jordan14</v>
      </c>
      <c r="L1238">
        <f t="shared" si="44"/>
        <v>31.809599999999996</v>
      </c>
    </row>
    <row r="1239" spans="1:12" x14ac:dyDescent="0.25">
      <c r="A1239">
        <v>14</v>
      </c>
      <c r="B1239" t="s">
        <v>163</v>
      </c>
      <c r="C1239" t="s">
        <v>57</v>
      </c>
      <c r="D1239" s="1" t="s">
        <v>1583</v>
      </c>
      <c r="E1239">
        <v>8.3699999999999992</v>
      </c>
      <c r="F1239">
        <v>10.59</v>
      </c>
      <c r="G1239">
        <v>1.83</v>
      </c>
      <c r="H1239">
        <v>4.38</v>
      </c>
      <c r="I1239">
        <v>6.21</v>
      </c>
      <c r="J1239" t="s">
        <v>358</v>
      </c>
      <c r="K1239" t="str">
        <f t="shared" si="43"/>
        <v>alex14</v>
      </c>
      <c r="L1239">
        <f t="shared" si="44"/>
        <v>19.1844</v>
      </c>
    </row>
    <row r="1240" spans="1:12" x14ac:dyDescent="0.25">
      <c r="A1240">
        <v>14</v>
      </c>
      <c r="B1240" t="s">
        <v>73</v>
      </c>
      <c r="C1240" t="s">
        <v>57</v>
      </c>
      <c r="D1240" s="1" t="s">
        <v>1584</v>
      </c>
      <c r="E1240">
        <v>9.69</v>
      </c>
      <c r="F1240">
        <v>12.28</v>
      </c>
      <c r="G1240">
        <v>2.2999999999999998</v>
      </c>
      <c r="H1240">
        <v>4.99</v>
      </c>
      <c r="I1240">
        <v>7.29</v>
      </c>
      <c r="J1240" t="s">
        <v>359</v>
      </c>
      <c r="K1240" t="str">
        <f t="shared" si="43"/>
        <v>colin14</v>
      </c>
      <c r="L1240">
        <f t="shared" si="44"/>
        <v>24.900100000000002</v>
      </c>
    </row>
    <row r="1241" spans="1:12" x14ac:dyDescent="0.25">
      <c r="A1241">
        <v>14</v>
      </c>
      <c r="B1241" t="s">
        <v>59</v>
      </c>
      <c r="C1241" t="s">
        <v>57</v>
      </c>
      <c r="D1241" s="1" t="s">
        <v>1585</v>
      </c>
      <c r="E1241">
        <v>9.27</v>
      </c>
      <c r="F1241">
        <v>12.61</v>
      </c>
      <c r="G1241">
        <v>1.21</v>
      </c>
      <c r="H1241">
        <v>5.7</v>
      </c>
      <c r="I1241">
        <v>6.91</v>
      </c>
      <c r="J1241" t="s">
        <v>360</v>
      </c>
      <c r="K1241" t="str">
        <f t="shared" si="43"/>
        <v>paul14</v>
      </c>
      <c r="L1241">
        <f t="shared" si="44"/>
        <v>32.49</v>
      </c>
    </row>
    <row r="1242" spans="1:12" x14ac:dyDescent="0.25">
      <c r="A1242">
        <v>14</v>
      </c>
      <c r="B1242" t="s">
        <v>787</v>
      </c>
      <c r="C1242" t="s">
        <v>63</v>
      </c>
      <c r="D1242" s="1" t="s">
        <v>687</v>
      </c>
      <c r="E1242">
        <v>9.7620000000000005</v>
      </c>
      <c r="F1242">
        <v>16.07</v>
      </c>
      <c r="G1242">
        <v>3.47</v>
      </c>
      <c r="H1242">
        <v>6.3</v>
      </c>
      <c r="I1242">
        <v>9.7620000000000005</v>
      </c>
      <c r="J1242" t="s">
        <v>351</v>
      </c>
      <c r="K1242" t="str">
        <f t="shared" si="43"/>
        <v>andrew14</v>
      </c>
      <c r="L1242">
        <f t="shared" si="44"/>
        <v>39.69</v>
      </c>
    </row>
    <row r="1243" spans="1:12" x14ac:dyDescent="0.25">
      <c r="A1243">
        <v>14</v>
      </c>
      <c r="B1243" t="s">
        <v>318</v>
      </c>
      <c r="C1243" t="s">
        <v>63</v>
      </c>
      <c r="D1243" s="1" t="s">
        <v>1586</v>
      </c>
      <c r="E1243">
        <v>8.49</v>
      </c>
      <c r="F1243">
        <v>14.14</v>
      </c>
      <c r="G1243">
        <v>2.84</v>
      </c>
      <c r="H1243">
        <v>5.65</v>
      </c>
      <c r="I1243">
        <v>8.49</v>
      </c>
      <c r="J1243" t="s">
        <v>352</v>
      </c>
      <c r="K1243" t="str">
        <f t="shared" si="43"/>
        <v>jake14</v>
      </c>
      <c r="L1243">
        <f t="shared" si="44"/>
        <v>31.922500000000003</v>
      </c>
    </row>
    <row r="1244" spans="1:12" x14ac:dyDescent="0.25">
      <c r="A1244">
        <v>14</v>
      </c>
      <c r="B1244" t="s">
        <v>195</v>
      </c>
      <c r="C1244" t="s">
        <v>63</v>
      </c>
      <c r="D1244" s="1" t="s">
        <v>697</v>
      </c>
      <c r="E1244">
        <v>10.801</v>
      </c>
      <c r="F1244">
        <v>17.690000000000001</v>
      </c>
      <c r="G1244">
        <v>3.89</v>
      </c>
      <c r="H1244">
        <v>6.9</v>
      </c>
      <c r="I1244">
        <v>10.801</v>
      </c>
      <c r="J1244" t="s">
        <v>353</v>
      </c>
      <c r="K1244" t="str">
        <f t="shared" si="43"/>
        <v>breanna14</v>
      </c>
      <c r="L1244">
        <f t="shared" si="44"/>
        <v>47.610000000000007</v>
      </c>
    </row>
    <row r="1245" spans="1:12" x14ac:dyDescent="0.25">
      <c r="A1245">
        <v>14</v>
      </c>
      <c r="B1245" t="s">
        <v>372</v>
      </c>
      <c r="C1245" t="s">
        <v>63</v>
      </c>
      <c r="D1245" s="1" t="s">
        <v>1587</v>
      </c>
      <c r="E1245">
        <v>9.0890000000000004</v>
      </c>
      <c r="F1245">
        <v>15.06</v>
      </c>
      <c r="G1245">
        <v>3.14</v>
      </c>
      <c r="H1245">
        <v>5.96</v>
      </c>
      <c r="I1245">
        <v>9.0890000000000004</v>
      </c>
      <c r="J1245" t="s">
        <v>354</v>
      </c>
      <c r="K1245" t="str">
        <f t="shared" si="43"/>
        <v>joseph14</v>
      </c>
      <c r="L1245">
        <f t="shared" si="44"/>
        <v>35.521599999999999</v>
      </c>
    </row>
    <row r="1246" spans="1:12" x14ac:dyDescent="0.25">
      <c r="A1246">
        <v>14</v>
      </c>
      <c r="B1246" t="s">
        <v>374</v>
      </c>
      <c r="C1246" t="s">
        <v>63</v>
      </c>
      <c r="D1246" s="1" t="s">
        <v>699</v>
      </c>
      <c r="E1246">
        <v>7.5648999999999997</v>
      </c>
      <c r="F1246">
        <v>13.33</v>
      </c>
      <c r="G1246">
        <v>1.79</v>
      </c>
      <c r="H1246">
        <v>5.77</v>
      </c>
      <c r="I1246">
        <v>7.5648999999999997</v>
      </c>
      <c r="J1246" t="s">
        <v>355</v>
      </c>
      <c r="K1246" t="str">
        <f t="shared" si="43"/>
        <v>alyssa14</v>
      </c>
      <c r="L1246">
        <f t="shared" si="44"/>
        <v>33.292899999999996</v>
      </c>
    </row>
    <row r="1247" spans="1:12" x14ac:dyDescent="0.25">
      <c r="A1247">
        <v>14</v>
      </c>
      <c r="B1247" t="s">
        <v>154</v>
      </c>
      <c r="C1247" t="s">
        <v>63</v>
      </c>
      <c r="D1247" s="1" t="s">
        <v>610</v>
      </c>
      <c r="E1247">
        <v>11.478400000000001</v>
      </c>
      <c r="F1247">
        <v>17.03</v>
      </c>
      <c r="G1247">
        <v>5.93</v>
      </c>
      <c r="H1247">
        <v>5.55</v>
      </c>
      <c r="I1247">
        <v>11.478400000000001</v>
      </c>
      <c r="J1247" t="s">
        <v>356</v>
      </c>
      <c r="K1247" t="str">
        <f t="shared" si="43"/>
        <v>chris14</v>
      </c>
      <c r="L1247">
        <f t="shared" si="44"/>
        <v>30.802499999999998</v>
      </c>
    </row>
    <row r="1248" spans="1:12" x14ac:dyDescent="0.25">
      <c r="A1248">
        <v>14</v>
      </c>
      <c r="B1248" t="s">
        <v>166</v>
      </c>
      <c r="C1248" t="s">
        <v>63</v>
      </c>
      <c r="D1248" s="1" t="s">
        <v>1588</v>
      </c>
      <c r="E1248">
        <v>9.8651999999999997</v>
      </c>
      <c r="F1248">
        <v>17.54</v>
      </c>
      <c r="G1248">
        <v>2.2400000000000002</v>
      </c>
      <c r="H1248">
        <v>7.65</v>
      </c>
      <c r="I1248">
        <v>9.8651999999999997</v>
      </c>
      <c r="J1248" t="s">
        <v>357</v>
      </c>
      <c r="K1248" t="str">
        <f t="shared" si="43"/>
        <v>jordan14</v>
      </c>
      <c r="L1248">
        <f t="shared" si="44"/>
        <v>58.522500000000008</v>
      </c>
    </row>
    <row r="1249" spans="1:12" x14ac:dyDescent="0.25">
      <c r="A1249">
        <v>14</v>
      </c>
      <c r="B1249" t="s">
        <v>178</v>
      </c>
      <c r="C1249" t="s">
        <v>63</v>
      </c>
      <c r="D1249" s="1" t="s">
        <v>1589</v>
      </c>
      <c r="E1249">
        <v>7.9987000000000004</v>
      </c>
      <c r="F1249">
        <v>14.17</v>
      </c>
      <c r="G1249">
        <v>1.85</v>
      </c>
      <c r="H1249">
        <v>6.16</v>
      </c>
      <c r="I1249">
        <v>7.9987000000000004</v>
      </c>
      <c r="J1249" t="s">
        <v>358</v>
      </c>
      <c r="K1249" t="str">
        <f t="shared" si="43"/>
        <v>alex14</v>
      </c>
      <c r="L1249">
        <f t="shared" si="44"/>
        <v>37.945599999999999</v>
      </c>
    </row>
    <row r="1250" spans="1:12" x14ac:dyDescent="0.25">
      <c r="A1250">
        <v>14</v>
      </c>
      <c r="B1250" t="s">
        <v>257</v>
      </c>
      <c r="C1250" t="s">
        <v>63</v>
      </c>
      <c r="D1250" s="1" t="s">
        <v>1590</v>
      </c>
      <c r="E1250">
        <v>9.7805999999999997</v>
      </c>
      <c r="F1250">
        <v>15.6</v>
      </c>
      <c r="G1250">
        <v>3.92</v>
      </c>
      <c r="H1250">
        <v>5.84</v>
      </c>
      <c r="I1250">
        <v>9.7805999999999997</v>
      </c>
      <c r="J1250" t="s">
        <v>359</v>
      </c>
      <c r="K1250" t="str">
        <f t="shared" si="43"/>
        <v>colin14</v>
      </c>
      <c r="L1250">
        <f t="shared" si="44"/>
        <v>34.105599999999995</v>
      </c>
    </row>
    <row r="1251" spans="1:12" x14ac:dyDescent="0.25">
      <c r="A1251">
        <v>14</v>
      </c>
      <c r="B1251" t="s">
        <v>255</v>
      </c>
      <c r="C1251" t="s">
        <v>63</v>
      </c>
      <c r="D1251" s="1" t="s">
        <v>1591</v>
      </c>
      <c r="E1251">
        <v>5.7619999999999996</v>
      </c>
      <c r="F1251">
        <v>10.98</v>
      </c>
      <c r="G1251">
        <v>0.56000000000000005</v>
      </c>
      <c r="H1251">
        <v>5.21</v>
      </c>
      <c r="I1251">
        <v>5.7619999999999996</v>
      </c>
      <c r="J1251" t="s">
        <v>360</v>
      </c>
      <c r="K1251" t="str">
        <f t="shared" si="43"/>
        <v>paul14</v>
      </c>
      <c r="L1251">
        <f t="shared" si="44"/>
        <v>27.144099999999998</v>
      </c>
    </row>
    <row r="1252" spans="1:12" x14ac:dyDescent="0.25">
      <c r="A1252">
        <v>14</v>
      </c>
      <c r="B1252" t="s">
        <v>159</v>
      </c>
      <c r="C1252" t="s">
        <v>64</v>
      </c>
      <c r="D1252" s="1" t="s">
        <v>1592</v>
      </c>
      <c r="E1252">
        <v>7.4</v>
      </c>
      <c r="F1252">
        <v>11.47</v>
      </c>
      <c r="G1252">
        <v>3.39</v>
      </c>
      <c r="H1252">
        <v>4.04</v>
      </c>
      <c r="I1252">
        <v>7.43</v>
      </c>
      <c r="J1252" t="s">
        <v>351</v>
      </c>
      <c r="K1252" t="str">
        <f t="shared" si="43"/>
        <v>andrew14</v>
      </c>
      <c r="L1252">
        <f t="shared" si="44"/>
        <v>16.3216</v>
      </c>
    </row>
    <row r="1253" spans="1:12" x14ac:dyDescent="0.25">
      <c r="A1253">
        <v>14</v>
      </c>
      <c r="B1253" t="s">
        <v>155</v>
      </c>
      <c r="C1253" t="s">
        <v>64</v>
      </c>
      <c r="D1253" s="1" t="s">
        <v>1593</v>
      </c>
      <c r="E1253">
        <v>10.050000000000001</v>
      </c>
      <c r="F1253">
        <v>14.04</v>
      </c>
      <c r="G1253">
        <v>6.06</v>
      </c>
      <c r="H1253">
        <v>3.99</v>
      </c>
      <c r="I1253">
        <v>10.050000000000001</v>
      </c>
      <c r="J1253" t="s">
        <v>352</v>
      </c>
      <c r="K1253" t="str">
        <f t="shared" si="43"/>
        <v>jake14</v>
      </c>
      <c r="L1253">
        <f t="shared" si="44"/>
        <v>15.920100000000001</v>
      </c>
    </row>
    <row r="1254" spans="1:12" x14ac:dyDescent="0.25">
      <c r="A1254">
        <v>14</v>
      </c>
      <c r="B1254" t="s">
        <v>149</v>
      </c>
      <c r="C1254" t="s">
        <v>64</v>
      </c>
      <c r="D1254" s="1" t="s">
        <v>1594</v>
      </c>
      <c r="E1254">
        <v>9.26</v>
      </c>
      <c r="F1254">
        <v>13.59</v>
      </c>
      <c r="G1254">
        <v>5.01</v>
      </c>
      <c r="H1254">
        <v>4.29</v>
      </c>
      <c r="I1254">
        <v>9.3000000000000007</v>
      </c>
      <c r="J1254" t="s">
        <v>353</v>
      </c>
      <c r="K1254" t="str">
        <f t="shared" si="43"/>
        <v>breanna14</v>
      </c>
      <c r="L1254">
        <f t="shared" si="44"/>
        <v>18.4041</v>
      </c>
    </row>
    <row r="1255" spans="1:12" x14ac:dyDescent="0.25">
      <c r="A1255">
        <v>14</v>
      </c>
      <c r="B1255" t="s">
        <v>376</v>
      </c>
      <c r="C1255" t="s">
        <v>64</v>
      </c>
      <c r="D1255" s="1" t="s">
        <v>1595</v>
      </c>
      <c r="E1255">
        <v>8.2100000000000009</v>
      </c>
      <c r="F1255">
        <v>11.66</v>
      </c>
      <c r="G1255">
        <v>4.8</v>
      </c>
      <c r="H1255">
        <v>3.43</v>
      </c>
      <c r="I1255">
        <v>8.23</v>
      </c>
      <c r="J1255" t="s">
        <v>354</v>
      </c>
      <c r="K1255" t="str">
        <f t="shared" si="43"/>
        <v>joseph14</v>
      </c>
      <c r="L1255">
        <f t="shared" si="44"/>
        <v>11.764900000000001</v>
      </c>
    </row>
    <row r="1256" spans="1:12" x14ac:dyDescent="0.25">
      <c r="A1256">
        <v>14</v>
      </c>
      <c r="B1256" t="s">
        <v>65</v>
      </c>
      <c r="C1256" t="s">
        <v>64</v>
      </c>
      <c r="D1256" s="1" t="s">
        <v>1596</v>
      </c>
      <c r="E1256">
        <v>8.23</v>
      </c>
      <c r="F1256">
        <v>11.99</v>
      </c>
      <c r="G1256">
        <v>4.41</v>
      </c>
      <c r="H1256">
        <v>3.79</v>
      </c>
      <c r="I1256">
        <v>8.1999999999999993</v>
      </c>
      <c r="J1256" t="s">
        <v>355</v>
      </c>
      <c r="K1256" t="str">
        <f t="shared" si="43"/>
        <v>alyssa14</v>
      </c>
      <c r="L1256">
        <f t="shared" si="44"/>
        <v>14.364100000000001</v>
      </c>
    </row>
    <row r="1257" spans="1:12" x14ac:dyDescent="0.25">
      <c r="A1257">
        <v>14</v>
      </c>
      <c r="B1257" t="s">
        <v>262</v>
      </c>
      <c r="C1257" t="s">
        <v>64</v>
      </c>
      <c r="D1257" s="1" t="s">
        <v>1597</v>
      </c>
      <c r="E1257">
        <v>8.51</v>
      </c>
      <c r="F1257">
        <v>12.48</v>
      </c>
      <c r="G1257">
        <v>4.54</v>
      </c>
      <c r="H1257">
        <v>3.97</v>
      </c>
      <c r="I1257">
        <v>8.51</v>
      </c>
      <c r="J1257" t="s">
        <v>356</v>
      </c>
      <c r="K1257" t="str">
        <f t="shared" si="43"/>
        <v>chris14</v>
      </c>
      <c r="L1257">
        <f t="shared" si="44"/>
        <v>15.760900000000001</v>
      </c>
    </row>
    <row r="1258" spans="1:12" x14ac:dyDescent="0.25">
      <c r="A1258">
        <v>14</v>
      </c>
      <c r="B1258" t="s">
        <v>66</v>
      </c>
      <c r="C1258" t="s">
        <v>64</v>
      </c>
      <c r="D1258" s="1" t="s">
        <v>1598</v>
      </c>
      <c r="E1258">
        <v>8.6199999999999992</v>
      </c>
      <c r="F1258">
        <v>12.83</v>
      </c>
      <c r="G1258">
        <v>4.33</v>
      </c>
      <c r="H1258">
        <v>4.25</v>
      </c>
      <c r="I1258">
        <v>8.58</v>
      </c>
      <c r="J1258" t="s">
        <v>357</v>
      </c>
      <c r="K1258" t="str">
        <f t="shared" si="43"/>
        <v>jordan14</v>
      </c>
      <c r="L1258">
        <f t="shared" si="44"/>
        <v>18.0625</v>
      </c>
    </row>
    <row r="1259" spans="1:12" x14ac:dyDescent="0.25">
      <c r="A1259">
        <v>14</v>
      </c>
      <c r="B1259" t="s">
        <v>378</v>
      </c>
      <c r="C1259" t="s">
        <v>64</v>
      </c>
      <c r="D1259" s="1" t="s">
        <v>1599</v>
      </c>
      <c r="E1259">
        <v>8.35</v>
      </c>
      <c r="F1259">
        <v>12.06</v>
      </c>
      <c r="G1259">
        <v>4.5599999999999996</v>
      </c>
      <c r="H1259">
        <v>3.75</v>
      </c>
      <c r="I1259">
        <v>8.31</v>
      </c>
      <c r="J1259" t="s">
        <v>358</v>
      </c>
      <c r="K1259" t="str">
        <f t="shared" si="43"/>
        <v>alex14</v>
      </c>
      <c r="L1259">
        <f t="shared" si="44"/>
        <v>14.0625</v>
      </c>
    </row>
    <row r="1260" spans="1:12" x14ac:dyDescent="0.25">
      <c r="A1260">
        <v>14</v>
      </c>
      <c r="B1260" t="s">
        <v>261</v>
      </c>
      <c r="C1260" t="s">
        <v>64</v>
      </c>
      <c r="D1260" s="1" t="s">
        <v>1600</v>
      </c>
      <c r="E1260">
        <v>7.49</v>
      </c>
      <c r="F1260">
        <v>11.99</v>
      </c>
      <c r="G1260">
        <v>3.07</v>
      </c>
      <c r="H1260">
        <v>4.46</v>
      </c>
      <c r="I1260">
        <v>7.53</v>
      </c>
      <c r="J1260" t="s">
        <v>359</v>
      </c>
      <c r="K1260" t="str">
        <f t="shared" si="43"/>
        <v>colin14</v>
      </c>
      <c r="L1260">
        <f t="shared" si="44"/>
        <v>19.8916</v>
      </c>
    </row>
    <row r="1261" spans="1:12" x14ac:dyDescent="0.25">
      <c r="A1261">
        <v>14</v>
      </c>
      <c r="B1261" t="s">
        <v>167</v>
      </c>
      <c r="C1261" t="s">
        <v>64</v>
      </c>
      <c r="D1261" s="1" t="s">
        <v>1601</v>
      </c>
      <c r="E1261">
        <v>9.6199999999999992</v>
      </c>
      <c r="F1261">
        <v>13.25</v>
      </c>
      <c r="G1261">
        <v>5.97</v>
      </c>
      <c r="H1261">
        <v>3.64</v>
      </c>
      <c r="I1261">
        <v>9.61</v>
      </c>
      <c r="J1261" t="s">
        <v>360</v>
      </c>
      <c r="K1261" t="str">
        <f t="shared" si="43"/>
        <v>paul14</v>
      </c>
      <c r="L1261">
        <f t="shared" si="44"/>
        <v>13.249600000000001</v>
      </c>
    </row>
    <row r="1262" spans="1:12" x14ac:dyDescent="0.25">
      <c r="A1262">
        <v>15</v>
      </c>
      <c r="B1262" t="s">
        <v>68</v>
      </c>
      <c r="C1262" t="s">
        <v>10</v>
      </c>
      <c r="D1262" s="1" t="s">
        <v>1602</v>
      </c>
      <c r="E1262">
        <v>15.99</v>
      </c>
      <c r="F1262">
        <v>21.55</v>
      </c>
      <c r="G1262">
        <v>7.77</v>
      </c>
      <c r="H1262">
        <v>6.89</v>
      </c>
      <c r="I1262">
        <v>14.66</v>
      </c>
      <c r="J1262" t="s">
        <v>351</v>
      </c>
      <c r="K1262" t="str">
        <f t="shared" si="43"/>
        <v>andrew15</v>
      </c>
      <c r="L1262">
        <f t="shared" si="44"/>
        <v>47.472099999999998</v>
      </c>
    </row>
    <row r="1263" spans="1:12" x14ac:dyDescent="0.25">
      <c r="A1263">
        <v>15</v>
      </c>
      <c r="B1263" t="s">
        <v>1077</v>
      </c>
      <c r="C1263" t="s">
        <v>10</v>
      </c>
      <c r="D1263" s="1" t="s">
        <v>1603</v>
      </c>
      <c r="E1263">
        <v>11.2</v>
      </c>
      <c r="F1263">
        <v>15.84</v>
      </c>
      <c r="G1263">
        <v>3.1</v>
      </c>
      <c r="H1263">
        <v>6.37</v>
      </c>
      <c r="I1263">
        <v>9.4700000000000006</v>
      </c>
      <c r="J1263" t="s">
        <v>351</v>
      </c>
      <c r="K1263" t="str">
        <f t="shared" si="43"/>
        <v>andrew15</v>
      </c>
      <c r="L1263">
        <f t="shared" si="44"/>
        <v>40.576900000000002</v>
      </c>
    </row>
    <row r="1264" spans="1:12" x14ac:dyDescent="0.25">
      <c r="A1264">
        <v>15</v>
      </c>
      <c r="B1264" t="s">
        <v>20</v>
      </c>
      <c r="C1264" t="s">
        <v>10</v>
      </c>
      <c r="D1264" s="1" t="s">
        <v>1604</v>
      </c>
      <c r="E1264">
        <v>16.16</v>
      </c>
      <c r="F1264">
        <v>22.07</v>
      </c>
      <c r="G1264">
        <v>6.65</v>
      </c>
      <c r="H1264">
        <v>7.71</v>
      </c>
      <c r="I1264">
        <v>14.36</v>
      </c>
      <c r="J1264" t="s">
        <v>352</v>
      </c>
      <c r="K1264" t="str">
        <f t="shared" si="43"/>
        <v>jake15</v>
      </c>
      <c r="L1264">
        <f t="shared" si="44"/>
        <v>59.444099999999999</v>
      </c>
    </row>
    <row r="1265" spans="1:12" x14ac:dyDescent="0.25">
      <c r="A1265">
        <v>15</v>
      </c>
      <c r="B1265" t="s">
        <v>181</v>
      </c>
      <c r="C1265" t="s">
        <v>10</v>
      </c>
      <c r="D1265" s="1" t="s">
        <v>1605</v>
      </c>
      <c r="E1265">
        <v>14.81</v>
      </c>
      <c r="F1265">
        <v>20.02</v>
      </c>
      <c r="G1265">
        <v>4.38</v>
      </c>
      <c r="H1265">
        <v>7.82</v>
      </c>
      <c r="I1265">
        <v>12.2</v>
      </c>
      <c r="J1265" t="s">
        <v>352</v>
      </c>
      <c r="K1265" t="str">
        <f t="shared" si="43"/>
        <v>jake15</v>
      </c>
      <c r="L1265">
        <f t="shared" si="44"/>
        <v>61.152400000000007</v>
      </c>
    </row>
    <row r="1266" spans="1:12" x14ac:dyDescent="0.25">
      <c r="A1266">
        <v>15</v>
      </c>
      <c r="B1266" t="s">
        <v>27</v>
      </c>
      <c r="C1266" t="s">
        <v>10</v>
      </c>
      <c r="D1266" s="1" t="s">
        <v>1606</v>
      </c>
      <c r="E1266">
        <v>20.010000000000002</v>
      </c>
      <c r="F1266">
        <v>25.92</v>
      </c>
      <c r="G1266">
        <v>9.32</v>
      </c>
      <c r="H1266">
        <v>8.3000000000000007</v>
      </c>
      <c r="I1266">
        <v>17.62</v>
      </c>
      <c r="J1266" t="s">
        <v>353</v>
      </c>
      <c r="K1266" t="str">
        <f t="shared" si="43"/>
        <v>breanna15</v>
      </c>
      <c r="L1266">
        <f t="shared" si="44"/>
        <v>68.890000000000015</v>
      </c>
    </row>
    <row r="1267" spans="1:12" x14ac:dyDescent="0.25">
      <c r="A1267">
        <v>15</v>
      </c>
      <c r="B1267" t="s">
        <v>219</v>
      </c>
      <c r="C1267" t="s">
        <v>10</v>
      </c>
      <c r="D1267" s="1" t="s">
        <v>1607</v>
      </c>
      <c r="E1267">
        <v>13.04</v>
      </c>
      <c r="F1267">
        <v>17.829999999999998</v>
      </c>
      <c r="G1267">
        <v>5.75</v>
      </c>
      <c r="H1267">
        <v>6.04</v>
      </c>
      <c r="I1267">
        <v>11.79</v>
      </c>
      <c r="J1267" t="s">
        <v>353</v>
      </c>
      <c r="K1267" t="str">
        <f t="shared" si="43"/>
        <v>breanna15</v>
      </c>
      <c r="L1267">
        <f t="shared" si="44"/>
        <v>36.4816</v>
      </c>
    </row>
    <row r="1268" spans="1:12" x14ac:dyDescent="0.25">
      <c r="A1268">
        <v>15</v>
      </c>
      <c r="B1268" t="s">
        <v>22</v>
      </c>
      <c r="C1268" t="s">
        <v>10</v>
      </c>
      <c r="D1268" s="1" t="s">
        <v>1608</v>
      </c>
      <c r="E1268">
        <v>9.3800000000000008</v>
      </c>
      <c r="F1268">
        <v>15.06</v>
      </c>
      <c r="G1268">
        <v>1.46</v>
      </c>
      <c r="H1268">
        <v>6.8</v>
      </c>
      <c r="I1268">
        <v>8.26</v>
      </c>
      <c r="J1268" t="s">
        <v>353</v>
      </c>
      <c r="K1268" t="str">
        <f t="shared" si="43"/>
        <v>breanna15</v>
      </c>
      <c r="L1268">
        <f t="shared" si="44"/>
        <v>46.239999999999995</v>
      </c>
    </row>
    <row r="1269" spans="1:12" x14ac:dyDescent="0.25">
      <c r="A1269">
        <v>15</v>
      </c>
      <c r="B1269" t="s">
        <v>216</v>
      </c>
      <c r="C1269" t="s">
        <v>10</v>
      </c>
      <c r="D1269" s="1" t="s">
        <v>1609</v>
      </c>
      <c r="E1269">
        <v>16.54</v>
      </c>
      <c r="F1269">
        <v>22.59</v>
      </c>
      <c r="G1269">
        <v>6.05</v>
      </c>
      <c r="H1269">
        <v>8.27</v>
      </c>
      <c r="I1269">
        <v>14.32</v>
      </c>
      <c r="J1269" t="s">
        <v>354</v>
      </c>
      <c r="K1269" t="str">
        <f t="shared" si="43"/>
        <v>joseph15</v>
      </c>
      <c r="L1269">
        <f t="shared" si="44"/>
        <v>68.392899999999997</v>
      </c>
    </row>
    <row r="1270" spans="1:12" x14ac:dyDescent="0.25">
      <c r="A1270">
        <v>15</v>
      </c>
      <c r="B1270" t="s">
        <v>16</v>
      </c>
      <c r="C1270" t="s">
        <v>10</v>
      </c>
      <c r="D1270" s="1" t="s">
        <v>1610</v>
      </c>
      <c r="E1270">
        <v>11.65</v>
      </c>
      <c r="F1270">
        <v>16.059999999999999</v>
      </c>
      <c r="G1270">
        <v>5.62</v>
      </c>
      <c r="H1270">
        <v>5.22</v>
      </c>
      <c r="I1270">
        <v>10.84</v>
      </c>
      <c r="J1270" t="s">
        <v>354</v>
      </c>
      <c r="K1270" t="str">
        <f t="shared" si="43"/>
        <v>joseph15</v>
      </c>
      <c r="L1270">
        <f t="shared" si="44"/>
        <v>27.248399999999997</v>
      </c>
    </row>
    <row r="1271" spans="1:12" x14ac:dyDescent="0.25">
      <c r="A1271">
        <v>15</v>
      </c>
      <c r="B1271" t="s">
        <v>74</v>
      </c>
      <c r="C1271" t="s">
        <v>10</v>
      </c>
      <c r="D1271" s="1" t="s">
        <v>1611</v>
      </c>
      <c r="E1271">
        <v>10.25</v>
      </c>
      <c r="F1271">
        <v>17.73</v>
      </c>
      <c r="G1271">
        <v>0.93</v>
      </c>
      <c r="H1271">
        <v>8.4</v>
      </c>
      <c r="I1271">
        <v>9.33</v>
      </c>
      <c r="J1271" t="s">
        <v>354</v>
      </c>
      <c r="K1271" t="str">
        <f t="shared" si="43"/>
        <v>joseph15</v>
      </c>
      <c r="L1271">
        <f t="shared" si="44"/>
        <v>70.56</v>
      </c>
    </row>
    <row r="1272" spans="1:12" x14ac:dyDescent="0.25">
      <c r="A1272">
        <v>15</v>
      </c>
      <c r="B1272" t="s">
        <v>75</v>
      </c>
      <c r="C1272" t="s">
        <v>10</v>
      </c>
      <c r="D1272" s="1" t="s">
        <v>1612</v>
      </c>
      <c r="E1272">
        <v>19.010000000000002</v>
      </c>
      <c r="F1272">
        <v>28.24</v>
      </c>
      <c r="G1272">
        <v>6.6</v>
      </c>
      <c r="H1272">
        <v>10.82</v>
      </c>
      <c r="I1272">
        <v>17.420000000000002</v>
      </c>
      <c r="J1272" t="s">
        <v>355</v>
      </c>
      <c r="K1272" t="str">
        <f t="shared" si="43"/>
        <v>alyssa15</v>
      </c>
      <c r="L1272">
        <f t="shared" si="44"/>
        <v>117.0724</v>
      </c>
    </row>
    <row r="1273" spans="1:12" x14ac:dyDescent="0.25">
      <c r="A1273">
        <v>15</v>
      </c>
      <c r="B1273" t="s">
        <v>28</v>
      </c>
      <c r="C1273" t="s">
        <v>10</v>
      </c>
      <c r="D1273" s="1" t="s">
        <v>1613</v>
      </c>
      <c r="E1273">
        <v>17.18</v>
      </c>
      <c r="F1273">
        <v>22.34</v>
      </c>
      <c r="G1273">
        <v>6.26</v>
      </c>
      <c r="H1273">
        <v>8.0399999999999991</v>
      </c>
      <c r="I1273">
        <v>14.3</v>
      </c>
      <c r="J1273" t="s">
        <v>355</v>
      </c>
      <c r="K1273" t="str">
        <f t="shared" si="43"/>
        <v>alyssa15</v>
      </c>
      <c r="L1273">
        <f t="shared" si="44"/>
        <v>64.641599999999983</v>
      </c>
    </row>
    <row r="1274" spans="1:12" x14ac:dyDescent="0.25">
      <c r="A1274">
        <v>15</v>
      </c>
      <c r="B1274" t="s">
        <v>25</v>
      </c>
      <c r="C1274" t="s">
        <v>10</v>
      </c>
      <c r="D1274" s="1" t="s">
        <v>1614</v>
      </c>
      <c r="E1274">
        <v>20.79</v>
      </c>
      <c r="F1274">
        <v>26.29</v>
      </c>
      <c r="G1274">
        <v>10.97</v>
      </c>
      <c r="H1274">
        <v>7.66</v>
      </c>
      <c r="I1274">
        <v>18.63</v>
      </c>
      <c r="J1274" t="s">
        <v>356</v>
      </c>
      <c r="K1274" t="str">
        <f t="shared" si="43"/>
        <v>chris15</v>
      </c>
      <c r="L1274">
        <f t="shared" si="44"/>
        <v>58.675600000000003</v>
      </c>
    </row>
    <row r="1275" spans="1:12" x14ac:dyDescent="0.25">
      <c r="A1275">
        <v>15</v>
      </c>
      <c r="B1275" t="s">
        <v>160</v>
      </c>
      <c r="C1275" t="s">
        <v>10</v>
      </c>
      <c r="D1275" s="1" t="s">
        <v>1615</v>
      </c>
      <c r="E1275">
        <v>11.19</v>
      </c>
      <c r="F1275">
        <v>15.3</v>
      </c>
      <c r="G1275">
        <v>4.1399999999999997</v>
      </c>
      <c r="H1275">
        <v>5.58</v>
      </c>
      <c r="I1275">
        <v>9.7200000000000006</v>
      </c>
      <c r="J1275" t="s">
        <v>356</v>
      </c>
      <c r="K1275" t="str">
        <f t="shared" si="43"/>
        <v>chris15</v>
      </c>
      <c r="L1275">
        <f t="shared" si="44"/>
        <v>31.136400000000002</v>
      </c>
    </row>
    <row r="1276" spans="1:12" x14ac:dyDescent="0.25">
      <c r="A1276">
        <v>15</v>
      </c>
      <c r="B1276" t="s">
        <v>158</v>
      </c>
      <c r="C1276" t="s">
        <v>10</v>
      </c>
      <c r="D1276" s="1" t="s">
        <v>1616</v>
      </c>
      <c r="E1276">
        <v>21.47</v>
      </c>
      <c r="F1276">
        <v>29.47</v>
      </c>
      <c r="G1276">
        <v>8.65</v>
      </c>
      <c r="H1276">
        <v>10.41</v>
      </c>
      <c r="I1276">
        <v>19.059999999999999</v>
      </c>
      <c r="J1276" t="s">
        <v>357</v>
      </c>
      <c r="K1276" t="str">
        <f t="shared" si="43"/>
        <v>jordan15</v>
      </c>
      <c r="L1276">
        <f t="shared" si="44"/>
        <v>108.3681</v>
      </c>
    </row>
    <row r="1277" spans="1:12" x14ac:dyDescent="0.25">
      <c r="A1277">
        <v>15</v>
      </c>
      <c r="B1277" t="s">
        <v>284</v>
      </c>
      <c r="C1277" t="s">
        <v>10</v>
      </c>
      <c r="D1277" s="1" t="s">
        <v>1617</v>
      </c>
      <c r="E1277">
        <v>13.16</v>
      </c>
      <c r="F1277">
        <v>19.190000000000001</v>
      </c>
      <c r="G1277">
        <v>3.75</v>
      </c>
      <c r="H1277">
        <v>7.72</v>
      </c>
      <c r="I1277">
        <v>11.47</v>
      </c>
      <c r="J1277" t="s">
        <v>357</v>
      </c>
      <c r="K1277" t="str">
        <f t="shared" si="43"/>
        <v>jordan15</v>
      </c>
      <c r="L1277">
        <f t="shared" si="44"/>
        <v>59.598399999999998</v>
      </c>
    </row>
    <row r="1278" spans="1:12" x14ac:dyDescent="0.25">
      <c r="A1278">
        <v>15</v>
      </c>
      <c r="B1278" t="s">
        <v>157</v>
      </c>
      <c r="C1278" t="s">
        <v>10</v>
      </c>
      <c r="D1278" s="1" t="s">
        <v>1618</v>
      </c>
      <c r="E1278">
        <v>10.08</v>
      </c>
      <c r="F1278">
        <v>17.52</v>
      </c>
      <c r="G1278">
        <v>1.78</v>
      </c>
      <c r="H1278">
        <v>7.87</v>
      </c>
      <c r="I1278">
        <v>9.65</v>
      </c>
      <c r="J1278" t="s">
        <v>357</v>
      </c>
      <c r="K1278" t="str">
        <f t="shared" si="43"/>
        <v>jordan15</v>
      </c>
      <c r="L1278">
        <f t="shared" si="44"/>
        <v>61.936900000000001</v>
      </c>
    </row>
    <row r="1279" spans="1:12" x14ac:dyDescent="0.25">
      <c r="A1279">
        <v>15</v>
      </c>
      <c r="B1279" t="s">
        <v>12</v>
      </c>
      <c r="C1279" t="s">
        <v>10</v>
      </c>
      <c r="D1279" s="1" t="s">
        <v>1619</v>
      </c>
      <c r="E1279">
        <v>14.72</v>
      </c>
      <c r="F1279">
        <v>20.47</v>
      </c>
      <c r="G1279">
        <v>6.49</v>
      </c>
      <c r="H1279">
        <v>6.99</v>
      </c>
      <c r="I1279">
        <v>13.48</v>
      </c>
      <c r="J1279" t="s">
        <v>358</v>
      </c>
      <c r="K1279" t="str">
        <f t="shared" si="43"/>
        <v>alex15</v>
      </c>
      <c r="L1279">
        <f t="shared" si="44"/>
        <v>48.860100000000003</v>
      </c>
    </row>
    <row r="1280" spans="1:12" x14ac:dyDescent="0.25">
      <c r="A1280">
        <v>15</v>
      </c>
      <c r="B1280" t="s">
        <v>14</v>
      </c>
      <c r="C1280" t="s">
        <v>10</v>
      </c>
      <c r="D1280" s="1" t="s">
        <v>1620</v>
      </c>
      <c r="E1280">
        <v>13.66</v>
      </c>
      <c r="F1280">
        <v>20.37</v>
      </c>
      <c r="G1280">
        <v>4.03</v>
      </c>
      <c r="H1280">
        <v>8.17</v>
      </c>
      <c r="I1280">
        <v>12.2</v>
      </c>
      <c r="J1280" t="s">
        <v>358</v>
      </c>
      <c r="K1280" t="str">
        <f t="shared" si="43"/>
        <v>alex15</v>
      </c>
      <c r="L1280">
        <f t="shared" si="44"/>
        <v>66.748899999999992</v>
      </c>
    </row>
    <row r="1281" spans="1:12" x14ac:dyDescent="0.25">
      <c r="A1281">
        <v>15</v>
      </c>
      <c r="B1281" t="s">
        <v>152</v>
      </c>
      <c r="C1281" t="s">
        <v>10</v>
      </c>
      <c r="D1281" s="1" t="s">
        <v>1621</v>
      </c>
      <c r="E1281">
        <v>16.64</v>
      </c>
      <c r="F1281">
        <v>20.43</v>
      </c>
      <c r="G1281">
        <v>7.49</v>
      </c>
      <c r="H1281">
        <v>6.47</v>
      </c>
      <c r="I1281">
        <v>13.96</v>
      </c>
      <c r="J1281" t="s">
        <v>359</v>
      </c>
      <c r="K1281" t="str">
        <f t="shared" si="43"/>
        <v>colin15</v>
      </c>
      <c r="L1281">
        <f t="shared" si="44"/>
        <v>41.860899999999994</v>
      </c>
    </row>
    <row r="1282" spans="1:12" x14ac:dyDescent="0.25">
      <c r="A1282">
        <v>15</v>
      </c>
      <c r="B1282" t="s">
        <v>265</v>
      </c>
      <c r="C1282" t="s">
        <v>10</v>
      </c>
      <c r="D1282" s="1" t="s">
        <v>1622</v>
      </c>
      <c r="E1282">
        <v>8.4700000000000006</v>
      </c>
      <c r="F1282">
        <v>12.47</v>
      </c>
      <c r="G1282">
        <v>1.1499999999999999</v>
      </c>
      <c r="H1282">
        <v>5.66</v>
      </c>
      <c r="I1282">
        <v>6.81</v>
      </c>
      <c r="J1282" t="s">
        <v>359</v>
      </c>
      <c r="K1282" t="str">
        <f t="shared" si="43"/>
        <v>colin15</v>
      </c>
      <c r="L1282">
        <f t="shared" si="44"/>
        <v>32.035600000000002</v>
      </c>
    </row>
    <row r="1283" spans="1:12" x14ac:dyDescent="0.25">
      <c r="A1283">
        <v>15</v>
      </c>
      <c r="B1283" t="s">
        <v>264</v>
      </c>
      <c r="C1283" t="s">
        <v>10</v>
      </c>
      <c r="D1283" s="1" t="s">
        <v>1623</v>
      </c>
      <c r="E1283">
        <v>6.41</v>
      </c>
      <c r="F1283">
        <v>11.25</v>
      </c>
      <c r="G1283">
        <v>0.53</v>
      </c>
      <c r="H1283">
        <v>5.36</v>
      </c>
      <c r="I1283">
        <v>5.89</v>
      </c>
      <c r="J1283" t="s">
        <v>359</v>
      </c>
      <c r="K1283" t="str">
        <f t="shared" ref="K1283:K1346" si="45">J1283&amp;A1283</f>
        <v>colin15</v>
      </c>
      <c r="L1283">
        <f t="shared" ref="L1283:L1346" si="46">H1283^2</f>
        <v>28.729600000000005</v>
      </c>
    </row>
    <row r="1284" spans="1:12" x14ac:dyDescent="0.25">
      <c r="A1284">
        <v>15</v>
      </c>
      <c r="B1284" t="s">
        <v>13</v>
      </c>
      <c r="C1284" t="s">
        <v>10</v>
      </c>
      <c r="D1284" s="1" t="s">
        <v>1624</v>
      </c>
      <c r="E1284">
        <v>16.2</v>
      </c>
      <c r="F1284">
        <v>22.28</v>
      </c>
      <c r="G1284">
        <v>7.26</v>
      </c>
      <c r="H1284">
        <v>7.51</v>
      </c>
      <c r="I1284">
        <v>14.77</v>
      </c>
      <c r="J1284" t="s">
        <v>360</v>
      </c>
      <c r="K1284" t="str">
        <f t="shared" si="45"/>
        <v>paul15</v>
      </c>
      <c r="L1284">
        <f t="shared" si="46"/>
        <v>56.400099999999995</v>
      </c>
    </row>
    <row r="1285" spans="1:12" x14ac:dyDescent="0.25">
      <c r="A1285">
        <v>15</v>
      </c>
      <c r="B1285" t="s">
        <v>115</v>
      </c>
      <c r="C1285" t="s">
        <v>10</v>
      </c>
      <c r="D1285" s="1" t="s">
        <v>1625</v>
      </c>
      <c r="E1285">
        <v>14.06</v>
      </c>
      <c r="F1285">
        <v>18.02</v>
      </c>
      <c r="G1285">
        <v>7.04</v>
      </c>
      <c r="H1285">
        <v>5.49</v>
      </c>
      <c r="I1285">
        <v>12.53</v>
      </c>
      <c r="J1285" t="s">
        <v>360</v>
      </c>
      <c r="K1285" t="str">
        <f t="shared" si="45"/>
        <v>paul15</v>
      </c>
      <c r="L1285">
        <f t="shared" si="46"/>
        <v>30.140100000000004</v>
      </c>
    </row>
    <row r="1286" spans="1:12" x14ac:dyDescent="0.25">
      <c r="A1286">
        <v>15</v>
      </c>
      <c r="B1286" t="s">
        <v>186</v>
      </c>
      <c r="C1286" t="s">
        <v>10</v>
      </c>
      <c r="D1286" s="1" t="s">
        <v>1626</v>
      </c>
      <c r="E1286">
        <v>14.04</v>
      </c>
      <c r="F1286">
        <v>19.53</v>
      </c>
      <c r="G1286">
        <v>5.47</v>
      </c>
      <c r="H1286">
        <v>7.03</v>
      </c>
      <c r="I1286">
        <v>12.5</v>
      </c>
      <c r="J1286" t="s">
        <v>360</v>
      </c>
      <c r="K1286" t="str">
        <f t="shared" si="45"/>
        <v>paul15</v>
      </c>
      <c r="L1286">
        <f t="shared" si="46"/>
        <v>49.420900000000003</v>
      </c>
    </row>
    <row r="1287" spans="1:12" x14ac:dyDescent="0.25">
      <c r="A1287">
        <v>15</v>
      </c>
      <c r="B1287" t="s">
        <v>41</v>
      </c>
      <c r="C1287" t="s">
        <v>32</v>
      </c>
      <c r="D1287" s="1" t="s">
        <v>1627</v>
      </c>
      <c r="E1287">
        <v>18.78</v>
      </c>
      <c r="F1287">
        <v>21.95</v>
      </c>
      <c r="G1287">
        <v>7.91</v>
      </c>
      <c r="H1287">
        <v>7.02</v>
      </c>
      <c r="I1287">
        <v>14.93</v>
      </c>
      <c r="J1287" t="s">
        <v>351</v>
      </c>
      <c r="K1287" t="str">
        <f t="shared" si="45"/>
        <v>andrew15</v>
      </c>
      <c r="L1287">
        <f t="shared" si="46"/>
        <v>49.280399999999993</v>
      </c>
    </row>
    <row r="1288" spans="1:12" x14ac:dyDescent="0.25">
      <c r="A1288">
        <v>15</v>
      </c>
      <c r="B1288" t="s">
        <v>37</v>
      </c>
      <c r="C1288" t="s">
        <v>32</v>
      </c>
      <c r="D1288" s="1" t="s">
        <v>1628</v>
      </c>
      <c r="E1288">
        <v>13.17</v>
      </c>
      <c r="F1288">
        <v>18.510000000000002</v>
      </c>
      <c r="G1288">
        <v>2.73</v>
      </c>
      <c r="H1288">
        <v>7.89</v>
      </c>
      <c r="I1288">
        <v>10.62</v>
      </c>
      <c r="J1288" t="s">
        <v>351</v>
      </c>
      <c r="K1288" t="str">
        <f t="shared" si="45"/>
        <v>andrew15</v>
      </c>
      <c r="L1288">
        <f t="shared" si="46"/>
        <v>62.252099999999992</v>
      </c>
    </row>
    <row r="1289" spans="1:12" x14ac:dyDescent="0.25">
      <c r="A1289">
        <v>15</v>
      </c>
      <c r="B1289" t="s">
        <v>162</v>
      </c>
      <c r="C1289" t="s">
        <v>32</v>
      </c>
      <c r="D1289" s="1" t="s">
        <v>1629</v>
      </c>
      <c r="E1289">
        <v>12.71</v>
      </c>
      <c r="F1289">
        <v>16.38</v>
      </c>
      <c r="G1289">
        <v>4.34</v>
      </c>
      <c r="H1289">
        <v>6.02</v>
      </c>
      <c r="I1289">
        <v>10.36</v>
      </c>
      <c r="J1289" t="s">
        <v>351</v>
      </c>
      <c r="K1289" t="str">
        <f t="shared" si="45"/>
        <v>andrew15</v>
      </c>
      <c r="L1289">
        <f t="shared" si="46"/>
        <v>36.240399999999994</v>
      </c>
    </row>
    <row r="1290" spans="1:12" x14ac:dyDescent="0.25">
      <c r="A1290">
        <v>15</v>
      </c>
      <c r="B1290" t="s">
        <v>33</v>
      </c>
      <c r="C1290" t="s">
        <v>32</v>
      </c>
      <c r="D1290" s="1" t="s">
        <v>1630</v>
      </c>
      <c r="E1290">
        <v>14.93</v>
      </c>
      <c r="F1290">
        <v>19.190000000000001</v>
      </c>
      <c r="G1290">
        <v>4.83</v>
      </c>
      <c r="H1290">
        <v>7.18</v>
      </c>
      <c r="I1290">
        <v>12.01</v>
      </c>
      <c r="J1290" t="s">
        <v>352</v>
      </c>
      <c r="K1290" t="str">
        <f t="shared" si="45"/>
        <v>jake15</v>
      </c>
      <c r="L1290">
        <f t="shared" si="46"/>
        <v>51.552399999999999</v>
      </c>
    </row>
    <row r="1291" spans="1:12" x14ac:dyDescent="0.25">
      <c r="A1291">
        <v>15</v>
      </c>
      <c r="B1291" t="s">
        <v>39</v>
      </c>
      <c r="C1291" t="s">
        <v>32</v>
      </c>
      <c r="D1291" s="1" t="s">
        <v>1631</v>
      </c>
      <c r="E1291">
        <v>14.25</v>
      </c>
      <c r="F1291">
        <v>18.170000000000002</v>
      </c>
      <c r="G1291">
        <v>3.61</v>
      </c>
      <c r="H1291">
        <v>7.28</v>
      </c>
      <c r="I1291">
        <v>10.89</v>
      </c>
      <c r="J1291" t="s">
        <v>352</v>
      </c>
      <c r="K1291" t="str">
        <f t="shared" si="45"/>
        <v>jake15</v>
      </c>
      <c r="L1291">
        <f t="shared" si="46"/>
        <v>52.998400000000004</v>
      </c>
    </row>
    <row r="1292" spans="1:12" x14ac:dyDescent="0.25">
      <c r="A1292">
        <v>15</v>
      </c>
      <c r="B1292" t="s">
        <v>45</v>
      </c>
      <c r="C1292" t="s">
        <v>32</v>
      </c>
      <c r="D1292" s="1" t="s">
        <v>1632</v>
      </c>
      <c r="E1292">
        <v>14.22</v>
      </c>
      <c r="F1292">
        <v>15.78</v>
      </c>
      <c r="G1292">
        <v>5.74</v>
      </c>
      <c r="H1292">
        <v>5.0199999999999996</v>
      </c>
      <c r="I1292">
        <v>10.76</v>
      </c>
      <c r="J1292" t="s">
        <v>352</v>
      </c>
      <c r="K1292" t="str">
        <f t="shared" si="45"/>
        <v>jake15</v>
      </c>
      <c r="L1292">
        <f t="shared" si="46"/>
        <v>25.200399999999995</v>
      </c>
    </row>
    <row r="1293" spans="1:12" x14ac:dyDescent="0.25">
      <c r="A1293">
        <v>15</v>
      </c>
      <c r="B1293" t="s">
        <v>44</v>
      </c>
      <c r="C1293" t="s">
        <v>32</v>
      </c>
      <c r="D1293" s="1" t="s">
        <v>1633</v>
      </c>
      <c r="E1293">
        <v>15.86</v>
      </c>
      <c r="F1293">
        <v>22.85</v>
      </c>
      <c r="G1293">
        <v>2.11</v>
      </c>
      <c r="H1293">
        <v>10.37</v>
      </c>
      <c r="I1293">
        <v>12.48</v>
      </c>
      <c r="J1293" t="s">
        <v>353</v>
      </c>
      <c r="K1293" t="str">
        <f t="shared" si="45"/>
        <v>breanna15</v>
      </c>
      <c r="L1293">
        <f t="shared" si="46"/>
        <v>107.53689999999999</v>
      </c>
    </row>
    <row r="1294" spans="1:12" x14ac:dyDescent="0.25">
      <c r="A1294">
        <v>15</v>
      </c>
      <c r="B1294" t="s">
        <v>48</v>
      </c>
      <c r="C1294" t="s">
        <v>32</v>
      </c>
      <c r="D1294" s="1" t="s">
        <v>1634</v>
      </c>
      <c r="E1294">
        <v>12.74</v>
      </c>
      <c r="F1294">
        <v>16.809999999999999</v>
      </c>
      <c r="G1294">
        <v>4.21</v>
      </c>
      <c r="H1294">
        <v>6.3</v>
      </c>
      <c r="I1294">
        <v>10.51</v>
      </c>
      <c r="J1294" t="s">
        <v>353</v>
      </c>
      <c r="K1294" t="str">
        <f t="shared" si="45"/>
        <v>breanna15</v>
      </c>
      <c r="L1294">
        <f t="shared" si="46"/>
        <v>39.69</v>
      </c>
    </row>
    <row r="1295" spans="1:12" x14ac:dyDescent="0.25">
      <c r="A1295">
        <v>15</v>
      </c>
      <c r="B1295" t="s">
        <v>42</v>
      </c>
      <c r="C1295" t="s">
        <v>32</v>
      </c>
      <c r="D1295" s="1" t="s">
        <v>1635</v>
      </c>
      <c r="E1295">
        <v>14.61</v>
      </c>
      <c r="F1295">
        <v>17.62</v>
      </c>
      <c r="G1295">
        <v>5.82</v>
      </c>
      <c r="H1295">
        <v>5.9</v>
      </c>
      <c r="I1295">
        <v>11.72</v>
      </c>
      <c r="J1295" t="s">
        <v>354</v>
      </c>
      <c r="K1295" t="str">
        <f t="shared" si="45"/>
        <v>joseph15</v>
      </c>
      <c r="L1295">
        <f t="shared" si="46"/>
        <v>34.81</v>
      </c>
    </row>
    <row r="1296" spans="1:12" x14ac:dyDescent="0.25">
      <c r="A1296">
        <v>15</v>
      </c>
      <c r="B1296" t="s">
        <v>43</v>
      </c>
      <c r="C1296" t="s">
        <v>32</v>
      </c>
      <c r="D1296" s="1" t="s">
        <v>1636</v>
      </c>
      <c r="E1296">
        <v>11.54</v>
      </c>
      <c r="F1296">
        <v>14.13</v>
      </c>
      <c r="G1296">
        <v>4.03</v>
      </c>
      <c r="H1296">
        <v>5.05</v>
      </c>
      <c r="I1296">
        <v>9.08</v>
      </c>
      <c r="J1296" t="s">
        <v>354</v>
      </c>
      <c r="K1296" t="str">
        <f t="shared" si="45"/>
        <v>joseph15</v>
      </c>
      <c r="L1296">
        <f t="shared" si="46"/>
        <v>25.502499999999998</v>
      </c>
    </row>
    <row r="1297" spans="1:12" x14ac:dyDescent="0.25">
      <c r="A1297">
        <v>15</v>
      </c>
      <c r="B1297" t="s">
        <v>69</v>
      </c>
      <c r="C1297" t="s">
        <v>32</v>
      </c>
      <c r="D1297" s="1" t="s">
        <v>1637</v>
      </c>
      <c r="E1297">
        <v>16.670000000000002</v>
      </c>
      <c r="F1297">
        <v>20.61</v>
      </c>
      <c r="G1297">
        <v>5.57</v>
      </c>
      <c r="H1297">
        <v>7.52</v>
      </c>
      <c r="I1297">
        <v>13.09</v>
      </c>
      <c r="J1297" t="s">
        <v>355</v>
      </c>
      <c r="K1297" t="str">
        <f t="shared" si="45"/>
        <v>alyssa15</v>
      </c>
      <c r="L1297">
        <f t="shared" si="46"/>
        <v>56.550399999999996</v>
      </c>
    </row>
    <row r="1298" spans="1:12" x14ac:dyDescent="0.25">
      <c r="A1298">
        <v>15</v>
      </c>
      <c r="B1298" t="s">
        <v>71</v>
      </c>
      <c r="C1298" t="s">
        <v>32</v>
      </c>
      <c r="D1298" s="1" t="s">
        <v>1638</v>
      </c>
      <c r="E1298">
        <v>15.92</v>
      </c>
      <c r="F1298">
        <v>19.579999999999998</v>
      </c>
      <c r="G1298">
        <v>5.6</v>
      </c>
      <c r="H1298">
        <v>6.99</v>
      </c>
      <c r="I1298">
        <v>12.59</v>
      </c>
      <c r="J1298" t="s">
        <v>355</v>
      </c>
      <c r="K1298" t="str">
        <f t="shared" si="45"/>
        <v>alyssa15</v>
      </c>
      <c r="L1298">
        <f t="shared" si="46"/>
        <v>48.860100000000003</v>
      </c>
    </row>
    <row r="1299" spans="1:12" x14ac:dyDescent="0.25">
      <c r="A1299">
        <v>15</v>
      </c>
      <c r="B1299" t="s">
        <v>51</v>
      </c>
      <c r="C1299" t="s">
        <v>32</v>
      </c>
      <c r="D1299" s="1" t="s">
        <v>1639</v>
      </c>
      <c r="E1299">
        <v>11.42</v>
      </c>
      <c r="F1299">
        <v>14.37</v>
      </c>
      <c r="G1299">
        <v>3.35</v>
      </c>
      <c r="H1299">
        <v>5.51</v>
      </c>
      <c r="I1299">
        <v>8.86</v>
      </c>
      <c r="J1299" t="s">
        <v>355</v>
      </c>
      <c r="K1299" t="str">
        <f t="shared" si="45"/>
        <v>alyssa15</v>
      </c>
      <c r="L1299">
        <f t="shared" si="46"/>
        <v>30.360099999999999</v>
      </c>
    </row>
    <row r="1300" spans="1:12" x14ac:dyDescent="0.25">
      <c r="A1300">
        <v>15</v>
      </c>
      <c r="B1300" t="s">
        <v>47</v>
      </c>
      <c r="C1300" t="s">
        <v>32</v>
      </c>
      <c r="D1300" s="1" t="s">
        <v>1640</v>
      </c>
      <c r="E1300">
        <v>15.73</v>
      </c>
      <c r="F1300">
        <v>20.03</v>
      </c>
      <c r="G1300">
        <v>5.23</v>
      </c>
      <c r="H1300">
        <v>7.4</v>
      </c>
      <c r="I1300">
        <v>12.63</v>
      </c>
      <c r="J1300" t="s">
        <v>356</v>
      </c>
      <c r="K1300" t="str">
        <f t="shared" si="45"/>
        <v>chris15</v>
      </c>
      <c r="L1300">
        <f t="shared" si="46"/>
        <v>54.760000000000005</v>
      </c>
    </row>
    <row r="1301" spans="1:12" x14ac:dyDescent="0.25">
      <c r="A1301">
        <v>15</v>
      </c>
      <c r="B1301" t="s">
        <v>46</v>
      </c>
      <c r="C1301" t="s">
        <v>32</v>
      </c>
      <c r="D1301" s="1" t="s">
        <v>1641</v>
      </c>
      <c r="E1301">
        <v>12.83</v>
      </c>
      <c r="F1301">
        <v>14.41</v>
      </c>
      <c r="G1301">
        <v>5.45</v>
      </c>
      <c r="H1301">
        <v>4.4800000000000004</v>
      </c>
      <c r="I1301">
        <v>9.93</v>
      </c>
      <c r="J1301" t="s">
        <v>356</v>
      </c>
      <c r="K1301" t="str">
        <f t="shared" si="45"/>
        <v>chris15</v>
      </c>
      <c r="L1301">
        <f t="shared" si="46"/>
        <v>20.070400000000003</v>
      </c>
    </row>
    <row r="1302" spans="1:12" x14ac:dyDescent="0.25">
      <c r="A1302">
        <v>15</v>
      </c>
      <c r="B1302" t="s">
        <v>224</v>
      </c>
      <c r="C1302" t="s">
        <v>32</v>
      </c>
      <c r="D1302" s="1" t="s">
        <v>1642</v>
      </c>
      <c r="E1302">
        <v>8.58</v>
      </c>
      <c r="F1302">
        <v>11.44</v>
      </c>
      <c r="G1302">
        <v>1.52</v>
      </c>
      <c r="H1302">
        <v>4.96</v>
      </c>
      <c r="I1302">
        <v>6.48</v>
      </c>
      <c r="J1302" t="s">
        <v>356</v>
      </c>
      <c r="K1302" t="str">
        <f t="shared" si="45"/>
        <v>chris15</v>
      </c>
      <c r="L1302">
        <f t="shared" si="46"/>
        <v>24.601600000000001</v>
      </c>
    </row>
    <row r="1303" spans="1:12" x14ac:dyDescent="0.25">
      <c r="A1303">
        <v>15</v>
      </c>
      <c r="B1303" t="s">
        <v>35</v>
      </c>
      <c r="C1303" t="s">
        <v>32</v>
      </c>
      <c r="D1303" s="1" t="s">
        <v>1643</v>
      </c>
      <c r="E1303">
        <v>12.74</v>
      </c>
      <c r="F1303">
        <v>14.52</v>
      </c>
      <c r="G1303">
        <v>3.76</v>
      </c>
      <c r="H1303">
        <v>5.38</v>
      </c>
      <c r="I1303">
        <v>9.14</v>
      </c>
      <c r="J1303" t="s">
        <v>357</v>
      </c>
      <c r="K1303" t="str">
        <f t="shared" si="45"/>
        <v>jordan15</v>
      </c>
      <c r="L1303">
        <f t="shared" si="46"/>
        <v>28.944399999999998</v>
      </c>
    </row>
    <row r="1304" spans="1:12" x14ac:dyDescent="0.25">
      <c r="A1304">
        <v>15</v>
      </c>
      <c r="B1304" t="s">
        <v>222</v>
      </c>
      <c r="C1304" t="s">
        <v>32</v>
      </c>
      <c r="D1304" s="1" t="s">
        <v>1644</v>
      </c>
      <c r="E1304">
        <v>10.45</v>
      </c>
      <c r="F1304">
        <v>15.73</v>
      </c>
      <c r="G1304">
        <v>1.07</v>
      </c>
      <c r="H1304">
        <v>7.33</v>
      </c>
      <c r="I1304">
        <v>8.4</v>
      </c>
      <c r="J1304" t="s">
        <v>357</v>
      </c>
      <c r="K1304" t="str">
        <f t="shared" si="45"/>
        <v>jordan15</v>
      </c>
      <c r="L1304">
        <f t="shared" si="46"/>
        <v>53.728900000000003</v>
      </c>
    </row>
    <row r="1305" spans="1:12" x14ac:dyDescent="0.25">
      <c r="A1305">
        <v>15</v>
      </c>
      <c r="B1305" t="s">
        <v>184</v>
      </c>
      <c r="C1305" t="s">
        <v>32</v>
      </c>
      <c r="D1305" s="1" t="s">
        <v>1645</v>
      </c>
      <c r="E1305">
        <v>20.309999999999999</v>
      </c>
      <c r="F1305">
        <v>28.77</v>
      </c>
      <c r="G1305">
        <v>4.71</v>
      </c>
      <c r="H1305">
        <v>12.03</v>
      </c>
      <c r="I1305">
        <v>16.739999999999998</v>
      </c>
      <c r="J1305" t="s">
        <v>358</v>
      </c>
      <c r="K1305" t="str">
        <f t="shared" si="45"/>
        <v>alex15</v>
      </c>
      <c r="L1305">
        <f t="shared" si="46"/>
        <v>144.72089999999997</v>
      </c>
    </row>
    <row r="1306" spans="1:12" x14ac:dyDescent="0.25">
      <c r="A1306">
        <v>15</v>
      </c>
      <c r="B1306" t="s">
        <v>34</v>
      </c>
      <c r="C1306" t="s">
        <v>32</v>
      </c>
      <c r="D1306" s="1" t="s">
        <v>1646</v>
      </c>
      <c r="E1306">
        <v>16.25</v>
      </c>
      <c r="F1306">
        <v>20.66</v>
      </c>
      <c r="G1306">
        <v>5.7</v>
      </c>
      <c r="H1306">
        <v>7.48</v>
      </c>
      <c r="I1306">
        <v>13.18</v>
      </c>
      <c r="J1306" t="s">
        <v>358</v>
      </c>
      <c r="K1306" t="str">
        <f t="shared" si="45"/>
        <v>alex15</v>
      </c>
      <c r="L1306">
        <f t="shared" si="46"/>
        <v>55.950400000000009</v>
      </c>
    </row>
    <row r="1307" spans="1:12" x14ac:dyDescent="0.25">
      <c r="A1307">
        <v>15</v>
      </c>
      <c r="B1307" t="s">
        <v>36</v>
      </c>
      <c r="C1307" t="s">
        <v>32</v>
      </c>
      <c r="D1307" s="1" t="s">
        <v>1647</v>
      </c>
      <c r="E1307">
        <v>13.56</v>
      </c>
      <c r="F1307">
        <v>17.38</v>
      </c>
      <c r="G1307">
        <v>4.5999999999999996</v>
      </c>
      <c r="H1307">
        <v>6.39</v>
      </c>
      <c r="I1307">
        <v>10.99</v>
      </c>
      <c r="J1307" t="s">
        <v>358</v>
      </c>
      <c r="K1307" t="str">
        <f t="shared" si="45"/>
        <v>alex15</v>
      </c>
      <c r="L1307">
        <f t="shared" si="46"/>
        <v>40.832099999999997</v>
      </c>
    </row>
    <row r="1308" spans="1:12" x14ac:dyDescent="0.25">
      <c r="A1308">
        <v>15</v>
      </c>
      <c r="B1308" t="s">
        <v>234</v>
      </c>
      <c r="C1308" t="s">
        <v>32</v>
      </c>
      <c r="D1308" s="1" t="s">
        <v>1648</v>
      </c>
      <c r="E1308">
        <v>11.58</v>
      </c>
      <c r="F1308">
        <v>14.69</v>
      </c>
      <c r="G1308">
        <v>3.55</v>
      </c>
      <c r="H1308">
        <v>5.57</v>
      </c>
      <c r="I1308">
        <v>9.1199999999999992</v>
      </c>
      <c r="J1308" t="s">
        <v>359</v>
      </c>
      <c r="K1308" t="str">
        <f t="shared" si="45"/>
        <v>colin15</v>
      </c>
      <c r="L1308">
        <f t="shared" si="46"/>
        <v>31.024900000000002</v>
      </c>
    </row>
    <row r="1309" spans="1:12" x14ac:dyDescent="0.25">
      <c r="A1309">
        <v>15</v>
      </c>
      <c r="B1309" t="s">
        <v>161</v>
      </c>
      <c r="C1309" t="s">
        <v>32</v>
      </c>
      <c r="D1309" s="1" t="s">
        <v>1649</v>
      </c>
      <c r="E1309">
        <v>9.94</v>
      </c>
      <c r="F1309">
        <v>12.81</v>
      </c>
      <c r="G1309">
        <v>3.43</v>
      </c>
      <c r="H1309">
        <v>4.6900000000000004</v>
      </c>
      <c r="I1309">
        <v>8.1199999999999992</v>
      </c>
      <c r="J1309" t="s">
        <v>359</v>
      </c>
      <c r="K1309" t="str">
        <f t="shared" si="45"/>
        <v>colin15</v>
      </c>
      <c r="L1309">
        <f t="shared" si="46"/>
        <v>21.996100000000002</v>
      </c>
    </row>
    <row r="1310" spans="1:12" x14ac:dyDescent="0.25">
      <c r="A1310">
        <v>15</v>
      </c>
      <c r="B1310" t="s">
        <v>49</v>
      </c>
      <c r="C1310" t="s">
        <v>32</v>
      </c>
      <c r="D1310" s="1" t="s">
        <v>1650</v>
      </c>
      <c r="E1310">
        <v>15.17</v>
      </c>
      <c r="F1310">
        <v>18.170000000000002</v>
      </c>
      <c r="G1310">
        <v>5.95</v>
      </c>
      <c r="H1310">
        <v>6.11</v>
      </c>
      <c r="I1310">
        <v>12.06</v>
      </c>
      <c r="J1310" t="s">
        <v>360</v>
      </c>
      <c r="K1310" t="str">
        <f t="shared" si="45"/>
        <v>paul15</v>
      </c>
      <c r="L1310">
        <f t="shared" si="46"/>
        <v>37.332100000000004</v>
      </c>
    </row>
    <row r="1311" spans="1:12" x14ac:dyDescent="0.25">
      <c r="A1311">
        <v>15</v>
      </c>
      <c r="B1311" t="s">
        <v>38</v>
      </c>
      <c r="C1311" t="s">
        <v>32</v>
      </c>
      <c r="D1311" s="1" t="s">
        <v>1651</v>
      </c>
      <c r="E1311">
        <v>13.12</v>
      </c>
      <c r="F1311">
        <v>16.940000000000001</v>
      </c>
      <c r="G1311">
        <v>4.34</v>
      </c>
      <c r="H1311">
        <v>6.3</v>
      </c>
      <c r="I1311">
        <v>10.64</v>
      </c>
      <c r="J1311" t="s">
        <v>360</v>
      </c>
      <c r="K1311" t="str">
        <f t="shared" si="45"/>
        <v>paul15</v>
      </c>
      <c r="L1311">
        <f t="shared" si="46"/>
        <v>39.69</v>
      </c>
    </row>
    <row r="1312" spans="1:12" x14ac:dyDescent="0.25">
      <c r="A1312">
        <v>15</v>
      </c>
      <c r="B1312" t="s">
        <v>246</v>
      </c>
      <c r="C1312" t="s">
        <v>53</v>
      </c>
      <c r="D1312" s="1" t="s">
        <v>1652</v>
      </c>
      <c r="E1312">
        <v>18.07</v>
      </c>
      <c r="F1312">
        <v>25.02</v>
      </c>
      <c r="G1312">
        <v>9.1999999999999993</v>
      </c>
      <c r="H1312">
        <v>7.91</v>
      </c>
      <c r="I1312">
        <v>17.11</v>
      </c>
      <c r="J1312" t="s">
        <v>351</v>
      </c>
      <c r="K1312" t="str">
        <f t="shared" si="45"/>
        <v>andrew15</v>
      </c>
      <c r="L1312">
        <f t="shared" si="46"/>
        <v>62.568100000000001</v>
      </c>
    </row>
    <row r="1313" spans="1:12" x14ac:dyDescent="0.25">
      <c r="A1313">
        <v>15</v>
      </c>
      <c r="B1313" t="s">
        <v>204</v>
      </c>
      <c r="C1313" t="s">
        <v>53</v>
      </c>
      <c r="D1313" s="1" t="s">
        <v>1653</v>
      </c>
      <c r="E1313">
        <v>20.100000000000001</v>
      </c>
      <c r="F1313">
        <v>26.17</v>
      </c>
      <c r="G1313">
        <v>12.79</v>
      </c>
      <c r="H1313">
        <v>6.69</v>
      </c>
      <c r="I1313">
        <v>19.48</v>
      </c>
      <c r="J1313" t="s">
        <v>352</v>
      </c>
      <c r="K1313" t="str">
        <f t="shared" si="45"/>
        <v>jake15</v>
      </c>
      <c r="L1313">
        <f t="shared" si="46"/>
        <v>44.756100000000004</v>
      </c>
    </row>
    <row r="1314" spans="1:12" x14ac:dyDescent="0.25">
      <c r="A1314">
        <v>15</v>
      </c>
      <c r="B1314" t="s">
        <v>290</v>
      </c>
      <c r="C1314" t="s">
        <v>53</v>
      </c>
      <c r="D1314" s="1" t="s">
        <v>1654</v>
      </c>
      <c r="E1314">
        <v>22.95</v>
      </c>
      <c r="F1314">
        <v>30.1</v>
      </c>
      <c r="G1314">
        <v>14.36</v>
      </c>
      <c r="H1314">
        <v>7.87</v>
      </c>
      <c r="I1314">
        <v>22.23</v>
      </c>
      <c r="J1314" t="s">
        <v>353</v>
      </c>
      <c r="K1314" t="str">
        <f t="shared" si="45"/>
        <v>breanna15</v>
      </c>
      <c r="L1314">
        <f t="shared" si="46"/>
        <v>61.936900000000001</v>
      </c>
    </row>
    <row r="1315" spans="1:12" x14ac:dyDescent="0.25">
      <c r="A1315">
        <v>15</v>
      </c>
      <c r="B1315" t="s">
        <v>364</v>
      </c>
      <c r="C1315" t="s">
        <v>53</v>
      </c>
      <c r="D1315" s="1" t="s">
        <v>1655</v>
      </c>
      <c r="E1315">
        <v>19.57</v>
      </c>
      <c r="F1315">
        <v>25.82</v>
      </c>
      <c r="G1315">
        <v>11.56</v>
      </c>
      <c r="H1315">
        <v>7.13</v>
      </c>
      <c r="I1315">
        <v>18.690000000000001</v>
      </c>
      <c r="J1315" t="s">
        <v>354</v>
      </c>
      <c r="K1315" t="str">
        <f t="shared" si="45"/>
        <v>joseph15</v>
      </c>
      <c r="L1315">
        <f t="shared" si="46"/>
        <v>50.8369</v>
      </c>
    </row>
    <row r="1316" spans="1:12" x14ac:dyDescent="0.25">
      <c r="A1316">
        <v>15</v>
      </c>
      <c r="B1316" t="s">
        <v>386</v>
      </c>
      <c r="C1316" t="s">
        <v>53</v>
      </c>
      <c r="D1316" s="1" t="s">
        <v>1656</v>
      </c>
      <c r="E1316">
        <v>21.37</v>
      </c>
      <c r="F1316">
        <v>27.26</v>
      </c>
      <c r="G1316">
        <v>13.84</v>
      </c>
      <c r="H1316">
        <v>6.71</v>
      </c>
      <c r="I1316">
        <v>20.55</v>
      </c>
      <c r="J1316" t="s">
        <v>355</v>
      </c>
      <c r="K1316" t="str">
        <f t="shared" si="45"/>
        <v>alyssa15</v>
      </c>
      <c r="L1316">
        <f t="shared" si="46"/>
        <v>45.024099999999997</v>
      </c>
    </row>
    <row r="1317" spans="1:12" x14ac:dyDescent="0.25">
      <c r="A1317">
        <v>15</v>
      </c>
      <c r="B1317" t="s">
        <v>55</v>
      </c>
      <c r="C1317" t="s">
        <v>53</v>
      </c>
      <c r="D1317" s="1" t="s">
        <v>1657</v>
      </c>
      <c r="E1317">
        <v>21.13</v>
      </c>
      <c r="F1317">
        <v>28.38</v>
      </c>
      <c r="G1317">
        <v>12.2</v>
      </c>
      <c r="H1317">
        <v>8.09</v>
      </c>
      <c r="I1317">
        <v>20.29</v>
      </c>
      <c r="J1317" t="s">
        <v>356</v>
      </c>
      <c r="K1317" t="str">
        <f t="shared" si="45"/>
        <v>chris15</v>
      </c>
      <c r="L1317">
        <f t="shared" si="46"/>
        <v>65.448099999999997</v>
      </c>
    </row>
    <row r="1318" spans="1:12" x14ac:dyDescent="0.25">
      <c r="A1318">
        <v>15</v>
      </c>
      <c r="B1318" t="s">
        <v>56</v>
      </c>
      <c r="C1318" t="s">
        <v>53</v>
      </c>
      <c r="D1318" s="1" t="s">
        <v>1658</v>
      </c>
      <c r="E1318">
        <v>20.059999999999999</v>
      </c>
      <c r="F1318">
        <v>26.33</v>
      </c>
      <c r="G1318">
        <v>12.21</v>
      </c>
      <c r="H1318">
        <v>7.06</v>
      </c>
      <c r="I1318">
        <v>19.27</v>
      </c>
      <c r="J1318" t="s">
        <v>357</v>
      </c>
      <c r="K1318" t="str">
        <f t="shared" si="45"/>
        <v>jordan15</v>
      </c>
      <c r="L1318">
        <f t="shared" si="46"/>
        <v>49.843599999999995</v>
      </c>
    </row>
    <row r="1319" spans="1:12" x14ac:dyDescent="0.25">
      <c r="A1319">
        <v>15</v>
      </c>
      <c r="B1319" t="s">
        <v>54</v>
      </c>
      <c r="C1319" t="s">
        <v>53</v>
      </c>
      <c r="D1319" s="1" t="s">
        <v>1659</v>
      </c>
      <c r="E1319">
        <v>21.19</v>
      </c>
      <c r="F1319">
        <v>29.9</v>
      </c>
      <c r="G1319">
        <v>11.36</v>
      </c>
      <c r="H1319">
        <v>9.27</v>
      </c>
      <c r="I1319">
        <v>20.63</v>
      </c>
      <c r="J1319" t="s">
        <v>358</v>
      </c>
      <c r="K1319" t="str">
        <f t="shared" si="45"/>
        <v>alex15</v>
      </c>
      <c r="L1319">
        <f t="shared" si="46"/>
        <v>85.932899999999989</v>
      </c>
    </row>
    <row r="1320" spans="1:12" x14ac:dyDescent="0.25">
      <c r="A1320">
        <v>15</v>
      </c>
      <c r="B1320" t="s">
        <v>52</v>
      </c>
      <c r="C1320" t="s">
        <v>53</v>
      </c>
      <c r="D1320" s="1" t="s">
        <v>1660</v>
      </c>
      <c r="E1320">
        <v>20.04</v>
      </c>
      <c r="F1320">
        <v>25.49</v>
      </c>
      <c r="G1320">
        <v>12.77</v>
      </c>
      <c r="H1320">
        <v>6.36</v>
      </c>
      <c r="I1320">
        <v>19.13</v>
      </c>
      <c r="J1320" t="s">
        <v>359</v>
      </c>
      <c r="K1320" t="str">
        <f t="shared" si="45"/>
        <v>colin15</v>
      </c>
      <c r="L1320">
        <f t="shared" si="46"/>
        <v>40.449600000000004</v>
      </c>
    </row>
    <row r="1321" spans="1:12" x14ac:dyDescent="0.25">
      <c r="A1321">
        <v>15</v>
      </c>
      <c r="B1321" t="s">
        <v>194</v>
      </c>
      <c r="C1321" t="s">
        <v>53</v>
      </c>
      <c r="D1321" s="1" t="s">
        <v>1661</v>
      </c>
      <c r="E1321">
        <v>21.32</v>
      </c>
      <c r="F1321">
        <v>29.29</v>
      </c>
      <c r="G1321">
        <v>12.49</v>
      </c>
      <c r="H1321">
        <v>8.4</v>
      </c>
      <c r="I1321">
        <v>20.89</v>
      </c>
      <c r="J1321" t="s">
        <v>360</v>
      </c>
      <c r="K1321" t="str">
        <f t="shared" si="45"/>
        <v>paul15</v>
      </c>
      <c r="L1321">
        <f t="shared" si="46"/>
        <v>70.56</v>
      </c>
    </row>
    <row r="1322" spans="1:12" x14ac:dyDescent="0.25">
      <c r="A1322">
        <v>15</v>
      </c>
      <c r="B1322" t="s">
        <v>497</v>
      </c>
      <c r="C1322" t="s">
        <v>57</v>
      </c>
      <c r="D1322" s="1" t="s">
        <v>1662</v>
      </c>
      <c r="E1322">
        <v>8.1300000000000008</v>
      </c>
      <c r="F1322">
        <v>10.99</v>
      </c>
      <c r="G1322">
        <v>1.35</v>
      </c>
      <c r="H1322">
        <v>4.82</v>
      </c>
      <c r="I1322">
        <v>6.17</v>
      </c>
      <c r="J1322" t="s">
        <v>351</v>
      </c>
      <c r="K1322" t="str">
        <f t="shared" si="45"/>
        <v>andrew15</v>
      </c>
      <c r="L1322">
        <f t="shared" si="46"/>
        <v>23.232400000000002</v>
      </c>
    </row>
    <row r="1323" spans="1:12" x14ac:dyDescent="0.25">
      <c r="A1323">
        <v>15</v>
      </c>
      <c r="B1323" t="s">
        <v>60</v>
      </c>
      <c r="C1323" t="s">
        <v>57</v>
      </c>
      <c r="D1323" s="1" t="s">
        <v>1663</v>
      </c>
      <c r="E1323">
        <v>9.69</v>
      </c>
      <c r="F1323">
        <v>12.83</v>
      </c>
      <c r="G1323">
        <v>1.87</v>
      </c>
      <c r="H1323">
        <v>5.48</v>
      </c>
      <c r="I1323">
        <v>7.35</v>
      </c>
      <c r="J1323" t="s">
        <v>352</v>
      </c>
      <c r="K1323" t="str">
        <f t="shared" si="45"/>
        <v>jake15</v>
      </c>
      <c r="L1323">
        <f t="shared" si="46"/>
        <v>30.030400000000004</v>
      </c>
    </row>
    <row r="1324" spans="1:12" x14ac:dyDescent="0.25">
      <c r="A1324">
        <v>15</v>
      </c>
      <c r="B1324" t="s">
        <v>368</v>
      </c>
      <c r="C1324" t="s">
        <v>57</v>
      </c>
      <c r="D1324" s="1" t="s">
        <v>1664</v>
      </c>
      <c r="E1324">
        <v>5.15</v>
      </c>
      <c r="F1324">
        <v>6.74</v>
      </c>
      <c r="G1324">
        <v>0.44</v>
      </c>
      <c r="H1324">
        <v>3.15</v>
      </c>
      <c r="I1324">
        <v>3.59</v>
      </c>
      <c r="J1324" t="s">
        <v>353</v>
      </c>
      <c r="K1324" t="str">
        <f t="shared" si="45"/>
        <v>breanna15</v>
      </c>
      <c r="L1324">
        <f t="shared" si="46"/>
        <v>9.9224999999999994</v>
      </c>
    </row>
    <row r="1325" spans="1:12" x14ac:dyDescent="0.25">
      <c r="A1325">
        <v>15</v>
      </c>
      <c r="B1325" t="s">
        <v>61</v>
      </c>
      <c r="C1325" t="s">
        <v>57</v>
      </c>
      <c r="D1325" s="1" t="s">
        <v>1665</v>
      </c>
      <c r="E1325">
        <v>11.76</v>
      </c>
      <c r="F1325">
        <v>14.31</v>
      </c>
      <c r="G1325">
        <v>3.55</v>
      </c>
      <c r="H1325">
        <v>5.38</v>
      </c>
      <c r="I1325">
        <v>8.93</v>
      </c>
      <c r="J1325" t="s">
        <v>354</v>
      </c>
      <c r="K1325" t="str">
        <f t="shared" si="45"/>
        <v>joseph15</v>
      </c>
      <c r="L1325">
        <f t="shared" si="46"/>
        <v>28.944399999999998</v>
      </c>
    </row>
    <row r="1326" spans="1:12" x14ac:dyDescent="0.25">
      <c r="A1326">
        <v>15</v>
      </c>
      <c r="B1326" t="s">
        <v>182</v>
      </c>
      <c r="C1326" t="s">
        <v>57</v>
      </c>
      <c r="D1326" s="1" t="s">
        <v>1666</v>
      </c>
      <c r="E1326">
        <v>3.21</v>
      </c>
      <c r="F1326">
        <v>4.7300000000000004</v>
      </c>
      <c r="G1326">
        <v>0.05</v>
      </c>
      <c r="H1326">
        <v>2.34</v>
      </c>
      <c r="I1326">
        <v>2.39</v>
      </c>
      <c r="J1326" t="s">
        <v>355</v>
      </c>
      <c r="K1326" t="str">
        <f t="shared" si="45"/>
        <v>alyssa15</v>
      </c>
      <c r="L1326">
        <f t="shared" si="46"/>
        <v>5.4755999999999991</v>
      </c>
    </row>
    <row r="1327" spans="1:12" x14ac:dyDescent="0.25">
      <c r="A1327">
        <v>15</v>
      </c>
      <c r="B1327" t="s">
        <v>58</v>
      </c>
      <c r="C1327" t="s">
        <v>57</v>
      </c>
      <c r="D1327" s="1" t="s">
        <v>1667</v>
      </c>
      <c r="E1327">
        <v>9.34</v>
      </c>
      <c r="F1327">
        <v>11.42</v>
      </c>
      <c r="G1327">
        <v>2.96</v>
      </c>
      <c r="H1327">
        <v>4.2300000000000004</v>
      </c>
      <c r="I1327">
        <v>7.19</v>
      </c>
      <c r="J1327" t="s">
        <v>356</v>
      </c>
      <c r="K1327" t="str">
        <f t="shared" si="45"/>
        <v>chris15</v>
      </c>
      <c r="L1327">
        <f t="shared" si="46"/>
        <v>17.892900000000004</v>
      </c>
    </row>
    <row r="1328" spans="1:12" x14ac:dyDescent="0.25">
      <c r="A1328">
        <v>15</v>
      </c>
      <c r="B1328" t="s">
        <v>62</v>
      </c>
      <c r="C1328" t="s">
        <v>57</v>
      </c>
      <c r="D1328" s="1" t="s">
        <v>1668</v>
      </c>
      <c r="E1328">
        <v>13.27</v>
      </c>
      <c r="F1328">
        <v>16.920000000000002</v>
      </c>
      <c r="G1328">
        <v>4.3</v>
      </c>
      <c r="H1328">
        <v>6.31</v>
      </c>
      <c r="I1328">
        <v>10.61</v>
      </c>
      <c r="J1328" t="s">
        <v>357</v>
      </c>
      <c r="K1328" t="str">
        <f t="shared" si="45"/>
        <v>jordan15</v>
      </c>
      <c r="L1328">
        <f t="shared" si="46"/>
        <v>39.816099999999992</v>
      </c>
    </row>
    <row r="1329" spans="1:12" x14ac:dyDescent="0.25">
      <c r="A1329">
        <v>15</v>
      </c>
      <c r="B1329" t="s">
        <v>150</v>
      </c>
      <c r="C1329" t="s">
        <v>57</v>
      </c>
      <c r="D1329" s="1" t="s">
        <v>1669</v>
      </c>
      <c r="E1329">
        <v>9.08</v>
      </c>
      <c r="F1329">
        <v>12.19</v>
      </c>
      <c r="G1329">
        <v>1.59</v>
      </c>
      <c r="H1329">
        <v>5.3</v>
      </c>
      <c r="I1329">
        <v>6.89</v>
      </c>
      <c r="J1329" t="s">
        <v>358</v>
      </c>
      <c r="K1329" t="str">
        <f t="shared" si="45"/>
        <v>alex15</v>
      </c>
      <c r="L1329">
        <f t="shared" si="46"/>
        <v>28.09</v>
      </c>
    </row>
    <row r="1330" spans="1:12" x14ac:dyDescent="0.25">
      <c r="A1330">
        <v>15</v>
      </c>
      <c r="B1330" t="s">
        <v>73</v>
      </c>
      <c r="C1330" t="s">
        <v>57</v>
      </c>
      <c r="D1330" s="1" t="s">
        <v>1670</v>
      </c>
      <c r="E1330">
        <v>10.88</v>
      </c>
      <c r="F1330">
        <v>13.26</v>
      </c>
      <c r="G1330">
        <v>3.64</v>
      </c>
      <c r="H1330">
        <v>4.8099999999999996</v>
      </c>
      <c r="I1330">
        <v>8.4499999999999993</v>
      </c>
      <c r="J1330" t="s">
        <v>359</v>
      </c>
      <c r="K1330" t="str">
        <f t="shared" si="45"/>
        <v>colin15</v>
      </c>
      <c r="L1330">
        <f t="shared" si="46"/>
        <v>23.136099999999995</v>
      </c>
    </row>
    <row r="1331" spans="1:12" x14ac:dyDescent="0.25">
      <c r="A1331">
        <v>15</v>
      </c>
      <c r="B1331" t="s">
        <v>59</v>
      </c>
      <c r="C1331" t="s">
        <v>57</v>
      </c>
      <c r="D1331" s="1" t="s">
        <v>1671</v>
      </c>
      <c r="E1331">
        <v>9.1199999999999992</v>
      </c>
      <c r="F1331">
        <v>11.07</v>
      </c>
      <c r="G1331">
        <v>1.85</v>
      </c>
      <c r="H1331">
        <v>4.6100000000000003</v>
      </c>
      <c r="I1331">
        <v>6.46</v>
      </c>
      <c r="J1331" t="s">
        <v>360</v>
      </c>
      <c r="K1331" t="str">
        <f t="shared" si="45"/>
        <v>paul15</v>
      </c>
      <c r="L1331">
        <f t="shared" si="46"/>
        <v>21.252100000000002</v>
      </c>
    </row>
    <row r="1332" spans="1:12" x14ac:dyDescent="0.25">
      <c r="A1332">
        <v>15</v>
      </c>
      <c r="B1332" t="s">
        <v>196</v>
      </c>
      <c r="C1332" t="s">
        <v>63</v>
      </c>
      <c r="D1332" s="1" t="s">
        <v>1672</v>
      </c>
      <c r="E1332">
        <v>12.0304</v>
      </c>
      <c r="F1332">
        <v>18.649999999999999</v>
      </c>
      <c r="G1332">
        <v>5.43</v>
      </c>
      <c r="H1332">
        <v>6.61</v>
      </c>
      <c r="I1332">
        <v>12.0304</v>
      </c>
      <c r="J1332" t="s">
        <v>351</v>
      </c>
      <c r="K1332" t="str">
        <f t="shared" si="45"/>
        <v>andrew15</v>
      </c>
      <c r="L1332">
        <f t="shared" si="46"/>
        <v>43.692100000000003</v>
      </c>
    </row>
    <row r="1333" spans="1:12" x14ac:dyDescent="0.25">
      <c r="A1333">
        <v>15</v>
      </c>
      <c r="B1333" t="s">
        <v>318</v>
      </c>
      <c r="C1333" t="s">
        <v>63</v>
      </c>
      <c r="D1333" s="1" t="s">
        <v>1673</v>
      </c>
      <c r="E1333">
        <v>7.9739000000000004</v>
      </c>
      <c r="F1333">
        <v>13.12</v>
      </c>
      <c r="G1333">
        <v>2.84</v>
      </c>
      <c r="H1333">
        <v>5.14</v>
      </c>
      <c r="I1333">
        <v>7.9739000000000004</v>
      </c>
      <c r="J1333" t="s">
        <v>352</v>
      </c>
      <c r="K1333" t="str">
        <f t="shared" si="45"/>
        <v>jake15</v>
      </c>
      <c r="L1333">
        <f t="shared" si="46"/>
        <v>26.419599999999996</v>
      </c>
    </row>
    <row r="1334" spans="1:12" x14ac:dyDescent="0.25">
      <c r="A1334">
        <v>15</v>
      </c>
      <c r="B1334" t="s">
        <v>335</v>
      </c>
      <c r="C1334" t="s">
        <v>63</v>
      </c>
      <c r="D1334" s="1" t="s">
        <v>1674</v>
      </c>
      <c r="E1334">
        <v>5.2610000000000001</v>
      </c>
      <c r="F1334">
        <v>9.91</v>
      </c>
      <c r="G1334">
        <v>0.59</v>
      </c>
      <c r="H1334">
        <v>4.66</v>
      </c>
      <c r="I1334">
        <v>5.2610000000000001</v>
      </c>
      <c r="J1334" t="s">
        <v>353</v>
      </c>
      <c r="K1334" t="str">
        <f t="shared" si="45"/>
        <v>breanna15</v>
      </c>
      <c r="L1334">
        <f t="shared" si="46"/>
        <v>21.715600000000002</v>
      </c>
    </row>
    <row r="1335" spans="1:12" x14ac:dyDescent="0.25">
      <c r="A1335">
        <v>15</v>
      </c>
      <c r="B1335" t="s">
        <v>372</v>
      </c>
      <c r="C1335" t="s">
        <v>63</v>
      </c>
      <c r="D1335" s="1" t="s">
        <v>1675</v>
      </c>
      <c r="E1335">
        <v>3.1219999999999999</v>
      </c>
      <c r="F1335">
        <v>7.09</v>
      </c>
      <c r="G1335">
        <v>-0.85</v>
      </c>
      <c r="H1335">
        <v>3.97</v>
      </c>
      <c r="I1335">
        <v>3.1219999999999999</v>
      </c>
      <c r="J1335" t="s">
        <v>354</v>
      </c>
      <c r="K1335" t="str">
        <f t="shared" si="45"/>
        <v>joseph15</v>
      </c>
      <c r="L1335">
        <f t="shared" si="46"/>
        <v>15.760900000000001</v>
      </c>
    </row>
    <row r="1336" spans="1:12" x14ac:dyDescent="0.25">
      <c r="A1336">
        <v>15</v>
      </c>
      <c r="B1336" t="s">
        <v>389</v>
      </c>
      <c r="C1336" t="s">
        <v>63</v>
      </c>
      <c r="D1336" s="1" t="s">
        <v>1676</v>
      </c>
      <c r="E1336">
        <v>8.2668999999999997</v>
      </c>
      <c r="F1336">
        <v>13.81</v>
      </c>
      <c r="G1336">
        <v>2.73</v>
      </c>
      <c r="H1336">
        <v>5.54</v>
      </c>
      <c r="I1336">
        <v>8.2668999999999997</v>
      </c>
      <c r="J1336" t="s">
        <v>355</v>
      </c>
      <c r="K1336" t="str">
        <f t="shared" si="45"/>
        <v>alyssa15</v>
      </c>
      <c r="L1336">
        <f t="shared" si="46"/>
        <v>30.691600000000001</v>
      </c>
    </row>
    <row r="1337" spans="1:12" x14ac:dyDescent="0.25">
      <c r="A1337">
        <v>15</v>
      </c>
      <c r="B1337" t="s">
        <v>154</v>
      </c>
      <c r="C1337" t="s">
        <v>63</v>
      </c>
      <c r="D1337" s="1" t="s">
        <v>1677</v>
      </c>
      <c r="E1337">
        <v>8.6006999999999998</v>
      </c>
      <c r="F1337">
        <v>14.58</v>
      </c>
      <c r="G1337">
        <v>2.64</v>
      </c>
      <c r="H1337">
        <v>5.97</v>
      </c>
      <c r="I1337">
        <v>8.6006999999999998</v>
      </c>
      <c r="J1337" t="s">
        <v>356</v>
      </c>
      <c r="K1337" t="str">
        <f t="shared" si="45"/>
        <v>chris15</v>
      </c>
      <c r="L1337">
        <f t="shared" si="46"/>
        <v>35.640899999999995</v>
      </c>
    </row>
    <row r="1338" spans="1:12" x14ac:dyDescent="0.25">
      <c r="A1338">
        <v>15</v>
      </c>
      <c r="B1338" t="s">
        <v>203</v>
      </c>
      <c r="C1338" t="s">
        <v>63</v>
      </c>
      <c r="D1338" s="1" t="s">
        <v>1678</v>
      </c>
      <c r="E1338">
        <v>8.6074999999999999</v>
      </c>
      <c r="F1338">
        <v>14.04</v>
      </c>
      <c r="G1338">
        <v>3.2</v>
      </c>
      <c r="H1338">
        <v>5.42</v>
      </c>
      <c r="I1338">
        <v>8.6074999999999999</v>
      </c>
      <c r="J1338" t="s">
        <v>357</v>
      </c>
      <c r="K1338" t="str">
        <f t="shared" si="45"/>
        <v>jordan15</v>
      </c>
      <c r="L1338">
        <f t="shared" si="46"/>
        <v>29.3764</v>
      </c>
    </row>
    <row r="1339" spans="1:12" x14ac:dyDescent="0.25">
      <c r="A1339">
        <v>15</v>
      </c>
      <c r="B1339" t="s">
        <v>499</v>
      </c>
      <c r="C1339" t="s">
        <v>63</v>
      </c>
      <c r="D1339" s="1" t="s">
        <v>1679</v>
      </c>
      <c r="E1339">
        <v>7.66</v>
      </c>
      <c r="F1339">
        <v>12.52</v>
      </c>
      <c r="G1339">
        <v>2.8</v>
      </c>
      <c r="H1339">
        <v>4.8600000000000003</v>
      </c>
      <c r="I1339">
        <v>7.66</v>
      </c>
      <c r="J1339" t="s">
        <v>358</v>
      </c>
      <c r="K1339" t="str">
        <f t="shared" si="45"/>
        <v>alex15</v>
      </c>
      <c r="L1339">
        <f t="shared" si="46"/>
        <v>23.619600000000002</v>
      </c>
    </row>
    <row r="1340" spans="1:12" x14ac:dyDescent="0.25">
      <c r="A1340">
        <v>15</v>
      </c>
      <c r="B1340" t="s">
        <v>257</v>
      </c>
      <c r="C1340" t="s">
        <v>63</v>
      </c>
      <c r="D1340" s="1" t="s">
        <v>1680</v>
      </c>
      <c r="E1340">
        <v>11.331300000000001</v>
      </c>
      <c r="F1340">
        <v>18.149999999999999</v>
      </c>
      <c r="G1340">
        <v>4.49</v>
      </c>
      <c r="H1340">
        <v>6.83</v>
      </c>
      <c r="I1340">
        <v>11.331300000000001</v>
      </c>
      <c r="J1340" t="s">
        <v>359</v>
      </c>
      <c r="K1340" t="str">
        <f t="shared" si="45"/>
        <v>colin15</v>
      </c>
      <c r="L1340">
        <f t="shared" si="46"/>
        <v>46.648899999999998</v>
      </c>
    </row>
    <row r="1341" spans="1:12" x14ac:dyDescent="0.25">
      <c r="A1341">
        <v>15</v>
      </c>
      <c r="B1341" t="s">
        <v>255</v>
      </c>
      <c r="C1341" t="s">
        <v>63</v>
      </c>
      <c r="D1341" s="1" t="s">
        <v>1681</v>
      </c>
      <c r="E1341">
        <v>7.0727000000000002</v>
      </c>
      <c r="F1341">
        <v>12.98</v>
      </c>
      <c r="G1341">
        <v>1.18</v>
      </c>
      <c r="H1341">
        <v>5.9</v>
      </c>
      <c r="I1341">
        <v>7.0727000000000002</v>
      </c>
      <c r="J1341" t="s">
        <v>360</v>
      </c>
      <c r="K1341" t="str">
        <f t="shared" si="45"/>
        <v>paul15</v>
      </c>
      <c r="L1341">
        <f t="shared" si="46"/>
        <v>34.81</v>
      </c>
    </row>
    <row r="1342" spans="1:12" x14ac:dyDescent="0.25">
      <c r="A1342">
        <v>15</v>
      </c>
      <c r="B1342" t="s">
        <v>159</v>
      </c>
      <c r="C1342" t="s">
        <v>64</v>
      </c>
      <c r="D1342" s="1" t="s">
        <v>1682</v>
      </c>
      <c r="E1342">
        <v>7.69</v>
      </c>
      <c r="F1342">
        <v>11.41</v>
      </c>
      <c r="G1342">
        <v>4.03</v>
      </c>
      <c r="H1342">
        <v>3.69</v>
      </c>
      <c r="I1342">
        <v>7.72</v>
      </c>
      <c r="J1342" t="s">
        <v>351</v>
      </c>
      <c r="K1342" t="str">
        <f t="shared" si="45"/>
        <v>andrew15</v>
      </c>
      <c r="L1342">
        <f t="shared" si="46"/>
        <v>13.616099999999999</v>
      </c>
    </row>
    <row r="1343" spans="1:12" x14ac:dyDescent="0.25">
      <c r="A1343">
        <v>15</v>
      </c>
      <c r="B1343" t="s">
        <v>155</v>
      </c>
      <c r="C1343" t="s">
        <v>64</v>
      </c>
      <c r="D1343" s="1" t="s">
        <v>1683</v>
      </c>
      <c r="E1343">
        <v>8.4700000000000006</v>
      </c>
      <c r="F1343">
        <v>12.95</v>
      </c>
      <c r="G1343">
        <v>4.01</v>
      </c>
      <c r="H1343">
        <v>4.47</v>
      </c>
      <c r="I1343">
        <v>8.48</v>
      </c>
      <c r="J1343" t="s">
        <v>352</v>
      </c>
      <c r="K1343" t="str">
        <f t="shared" si="45"/>
        <v>jake15</v>
      </c>
      <c r="L1343">
        <f t="shared" si="46"/>
        <v>19.980899999999998</v>
      </c>
    </row>
    <row r="1344" spans="1:12" x14ac:dyDescent="0.25">
      <c r="A1344">
        <v>15</v>
      </c>
      <c r="B1344" t="s">
        <v>149</v>
      </c>
      <c r="C1344" t="s">
        <v>64</v>
      </c>
      <c r="D1344" s="1" t="s">
        <v>1684</v>
      </c>
      <c r="E1344">
        <v>9.18</v>
      </c>
      <c r="F1344">
        <v>13.6</v>
      </c>
      <c r="G1344">
        <v>4.76</v>
      </c>
      <c r="H1344">
        <v>4.42</v>
      </c>
      <c r="I1344">
        <v>9.18</v>
      </c>
      <c r="J1344" t="s">
        <v>353</v>
      </c>
      <c r="K1344" t="str">
        <f t="shared" si="45"/>
        <v>breanna15</v>
      </c>
      <c r="L1344">
        <f t="shared" si="46"/>
        <v>19.5364</v>
      </c>
    </row>
    <row r="1345" spans="1:12" x14ac:dyDescent="0.25">
      <c r="A1345">
        <v>15</v>
      </c>
      <c r="B1345" t="s">
        <v>376</v>
      </c>
      <c r="C1345" t="s">
        <v>64</v>
      </c>
      <c r="D1345" s="1" t="s">
        <v>1685</v>
      </c>
      <c r="E1345">
        <v>7.17</v>
      </c>
      <c r="F1345">
        <v>10.32</v>
      </c>
      <c r="G1345">
        <v>3.98</v>
      </c>
      <c r="H1345">
        <v>3.17</v>
      </c>
      <c r="I1345">
        <v>7.15</v>
      </c>
      <c r="J1345" t="s">
        <v>354</v>
      </c>
      <c r="K1345" t="str">
        <f t="shared" si="45"/>
        <v>joseph15</v>
      </c>
      <c r="L1345">
        <f t="shared" si="46"/>
        <v>10.0489</v>
      </c>
    </row>
    <row r="1346" spans="1:12" x14ac:dyDescent="0.25">
      <c r="A1346">
        <v>15</v>
      </c>
      <c r="B1346" t="s">
        <v>65</v>
      </c>
      <c r="C1346" t="s">
        <v>64</v>
      </c>
      <c r="D1346" s="1" t="s">
        <v>1686</v>
      </c>
      <c r="E1346">
        <v>9.41</v>
      </c>
      <c r="F1346">
        <v>13.34</v>
      </c>
      <c r="G1346">
        <v>5.56</v>
      </c>
      <c r="H1346">
        <v>3.89</v>
      </c>
      <c r="I1346">
        <v>9.4499999999999993</v>
      </c>
      <c r="J1346" t="s">
        <v>355</v>
      </c>
      <c r="K1346" t="str">
        <f t="shared" si="45"/>
        <v>alyssa15</v>
      </c>
      <c r="L1346">
        <f t="shared" si="46"/>
        <v>15.132100000000001</v>
      </c>
    </row>
    <row r="1347" spans="1:12" x14ac:dyDescent="0.25">
      <c r="A1347">
        <v>15</v>
      </c>
      <c r="B1347" t="s">
        <v>262</v>
      </c>
      <c r="C1347" t="s">
        <v>64</v>
      </c>
      <c r="D1347" s="1" t="s">
        <v>1687</v>
      </c>
      <c r="E1347">
        <v>9.3000000000000007</v>
      </c>
      <c r="F1347">
        <v>14.18</v>
      </c>
      <c r="G1347">
        <v>4.46</v>
      </c>
      <c r="H1347">
        <v>4.8600000000000003</v>
      </c>
      <c r="I1347">
        <v>9.32</v>
      </c>
      <c r="J1347" t="s">
        <v>356</v>
      </c>
      <c r="K1347" t="str">
        <f t="shared" ref="K1347:K1410" si="47">J1347&amp;A1347</f>
        <v>chris15</v>
      </c>
      <c r="L1347">
        <f t="shared" ref="L1347:L1410" si="48">H1347^2</f>
        <v>23.619600000000002</v>
      </c>
    </row>
    <row r="1348" spans="1:12" x14ac:dyDescent="0.25">
      <c r="A1348">
        <v>15</v>
      </c>
      <c r="B1348" t="s">
        <v>394</v>
      </c>
      <c r="C1348" t="s">
        <v>64</v>
      </c>
      <c r="D1348" s="1" t="s">
        <v>1688</v>
      </c>
      <c r="E1348">
        <v>8.84</v>
      </c>
      <c r="F1348">
        <v>13.45</v>
      </c>
      <c r="G1348">
        <v>4.2699999999999996</v>
      </c>
      <c r="H1348">
        <v>4.59</v>
      </c>
      <c r="I1348">
        <v>8.86</v>
      </c>
      <c r="J1348" t="s">
        <v>357</v>
      </c>
      <c r="K1348" t="str">
        <f t="shared" si="47"/>
        <v>jordan15</v>
      </c>
      <c r="L1348">
        <f t="shared" si="48"/>
        <v>21.068099999999998</v>
      </c>
    </row>
    <row r="1349" spans="1:12" x14ac:dyDescent="0.25">
      <c r="A1349">
        <v>15</v>
      </c>
      <c r="B1349" t="s">
        <v>378</v>
      </c>
      <c r="C1349" t="s">
        <v>64</v>
      </c>
      <c r="D1349" s="1" t="s">
        <v>1689</v>
      </c>
      <c r="E1349">
        <v>8.85</v>
      </c>
      <c r="F1349">
        <v>12.97</v>
      </c>
      <c r="G1349">
        <v>4.6900000000000004</v>
      </c>
      <c r="H1349">
        <v>4.1399999999999997</v>
      </c>
      <c r="I1349">
        <v>8.83</v>
      </c>
      <c r="J1349" t="s">
        <v>358</v>
      </c>
      <c r="K1349" t="str">
        <f t="shared" si="47"/>
        <v>alex15</v>
      </c>
      <c r="L1349">
        <f t="shared" si="48"/>
        <v>17.139599999999998</v>
      </c>
    </row>
    <row r="1350" spans="1:12" x14ac:dyDescent="0.25">
      <c r="A1350">
        <v>15</v>
      </c>
      <c r="B1350" t="s">
        <v>261</v>
      </c>
      <c r="C1350" t="s">
        <v>64</v>
      </c>
      <c r="D1350" s="1" t="s">
        <v>1690</v>
      </c>
      <c r="E1350">
        <v>8.17</v>
      </c>
      <c r="F1350">
        <v>13.5</v>
      </c>
      <c r="G1350">
        <v>2.9</v>
      </c>
      <c r="H1350">
        <v>5.3</v>
      </c>
      <c r="I1350">
        <v>8.1999999999999993</v>
      </c>
      <c r="J1350" t="s">
        <v>359</v>
      </c>
      <c r="K1350" t="str">
        <f t="shared" si="47"/>
        <v>colin15</v>
      </c>
      <c r="L1350">
        <f t="shared" si="48"/>
        <v>28.09</v>
      </c>
    </row>
    <row r="1351" spans="1:12" x14ac:dyDescent="0.25">
      <c r="A1351">
        <v>15</v>
      </c>
      <c r="B1351" t="s">
        <v>167</v>
      </c>
      <c r="C1351" t="s">
        <v>64</v>
      </c>
      <c r="D1351" s="1" t="s">
        <v>1691</v>
      </c>
      <c r="E1351">
        <v>9.9700000000000006</v>
      </c>
      <c r="F1351">
        <v>13.69</v>
      </c>
      <c r="G1351">
        <v>6.21</v>
      </c>
      <c r="H1351">
        <v>3.74</v>
      </c>
      <c r="I1351">
        <v>9.9499999999999993</v>
      </c>
      <c r="J1351" t="s">
        <v>360</v>
      </c>
      <c r="K1351" t="str">
        <f t="shared" si="47"/>
        <v>paul15</v>
      </c>
      <c r="L1351">
        <f t="shared" si="48"/>
        <v>13.987600000000002</v>
      </c>
    </row>
    <row r="1352" spans="1:12" x14ac:dyDescent="0.25">
      <c r="A1352">
        <v>16</v>
      </c>
      <c r="B1352" t="s">
        <v>68</v>
      </c>
      <c r="C1352" t="s">
        <v>10</v>
      </c>
      <c r="D1352" s="1" t="s">
        <v>1692</v>
      </c>
      <c r="E1352">
        <v>13.18</v>
      </c>
      <c r="F1352">
        <v>18.72</v>
      </c>
      <c r="G1352">
        <v>5.16</v>
      </c>
      <c r="H1352">
        <v>6.78</v>
      </c>
      <c r="I1352">
        <v>11.94</v>
      </c>
      <c r="J1352" t="s">
        <v>351</v>
      </c>
      <c r="K1352" t="str">
        <f t="shared" si="47"/>
        <v>andrew16</v>
      </c>
      <c r="L1352">
        <f t="shared" si="48"/>
        <v>45.968400000000003</v>
      </c>
    </row>
    <row r="1353" spans="1:12" x14ac:dyDescent="0.25">
      <c r="A1353">
        <v>16</v>
      </c>
      <c r="B1353" t="s">
        <v>30</v>
      </c>
      <c r="C1353" t="s">
        <v>10</v>
      </c>
      <c r="D1353" s="1" t="s">
        <v>1693</v>
      </c>
      <c r="E1353">
        <v>13.29</v>
      </c>
      <c r="F1353">
        <v>16.93</v>
      </c>
      <c r="G1353">
        <v>6.49</v>
      </c>
      <c r="H1353">
        <v>5.22</v>
      </c>
      <c r="I1353">
        <v>11.71</v>
      </c>
      <c r="J1353" t="s">
        <v>351</v>
      </c>
      <c r="K1353" t="str">
        <f t="shared" si="47"/>
        <v>andrew16</v>
      </c>
      <c r="L1353">
        <f t="shared" si="48"/>
        <v>27.248399999999997</v>
      </c>
    </row>
    <row r="1354" spans="1:12" x14ac:dyDescent="0.25">
      <c r="A1354">
        <v>16</v>
      </c>
      <c r="B1354" t="s">
        <v>181</v>
      </c>
      <c r="C1354" t="s">
        <v>10</v>
      </c>
      <c r="D1354" s="1" t="s">
        <v>1694</v>
      </c>
      <c r="E1354">
        <v>12.52</v>
      </c>
      <c r="F1354">
        <v>16.510000000000002</v>
      </c>
      <c r="G1354">
        <v>4.09</v>
      </c>
      <c r="H1354">
        <v>6.21</v>
      </c>
      <c r="I1354">
        <v>10.3</v>
      </c>
      <c r="J1354" t="s">
        <v>352</v>
      </c>
      <c r="K1354" t="str">
        <f t="shared" si="47"/>
        <v>jake16</v>
      </c>
      <c r="L1354">
        <f t="shared" si="48"/>
        <v>38.564099999999996</v>
      </c>
    </row>
    <row r="1355" spans="1:12" x14ac:dyDescent="0.25">
      <c r="A1355">
        <v>16</v>
      </c>
      <c r="B1355" t="s">
        <v>20</v>
      </c>
      <c r="C1355" t="s">
        <v>10</v>
      </c>
      <c r="D1355" s="1" t="s">
        <v>1695</v>
      </c>
      <c r="E1355">
        <v>11.13</v>
      </c>
      <c r="F1355">
        <v>16.05</v>
      </c>
      <c r="G1355">
        <v>3.53</v>
      </c>
      <c r="H1355">
        <v>6.26</v>
      </c>
      <c r="I1355">
        <v>9.7899999999999991</v>
      </c>
      <c r="J1355" t="s">
        <v>352</v>
      </c>
      <c r="K1355" t="str">
        <f t="shared" si="47"/>
        <v>jake16</v>
      </c>
      <c r="L1355">
        <f t="shared" si="48"/>
        <v>39.187599999999996</v>
      </c>
    </row>
    <row r="1356" spans="1:12" x14ac:dyDescent="0.25">
      <c r="A1356">
        <v>16</v>
      </c>
      <c r="B1356" t="s">
        <v>9</v>
      </c>
      <c r="C1356" t="s">
        <v>10</v>
      </c>
      <c r="D1356" s="1" t="s">
        <v>1696</v>
      </c>
      <c r="E1356">
        <v>10.58</v>
      </c>
      <c r="F1356">
        <v>16.38</v>
      </c>
      <c r="G1356">
        <v>2.16</v>
      </c>
      <c r="H1356">
        <v>7.11</v>
      </c>
      <c r="I1356">
        <v>9.27</v>
      </c>
      <c r="J1356" t="s">
        <v>352</v>
      </c>
      <c r="K1356" t="str">
        <f t="shared" si="47"/>
        <v>jake16</v>
      </c>
      <c r="L1356">
        <f t="shared" si="48"/>
        <v>50.552100000000003</v>
      </c>
    </row>
    <row r="1357" spans="1:12" x14ac:dyDescent="0.25">
      <c r="A1357">
        <v>16</v>
      </c>
      <c r="B1357" t="s">
        <v>27</v>
      </c>
      <c r="C1357" t="s">
        <v>10</v>
      </c>
      <c r="D1357" s="1" t="s">
        <v>1697</v>
      </c>
      <c r="E1357">
        <v>17.63</v>
      </c>
      <c r="F1357">
        <v>22.6</v>
      </c>
      <c r="G1357">
        <v>7.86</v>
      </c>
      <c r="H1357">
        <v>7.37</v>
      </c>
      <c r="I1357">
        <v>15.23</v>
      </c>
      <c r="J1357" t="s">
        <v>353</v>
      </c>
      <c r="K1357" t="str">
        <f t="shared" si="47"/>
        <v>breanna16</v>
      </c>
      <c r="L1357">
        <f t="shared" si="48"/>
        <v>54.316900000000004</v>
      </c>
    </row>
    <row r="1358" spans="1:12" x14ac:dyDescent="0.25">
      <c r="A1358">
        <v>16</v>
      </c>
      <c r="B1358" t="s">
        <v>219</v>
      </c>
      <c r="C1358" t="s">
        <v>10</v>
      </c>
      <c r="D1358" s="1" t="s">
        <v>1698</v>
      </c>
      <c r="E1358">
        <v>14.32</v>
      </c>
      <c r="F1358">
        <v>18.920000000000002</v>
      </c>
      <c r="G1358">
        <v>7.06</v>
      </c>
      <c r="H1358">
        <v>5.93</v>
      </c>
      <c r="I1358">
        <v>12.99</v>
      </c>
      <c r="J1358" t="s">
        <v>353</v>
      </c>
      <c r="K1358" t="str">
        <f t="shared" si="47"/>
        <v>breanna16</v>
      </c>
      <c r="L1358">
        <f t="shared" si="48"/>
        <v>35.164899999999996</v>
      </c>
    </row>
    <row r="1359" spans="1:12" x14ac:dyDescent="0.25">
      <c r="A1359">
        <v>16</v>
      </c>
      <c r="B1359" t="s">
        <v>22</v>
      </c>
      <c r="C1359" t="s">
        <v>10</v>
      </c>
      <c r="D1359" s="1" t="s">
        <v>1699</v>
      </c>
      <c r="E1359">
        <v>9.7799999999999994</v>
      </c>
      <c r="F1359">
        <v>15.32</v>
      </c>
      <c r="G1359">
        <v>1.9</v>
      </c>
      <c r="H1359">
        <v>6.71</v>
      </c>
      <c r="I1359">
        <v>8.61</v>
      </c>
      <c r="J1359" t="s">
        <v>353</v>
      </c>
      <c r="K1359" t="str">
        <f t="shared" si="47"/>
        <v>breanna16</v>
      </c>
      <c r="L1359">
        <f t="shared" si="48"/>
        <v>45.024099999999997</v>
      </c>
    </row>
    <row r="1360" spans="1:12" x14ac:dyDescent="0.25">
      <c r="A1360">
        <v>16</v>
      </c>
      <c r="B1360" t="s">
        <v>216</v>
      </c>
      <c r="C1360" t="s">
        <v>10</v>
      </c>
      <c r="D1360" s="1" t="s">
        <v>1700</v>
      </c>
      <c r="E1360">
        <v>15.41</v>
      </c>
      <c r="F1360">
        <v>21.53</v>
      </c>
      <c r="G1360">
        <v>4.95</v>
      </c>
      <c r="H1360">
        <v>8.2899999999999991</v>
      </c>
      <c r="I1360">
        <v>13.24</v>
      </c>
      <c r="J1360" t="s">
        <v>354</v>
      </c>
      <c r="K1360" t="str">
        <f t="shared" si="47"/>
        <v>joseph16</v>
      </c>
      <c r="L1360">
        <f t="shared" si="48"/>
        <v>68.724099999999993</v>
      </c>
    </row>
    <row r="1361" spans="1:12" x14ac:dyDescent="0.25">
      <c r="A1361">
        <v>16</v>
      </c>
      <c r="B1361" t="s">
        <v>16</v>
      </c>
      <c r="C1361" t="s">
        <v>10</v>
      </c>
      <c r="D1361" s="1" t="s">
        <v>1701</v>
      </c>
      <c r="E1361">
        <v>12.37</v>
      </c>
      <c r="F1361">
        <v>15.91</v>
      </c>
      <c r="G1361">
        <v>7.17</v>
      </c>
      <c r="H1361">
        <v>4.37</v>
      </c>
      <c r="I1361">
        <v>11.54</v>
      </c>
      <c r="J1361" t="s">
        <v>354</v>
      </c>
      <c r="K1361" t="str">
        <f t="shared" si="47"/>
        <v>joseph16</v>
      </c>
      <c r="L1361">
        <f t="shared" si="48"/>
        <v>19.096900000000002</v>
      </c>
    </row>
    <row r="1362" spans="1:12" x14ac:dyDescent="0.25">
      <c r="A1362">
        <v>16</v>
      </c>
      <c r="B1362" t="s">
        <v>75</v>
      </c>
      <c r="C1362" t="s">
        <v>10</v>
      </c>
      <c r="D1362" s="1" t="s">
        <v>1702</v>
      </c>
      <c r="E1362">
        <v>20.74</v>
      </c>
      <c r="F1362">
        <v>30.1</v>
      </c>
      <c r="G1362">
        <v>8.24</v>
      </c>
      <c r="H1362">
        <v>10.93</v>
      </c>
      <c r="I1362">
        <v>19.170000000000002</v>
      </c>
      <c r="J1362" t="s">
        <v>355</v>
      </c>
      <c r="K1362" t="str">
        <f t="shared" si="47"/>
        <v>alyssa16</v>
      </c>
      <c r="L1362">
        <f t="shared" si="48"/>
        <v>119.4649</v>
      </c>
    </row>
    <row r="1363" spans="1:12" x14ac:dyDescent="0.25">
      <c r="A1363">
        <v>16</v>
      </c>
      <c r="B1363" t="s">
        <v>28</v>
      </c>
      <c r="C1363" t="s">
        <v>10</v>
      </c>
      <c r="D1363" s="1" t="s">
        <v>1703</v>
      </c>
      <c r="E1363">
        <v>17.170000000000002</v>
      </c>
      <c r="F1363">
        <v>22.4</v>
      </c>
      <c r="G1363">
        <v>6.24</v>
      </c>
      <c r="H1363">
        <v>8.08</v>
      </c>
      <c r="I1363">
        <v>14.32</v>
      </c>
      <c r="J1363" t="s">
        <v>355</v>
      </c>
      <c r="K1363" t="str">
        <f t="shared" si="47"/>
        <v>alyssa16</v>
      </c>
      <c r="L1363">
        <f t="shared" si="48"/>
        <v>65.2864</v>
      </c>
    </row>
    <row r="1364" spans="1:12" x14ac:dyDescent="0.25">
      <c r="A1364">
        <v>16</v>
      </c>
      <c r="B1364" t="s">
        <v>202</v>
      </c>
      <c r="C1364" t="s">
        <v>10</v>
      </c>
      <c r="D1364" s="1" t="s">
        <v>1704</v>
      </c>
      <c r="E1364">
        <v>10.25</v>
      </c>
      <c r="F1364">
        <v>16.12</v>
      </c>
      <c r="G1364">
        <v>2.2799999999999998</v>
      </c>
      <c r="H1364">
        <v>6.92</v>
      </c>
      <c r="I1364">
        <v>9.1999999999999993</v>
      </c>
      <c r="J1364" t="s">
        <v>355</v>
      </c>
      <c r="K1364" t="str">
        <f t="shared" si="47"/>
        <v>alyssa16</v>
      </c>
      <c r="L1364">
        <f t="shared" si="48"/>
        <v>47.886400000000002</v>
      </c>
    </row>
    <row r="1365" spans="1:12" x14ac:dyDescent="0.25">
      <c r="A1365">
        <v>16</v>
      </c>
      <c r="B1365" t="s">
        <v>25</v>
      </c>
      <c r="C1365" t="s">
        <v>10</v>
      </c>
      <c r="D1365" s="1" t="s">
        <v>1705</v>
      </c>
      <c r="E1365">
        <v>20.149999999999999</v>
      </c>
      <c r="F1365">
        <v>26.3</v>
      </c>
      <c r="G1365">
        <v>9.84</v>
      </c>
      <c r="H1365">
        <v>8.23</v>
      </c>
      <c r="I1365">
        <v>18.07</v>
      </c>
      <c r="J1365" t="s">
        <v>356</v>
      </c>
      <c r="K1365" t="str">
        <f t="shared" si="47"/>
        <v>chris16</v>
      </c>
      <c r="L1365">
        <f t="shared" si="48"/>
        <v>67.732900000000001</v>
      </c>
    </row>
    <row r="1366" spans="1:12" x14ac:dyDescent="0.25">
      <c r="A1366">
        <v>16</v>
      </c>
      <c r="B1366" t="s">
        <v>160</v>
      </c>
      <c r="C1366" t="s">
        <v>10</v>
      </c>
      <c r="D1366" s="1" t="s">
        <v>1706</v>
      </c>
      <c r="E1366">
        <v>11.22</v>
      </c>
      <c r="F1366">
        <v>14.71</v>
      </c>
      <c r="G1366">
        <v>4.87</v>
      </c>
      <c r="H1366">
        <v>4.92</v>
      </c>
      <c r="I1366">
        <v>9.7899999999999991</v>
      </c>
      <c r="J1366" t="s">
        <v>356</v>
      </c>
      <c r="K1366" t="str">
        <f t="shared" si="47"/>
        <v>chris16</v>
      </c>
      <c r="L1366">
        <f t="shared" si="48"/>
        <v>24.206399999999999</v>
      </c>
    </row>
    <row r="1367" spans="1:12" x14ac:dyDescent="0.25">
      <c r="A1367">
        <v>16</v>
      </c>
      <c r="B1367" t="s">
        <v>158</v>
      </c>
      <c r="C1367" t="s">
        <v>10</v>
      </c>
      <c r="D1367" s="1" t="s">
        <v>1707</v>
      </c>
      <c r="E1367">
        <v>19.43</v>
      </c>
      <c r="F1367">
        <v>26.13</v>
      </c>
      <c r="G1367">
        <v>8.31</v>
      </c>
      <c r="H1367">
        <v>8.91</v>
      </c>
      <c r="I1367">
        <v>17.22</v>
      </c>
      <c r="J1367" t="s">
        <v>357</v>
      </c>
      <c r="K1367" t="str">
        <f t="shared" si="47"/>
        <v>jordan16</v>
      </c>
      <c r="L1367">
        <f t="shared" si="48"/>
        <v>79.388100000000009</v>
      </c>
    </row>
    <row r="1368" spans="1:12" x14ac:dyDescent="0.25">
      <c r="A1368">
        <v>16</v>
      </c>
      <c r="B1368" t="s">
        <v>284</v>
      </c>
      <c r="C1368" t="s">
        <v>10</v>
      </c>
      <c r="D1368" s="1" t="s">
        <v>1708</v>
      </c>
      <c r="E1368">
        <v>15.14</v>
      </c>
      <c r="F1368">
        <v>22.39</v>
      </c>
      <c r="G1368">
        <v>5.21</v>
      </c>
      <c r="H1368">
        <v>8.59</v>
      </c>
      <c r="I1368">
        <v>13.8</v>
      </c>
      <c r="J1368" t="s">
        <v>357</v>
      </c>
      <c r="K1368" t="str">
        <f t="shared" si="47"/>
        <v>jordan16</v>
      </c>
      <c r="L1368">
        <f t="shared" si="48"/>
        <v>73.7881</v>
      </c>
    </row>
    <row r="1369" spans="1:12" x14ac:dyDescent="0.25">
      <c r="A1369">
        <v>16</v>
      </c>
      <c r="B1369" t="s">
        <v>157</v>
      </c>
      <c r="C1369" t="s">
        <v>10</v>
      </c>
      <c r="D1369" s="1" t="s">
        <v>1709</v>
      </c>
      <c r="E1369">
        <v>11</v>
      </c>
      <c r="F1369">
        <v>17.989999999999998</v>
      </c>
      <c r="G1369">
        <v>3.19</v>
      </c>
      <c r="H1369">
        <v>7.4</v>
      </c>
      <c r="I1369">
        <v>10.59</v>
      </c>
      <c r="J1369" t="s">
        <v>357</v>
      </c>
      <c r="K1369" t="str">
        <f t="shared" si="47"/>
        <v>jordan16</v>
      </c>
      <c r="L1369">
        <f t="shared" si="48"/>
        <v>54.760000000000005</v>
      </c>
    </row>
    <row r="1370" spans="1:12" x14ac:dyDescent="0.25">
      <c r="A1370">
        <v>16</v>
      </c>
      <c r="B1370" t="s">
        <v>12</v>
      </c>
      <c r="C1370" t="s">
        <v>10</v>
      </c>
      <c r="D1370" s="1" t="s">
        <v>1710</v>
      </c>
      <c r="E1370">
        <v>14.21</v>
      </c>
      <c r="F1370">
        <v>20.37</v>
      </c>
      <c r="G1370">
        <v>5.45</v>
      </c>
      <c r="H1370">
        <v>7.46</v>
      </c>
      <c r="I1370">
        <v>12.91</v>
      </c>
      <c r="J1370" t="s">
        <v>358</v>
      </c>
      <c r="K1370" t="str">
        <f t="shared" si="47"/>
        <v>alex16</v>
      </c>
      <c r="L1370">
        <f t="shared" si="48"/>
        <v>55.651600000000002</v>
      </c>
    </row>
    <row r="1371" spans="1:12" x14ac:dyDescent="0.25">
      <c r="A1371">
        <v>16</v>
      </c>
      <c r="B1371" t="s">
        <v>14</v>
      </c>
      <c r="C1371" t="s">
        <v>10</v>
      </c>
      <c r="D1371" s="1" t="s">
        <v>1711</v>
      </c>
      <c r="E1371">
        <v>12.64</v>
      </c>
      <c r="F1371">
        <v>18.489999999999998</v>
      </c>
      <c r="G1371">
        <v>3.89</v>
      </c>
      <c r="H1371">
        <v>7.3</v>
      </c>
      <c r="I1371">
        <v>11.19</v>
      </c>
      <c r="J1371" t="s">
        <v>358</v>
      </c>
      <c r="K1371" t="str">
        <f t="shared" si="47"/>
        <v>alex16</v>
      </c>
      <c r="L1371">
        <f t="shared" si="48"/>
        <v>53.29</v>
      </c>
    </row>
    <row r="1372" spans="1:12" x14ac:dyDescent="0.25">
      <c r="A1372">
        <v>16</v>
      </c>
      <c r="B1372" t="s">
        <v>152</v>
      </c>
      <c r="C1372" t="s">
        <v>10</v>
      </c>
      <c r="D1372" s="1" t="s">
        <v>1712</v>
      </c>
      <c r="E1372">
        <v>19.079999999999998</v>
      </c>
      <c r="F1372">
        <v>24.64</v>
      </c>
      <c r="G1372">
        <v>8.4600000000000009</v>
      </c>
      <c r="H1372">
        <v>8.09</v>
      </c>
      <c r="I1372">
        <v>16.55</v>
      </c>
      <c r="J1372" t="s">
        <v>359</v>
      </c>
      <c r="K1372" t="str">
        <f t="shared" si="47"/>
        <v>colin16</v>
      </c>
      <c r="L1372">
        <f t="shared" si="48"/>
        <v>65.448099999999997</v>
      </c>
    </row>
    <row r="1373" spans="1:12" x14ac:dyDescent="0.25">
      <c r="A1373">
        <v>16</v>
      </c>
      <c r="B1373" t="s">
        <v>265</v>
      </c>
      <c r="C1373" t="s">
        <v>10</v>
      </c>
      <c r="D1373" s="1" t="s">
        <v>1713</v>
      </c>
      <c r="E1373">
        <v>9.6</v>
      </c>
      <c r="F1373">
        <v>14.11</v>
      </c>
      <c r="G1373">
        <v>1.99</v>
      </c>
      <c r="H1373">
        <v>6.06</v>
      </c>
      <c r="I1373">
        <v>8.0500000000000007</v>
      </c>
      <c r="J1373" t="s">
        <v>359</v>
      </c>
      <c r="K1373" t="str">
        <f t="shared" si="47"/>
        <v>colin16</v>
      </c>
      <c r="L1373">
        <f t="shared" si="48"/>
        <v>36.723599999999998</v>
      </c>
    </row>
    <row r="1374" spans="1:12" x14ac:dyDescent="0.25">
      <c r="A1374">
        <v>16</v>
      </c>
      <c r="B1374" t="s">
        <v>264</v>
      </c>
      <c r="C1374" t="s">
        <v>10</v>
      </c>
      <c r="D1374" s="1" t="s">
        <v>1714</v>
      </c>
      <c r="E1374">
        <v>7.47</v>
      </c>
      <c r="F1374">
        <v>12.29</v>
      </c>
      <c r="G1374">
        <v>1.39</v>
      </c>
      <c r="H1374">
        <v>5.45</v>
      </c>
      <c r="I1374">
        <v>6.84</v>
      </c>
      <c r="J1374" t="s">
        <v>359</v>
      </c>
      <c r="K1374" t="str">
        <f t="shared" si="47"/>
        <v>colin16</v>
      </c>
      <c r="L1374">
        <f t="shared" si="48"/>
        <v>29.702500000000001</v>
      </c>
    </row>
    <row r="1375" spans="1:12" x14ac:dyDescent="0.25">
      <c r="A1375">
        <v>16</v>
      </c>
      <c r="B1375" t="s">
        <v>13</v>
      </c>
      <c r="C1375" t="s">
        <v>10</v>
      </c>
      <c r="D1375" s="1" t="s">
        <v>1715</v>
      </c>
      <c r="E1375">
        <v>13.44</v>
      </c>
      <c r="F1375">
        <v>18.190000000000001</v>
      </c>
      <c r="G1375">
        <v>5.57</v>
      </c>
      <c r="H1375">
        <v>6.31</v>
      </c>
      <c r="I1375">
        <v>11.88</v>
      </c>
      <c r="J1375" t="s">
        <v>360</v>
      </c>
      <c r="K1375" t="str">
        <f t="shared" si="47"/>
        <v>paul16</v>
      </c>
      <c r="L1375">
        <f t="shared" si="48"/>
        <v>39.816099999999992</v>
      </c>
    </row>
    <row r="1376" spans="1:12" x14ac:dyDescent="0.25">
      <c r="A1376">
        <v>16</v>
      </c>
      <c r="B1376" t="s">
        <v>115</v>
      </c>
      <c r="C1376" t="s">
        <v>10</v>
      </c>
      <c r="D1376" s="1" t="s">
        <v>1716</v>
      </c>
      <c r="E1376">
        <v>12.49</v>
      </c>
      <c r="F1376">
        <v>16.7</v>
      </c>
      <c r="G1376">
        <v>5.38</v>
      </c>
      <c r="H1376">
        <v>5.66</v>
      </c>
      <c r="I1376">
        <v>11.04</v>
      </c>
      <c r="J1376" t="s">
        <v>360</v>
      </c>
      <c r="K1376" t="str">
        <f t="shared" si="47"/>
        <v>paul16</v>
      </c>
      <c r="L1376">
        <f t="shared" si="48"/>
        <v>32.035600000000002</v>
      </c>
    </row>
    <row r="1377" spans="1:12" x14ac:dyDescent="0.25">
      <c r="A1377">
        <v>16</v>
      </c>
      <c r="B1377" t="s">
        <v>186</v>
      </c>
      <c r="C1377" t="s">
        <v>10</v>
      </c>
      <c r="D1377" s="1" t="s">
        <v>1717</v>
      </c>
      <c r="E1377">
        <v>10.74</v>
      </c>
      <c r="F1377">
        <v>17.18</v>
      </c>
      <c r="G1377">
        <v>1.44</v>
      </c>
      <c r="H1377">
        <v>7.87</v>
      </c>
      <c r="I1377">
        <v>9.31</v>
      </c>
      <c r="J1377" t="s">
        <v>360</v>
      </c>
      <c r="K1377" t="str">
        <f t="shared" si="47"/>
        <v>paul16</v>
      </c>
      <c r="L1377">
        <f t="shared" si="48"/>
        <v>61.936900000000001</v>
      </c>
    </row>
    <row r="1378" spans="1:12" x14ac:dyDescent="0.25">
      <c r="A1378">
        <v>16</v>
      </c>
      <c r="B1378" t="s">
        <v>41</v>
      </c>
      <c r="C1378" t="s">
        <v>32</v>
      </c>
      <c r="D1378" s="1" t="s">
        <v>1718</v>
      </c>
      <c r="E1378">
        <v>17.39</v>
      </c>
      <c r="F1378">
        <v>20.6</v>
      </c>
      <c r="G1378">
        <v>7.06</v>
      </c>
      <c r="H1378">
        <v>6.77</v>
      </c>
      <c r="I1378">
        <v>13.83</v>
      </c>
      <c r="J1378" t="s">
        <v>351</v>
      </c>
      <c r="K1378" t="str">
        <f t="shared" si="47"/>
        <v>andrew16</v>
      </c>
      <c r="L1378">
        <f t="shared" si="48"/>
        <v>45.832899999999995</v>
      </c>
    </row>
    <row r="1379" spans="1:12" x14ac:dyDescent="0.25">
      <c r="A1379">
        <v>16</v>
      </c>
      <c r="B1379" t="s">
        <v>72</v>
      </c>
      <c r="C1379" t="s">
        <v>32</v>
      </c>
      <c r="D1379" s="1" t="s">
        <v>1719</v>
      </c>
      <c r="E1379">
        <v>15.19</v>
      </c>
      <c r="F1379">
        <v>19.78</v>
      </c>
      <c r="G1379">
        <v>4.28</v>
      </c>
      <c r="H1379">
        <v>7.75</v>
      </c>
      <c r="I1379">
        <v>12.03</v>
      </c>
      <c r="J1379" t="s">
        <v>351</v>
      </c>
      <c r="K1379" t="str">
        <f t="shared" si="47"/>
        <v>andrew16</v>
      </c>
      <c r="L1379">
        <f t="shared" si="48"/>
        <v>60.0625</v>
      </c>
    </row>
    <row r="1380" spans="1:12" x14ac:dyDescent="0.25">
      <c r="A1380">
        <v>16</v>
      </c>
      <c r="B1380" t="s">
        <v>162</v>
      </c>
      <c r="C1380" t="s">
        <v>32</v>
      </c>
      <c r="D1380" s="1" t="s">
        <v>1720</v>
      </c>
      <c r="E1380">
        <v>12.52</v>
      </c>
      <c r="F1380">
        <v>16.61</v>
      </c>
      <c r="G1380">
        <v>3.63</v>
      </c>
      <c r="H1380">
        <v>6.49</v>
      </c>
      <c r="I1380">
        <v>10.119999999999999</v>
      </c>
      <c r="J1380" t="s">
        <v>351</v>
      </c>
      <c r="K1380" t="str">
        <f t="shared" si="47"/>
        <v>andrew16</v>
      </c>
      <c r="L1380">
        <f t="shared" si="48"/>
        <v>42.120100000000001</v>
      </c>
    </row>
    <row r="1381" spans="1:12" x14ac:dyDescent="0.25">
      <c r="A1381">
        <v>16</v>
      </c>
      <c r="B1381" t="s">
        <v>33</v>
      </c>
      <c r="C1381" t="s">
        <v>32</v>
      </c>
      <c r="D1381" s="1" t="s">
        <v>1721</v>
      </c>
      <c r="E1381">
        <v>16.8</v>
      </c>
      <c r="F1381">
        <v>22</v>
      </c>
      <c r="G1381">
        <v>5.46</v>
      </c>
      <c r="H1381">
        <v>8.27</v>
      </c>
      <c r="I1381">
        <v>13.73</v>
      </c>
      <c r="J1381" t="s">
        <v>352</v>
      </c>
      <c r="K1381" t="str">
        <f t="shared" si="47"/>
        <v>jake16</v>
      </c>
      <c r="L1381">
        <f t="shared" si="48"/>
        <v>68.392899999999997</v>
      </c>
    </row>
    <row r="1382" spans="1:12" x14ac:dyDescent="0.25">
      <c r="A1382">
        <v>16</v>
      </c>
      <c r="B1382" t="s">
        <v>285</v>
      </c>
      <c r="C1382" t="s">
        <v>32</v>
      </c>
      <c r="D1382" s="1" t="s">
        <v>1722</v>
      </c>
      <c r="E1382">
        <v>11.54</v>
      </c>
      <c r="F1382">
        <v>15.69</v>
      </c>
      <c r="G1382">
        <v>2.25</v>
      </c>
      <c r="H1382">
        <v>6.72</v>
      </c>
      <c r="I1382">
        <v>8.9700000000000006</v>
      </c>
      <c r="J1382" t="s">
        <v>352</v>
      </c>
      <c r="K1382" t="str">
        <f t="shared" si="47"/>
        <v>jake16</v>
      </c>
      <c r="L1382">
        <f t="shared" si="48"/>
        <v>45.158399999999993</v>
      </c>
    </row>
    <row r="1383" spans="1:12" x14ac:dyDescent="0.25">
      <c r="A1383">
        <v>16</v>
      </c>
      <c r="B1383" t="s">
        <v>48</v>
      </c>
      <c r="C1383" t="s">
        <v>32</v>
      </c>
      <c r="D1383" s="1" t="s">
        <v>1723</v>
      </c>
      <c r="E1383">
        <v>13.33</v>
      </c>
      <c r="F1383">
        <v>17.899999999999999</v>
      </c>
      <c r="G1383">
        <v>4.4400000000000004</v>
      </c>
      <c r="H1383">
        <v>6.73</v>
      </c>
      <c r="I1383">
        <v>11.17</v>
      </c>
      <c r="J1383" t="s">
        <v>353</v>
      </c>
      <c r="K1383" t="str">
        <f t="shared" si="47"/>
        <v>breanna16</v>
      </c>
      <c r="L1383">
        <f t="shared" si="48"/>
        <v>45.292900000000003</v>
      </c>
    </row>
    <row r="1384" spans="1:12" x14ac:dyDescent="0.25">
      <c r="A1384">
        <v>16</v>
      </c>
      <c r="B1384" t="s">
        <v>44</v>
      </c>
      <c r="C1384" t="s">
        <v>32</v>
      </c>
      <c r="D1384" s="1" t="s">
        <v>1724</v>
      </c>
      <c r="E1384">
        <v>11.21</v>
      </c>
      <c r="F1384">
        <v>15.94</v>
      </c>
      <c r="G1384">
        <v>1.1200000000000001</v>
      </c>
      <c r="H1384">
        <v>7.41</v>
      </c>
      <c r="I1384">
        <v>8.5299999999999994</v>
      </c>
      <c r="J1384" t="s">
        <v>353</v>
      </c>
      <c r="K1384" t="str">
        <f t="shared" si="47"/>
        <v>breanna16</v>
      </c>
      <c r="L1384">
        <f t="shared" si="48"/>
        <v>54.908100000000005</v>
      </c>
    </row>
    <row r="1385" spans="1:12" x14ac:dyDescent="0.25">
      <c r="A1385">
        <v>16</v>
      </c>
      <c r="B1385" t="s">
        <v>43</v>
      </c>
      <c r="C1385" t="s">
        <v>32</v>
      </c>
      <c r="D1385" s="1" t="s">
        <v>1725</v>
      </c>
      <c r="E1385">
        <v>14.57</v>
      </c>
      <c r="F1385">
        <v>19.41</v>
      </c>
      <c r="G1385">
        <v>4.1500000000000004</v>
      </c>
      <c r="H1385">
        <v>7.63</v>
      </c>
      <c r="I1385">
        <v>11.78</v>
      </c>
      <c r="J1385" t="s">
        <v>354</v>
      </c>
      <c r="K1385" t="str">
        <f t="shared" si="47"/>
        <v>joseph16</v>
      </c>
      <c r="L1385">
        <f t="shared" si="48"/>
        <v>58.216899999999995</v>
      </c>
    </row>
    <row r="1386" spans="1:12" x14ac:dyDescent="0.25">
      <c r="A1386">
        <v>16</v>
      </c>
      <c r="B1386" t="s">
        <v>42</v>
      </c>
      <c r="C1386" t="s">
        <v>32</v>
      </c>
      <c r="D1386" s="1" t="s">
        <v>1726</v>
      </c>
      <c r="E1386">
        <v>14.1</v>
      </c>
      <c r="F1386">
        <v>17.86</v>
      </c>
      <c r="G1386">
        <v>4.9800000000000004</v>
      </c>
      <c r="H1386">
        <v>6.44</v>
      </c>
      <c r="I1386">
        <v>11.42</v>
      </c>
      <c r="J1386" t="s">
        <v>354</v>
      </c>
      <c r="K1386" t="str">
        <f t="shared" si="47"/>
        <v>joseph16</v>
      </c>
      <c r="L1386">
        <f t="shared" si="48"/>
        <v>41.473600000000005</v>
      </c>
    </row>
    <row r="1387" spans="1:12" x14ac:dyDescent="0.25">
      <c r="A1387">
        <v>16</v>
      </c>
      <c r="B1387" t="s">
        <v>40</v>
      </c>
      <c r="C1387" t="s">
        <v>32</v>
      </c>
      <c r="D1387" s="1" t="s">
        <v>1727</v>
      </c>
      <c r="E1387">
        <v>12.7</v>
      </c>
      <c r="F1387">
        <v>17.690000000000001</v>
      </c>
      <c r="G1387">
        <v>2.57</v>
      </c>
      <c r="H1387">
        <v>7.56</v>
      </c>
      <c r="I1387">
        <v>10.130000000000001</v>
      </c>
      <c r="J1387" t="s">
        <v>354</v>
      </c>
      <c r="K1387" t="str">
        <f t="shared" si="47"/>
        <v>joseph16</v>
      </c>
      <c r="L1387">
        <f t="shared" si="48"/>
        <v>57.153599999999997</v>
      </c>
    </row>
    <row r="1388" spans="1:12" x14ac:dyDescent="0.25">
      <c r="A1388">
        <v>16</v>
      </c>
      <c r="B1388" t="s">
        <v>69</v>
      </c>
      <c r="C1388" t="s">
        <v>32</v>
      </c>
      <c r="D1388" s="1" t="s">
        <v>1728</v>
      </c>
      <c r="E1388">
        <v>16.649999999999999</v>
      </c>
      <c r="F1388">
        <v>20.96</v>
      </c>
      <c r="G1388">
        <v>5.7</v>
      </c>
      <c r="H1388">
        <v>7.63</v>
      </c>
      <c r="I1388">
        <v>13.33</v>
      </c>
      <c r="J1388" t="s">
        <v>355</v>
      </c>
      <c r="K1388" t="str">
        <f t="shared" si="47"/>
        <v>alyssa16</v>
      </c>
      <c r="L1388">
        <f t="shared" si="48"/>
        <v>58.216899999999995</v>
      </c>
    </row>
    <row r="1389" spans="1:12" x14ac:dyDescent="0.25">
      <c r="A1389">
        <v>16</v>
      </c>
      <c r="B1389" t="s">
        <v>71</v>
      </c>
      <c r="C1389" t="s">
        <v>32</v>
      </c>
      <c r="D1389" s="1" t="s">
        <v>1729</v>
      </c>
      <c r="E1389">
        <v>13.79</v>
      </c>
      <c r="F1389">
        <v>17.07</v>
      </c>
      <c r="G1389">
        <v>4.37</v>
      </c>
      <c r="H1389">
        <v>6.35</v>
      </c>
      <c r="I1389">
        <v>10.72</v>
      </c>
      <c r="J1389" t="s">
        <v>355</v>
      </c>
      <c r="K1389" t="str">
        <f t="shared" si="47"/>
        <v>alyssa16</v>
      </c>
      <c r="L1389">
        <f t="shared" si="48"/>
        <v>40.322499999999998</v>
      </c>
    </row>
    <row r="1390" spans="1:12" x14ac:dyDescent="0.25">
      <c r="A1390">
        <v>16</v>
      </c>
      <c r="B1390" t="s">
        <v>47</v>
      </c>
      <c r="C1390" t="s">
        <v>32</v>
      </c>
      <c r="D1390" s="1" t="s">
        <v>1730</v>
      </c>
      <c r="E1390">
        <v>15.7</v>
      </c>
      <c r="F1390">
        <v>19.78</v>
      </c>
      <c r="G1390">
        <v>5.62</v>
      </c>
      <c r="H1390">
        <v>7.08</v>
      </c>
      <c r="I1390">
        <v>12.7</v>
      </c>
      <c r="J1390" t="s">
        <v>356</v>
      </c>
      <c r="K1390" t="str">
        <f t="shared" si="47"/>
        <v>chris16</v>
      </c>
      <c r="L1390">
        <f t="shared" si="48"/>
        <v>50.126400000000004</v>
      </c>
    </row>
    <row r="1391" spans="1:12" x14ac:dyDescent="0.25">
      <c r="A1391">
        <v>16</v>
      </c>
      <c r="B1391" t="s">
        <v>46</v>
      </c>
      <c r="C1391" t="s">
        <v>32</v>
      </c>
      <c r="D1391" s="1" t="s">
        <v>1731</v>
      </c>
      <c r="E1391">
        <v>11.53</v>
      </c>
      <c r="F1391">
        <v>13.35</v>
      </c>
      <c r="G1391">
        <v>4.21</v>
      </c>
      <c r="H1391">
        <v>4.57</v>
      </c>
      <c r="I1391">
        <v>8.7799999999999994</v>
      </c>
      <c r="J1391" t="s">
        <v>356</v>
      </c>
      <c r="K1391" t="str">
        <f t="shared" si="47"/>
        <v>chris16</v>
      </c>
      <c r="L1391">
        <f t="shared" si="48"/>
        <v>20.884900000000002</v>
      </c>
    </row>
    <row r="1392" spans="1:12" x14ac:dyDescent="0.25">
      <c r="A1392">
        <v>16</v>
      </c>
      <c r="B1392" t="s">
        <v>224</v>
      </c>
      <c r="C1392" t="s">
        <v>32</v>
      </c>
      <c r="D1392" s="1" t="s">
        <v>1732</v>
      </c>
      <c r="E1392">
        <v>9.4499999999999993</v>
      </c>
      <c r="F1392">
        <v>12.28</v>
      </c>
      <c r="G1392">
        <v>1.94</v>
      </c>
      <c r="H1392">
        <v>5.17</v>
      </c>
      <c r="I1392">
        <v>7.11</v>
      </c>
      <c r="J1392" t="s">
        <v>356</v>
      </c>
      <c r="K1392" t="str">
        <f t="shared" si="47"/>
        <v>chris16</v>
      </c>
      <c r="L1392">
        <f t="shared" si="48"/>
        <v>26.728899999999999</v>
      </c>
    </row>
    <row r="1393" spans="1:12" x14ac:dyDescent="0.25">
      <c r="A1393">
        <v>16</v>
      </c>
      <c r="B1393" t="s">
        <v>35</v>
      </c>
      <c r="C1393" t="s">
        <v>32</v>
      </c>
      <c r="D1393" s="1" t="s">
        <v>1733</v>
      </c>
      <c r="E1393">
        <v>14.48</v>
      </c>
      <c r="F1393">
        <v>18.670000000000002</v>
      </c>
      <c r="G1393">
        <v>3.43</v>
      </c>
      <c r="H1393">
        <v>7.62</v>
      </c>
      <c r="I1393">
        <v>11.05</v>
      </c>
      <c r="J1393" t="s">
        <v>357</v>
      </c>
      <c r="K1393" t="str">
        <f t="shared" si="47"/>
        <v>jordan16</v>
      </c>
      <c r="L1393">
        <f t="shared" si="48"/>
        <v>58.064399999999999</v>
      </c>
    </row>
    <row r="1394" spans="1:12" x14ac:dyDescent="0.25">
      <c r="A1394">
        <v>16</v>
      </c>
      <c r="B1394" t="s">
        <v>222</v>
      </c>
      <c r="C1394" t="s">
        <v>32</v>
      </c>
      <c r="D1394" s="1" t="s">
        <v>1734</v>
      </c>
      <c r="E1394">
        <v>9.1999999999999993</v>
      </c>
      <c r="F1394">
        <v>13.52</v>
      </c>
      <c r="G1394">
        <v>0.74</v>
      </c>
      <c r="H1394">
        <v>6.39</v>
      </c>
      <c r="I1394">
        <v>7.13</v>
      </c>
      <c r="J1394" t="s">
        <v>357</v>
      </c>
      <c r="K1394" t="str">
        <f t="shared" si="47"/>
        <v>jordan16</v>
      </c>
      <c r="L1394">
        <f t="shared" si="48"/>
        <v>40.832099999999997</v>
      </c>
    </row>
    <row r="1395" spans="1:12" x14ac:dyDescent="0.25">
      <c r="A1395">
        <v>16</v>
      </c>
      <c r="B1395" t="s">
        <v>184</v>
      </c>
      <c r="C1395" t="s">
        <v>32</v>
      </c>
      <c r="D1395" s="1" t="s">
        <v>1735</v>
      </c>
      <c r="E1395">
        <v>19.3</v>
      </c>
      <c r="F1395">
        <v>30.42</v>
      </c>
      <c r="G1395">
        <v>1.38</v>
      </c>
      <c r="H1395">
        <v>14.52</v>
      </c>
      <c r="I1395">
        <v>15.9</v>
      </c>
      <c r="J1395" t="s">
        <v>358</v>
      </c>
      <c r="K1395" t="str">
        <f t="shared" si="47"/>
        <v>alex16</v>
      </c>
      <c r="L1395">
        <f t="shared" si="48"/>
        <v>210.8304</v>
      </c>
    </row>
    <row r="1396" spans="1:12" x14ac:dyDescent="0.25">
      <c r="A1396">
        <v>16</v>
      </c>
      <c r="B1396" t="s">
        <v>34</v>
      </c>
      <c r="C1396" t="s">
        <v>32</v>
      </c>
      <c r="D1396" s="1" t="s">
        <v>1736</v>
      </c>
      <c r="E1396">
        <v>15.26</v>
      </c>
      <c r="F1396">
        <v>19.28</v>
      </c>
      <c r="G1396">
        <v>5.28</v>
      </c>
      <c r="H1396">
        <v>7</v>
      </c>
      <c r="I1396">
        <v>12.28</v>
      </c>
      <c r="J1396" t="s">
        <v>358</v>
      </c>
      <c r="K1396" t="str">
        <f t="shared" si="47"/>
        <v>alex16</v>
      </c>
      <c r="L1396">
        <f t="shared" si="48"/>
        <v>49</v>
      </c>
    </row>
    <row r="1397" spans="1:12" x14ac:dyDescent="0.25">
      <c r="A1397">
        <v>16</v>
      </c>
      <c r="B1397" t="s">
        <v>36</v>
      </c>
      <c r="C1397" t="s">
        <v>32</v>
      </c>
      <c r="D1397" s="1" t="s">
        <v>1737</v>
      </c>
      <c r="E1397">
        <v>12.71</v>
      </c>
      <c r="F1397">
        <v>16.03</v>
      </c>
      <c r="G1397">
        <v>4.2699999999999996</v>
      </c>
      <c r="H1397">
        <v>5.88</v>
      </c>
      <c r="I1397">
        <v>10.15</v>
      </c>
      <c r="J1397" t="s">
        <v>358</v>
      </c>
      <c r="K1397" t="str">
        <f t="shared" si="47"/>
        <v>alex16</v>
      </c>
      <c r="L1397">
        <f t="shared" si="48"/>
        <v>34.574399999999997</v>
      </c>
    </row>
    <row r="1398" spans="1:12" x14ac:dyDescent="0.25">
      <c r="A1398">
        <v>16</v>
      </c>
      <c r="B1398" t="s">
        <v>234</v>
      </c>
      <c r="C1398" t="s">
        <v>32</v>
      </c>
      <c r="D1398" s="1" t="s">
        <v>1738</v>
      </c>
      <c r="E1398">
        <v>11.17</v>
      </c>
      <c r="F1398">
        <v>14.2</v>
      </c>
      <c r="G1398">
        <v>3.18</v>
      </c>
      <c r="H1398">
        <v>5.51</v>
      </c>
      <c r="I1398">
        <v>8.69</v>
      </c>
      <c r="J1398" t="s">
        <v>359</v>
      </c>
      <c r="K1398" t="str">
        <f t="shared" si="47"/>
        <v>colin16</v>
      </c>
      <c r="L1398">
        <f t="shared" si="48"/>
        <v>30.360099999999999</v>
      </c>
    </row>
    <row r="1399" spans="1:12" x14ac:dyDescent="0.25">
      <c r="A1399">
        <v>16</v>
      </c>
      <c r="B1399" t="s">
        <v>161</v>
      </c>
      <c r="C1399" t="s">
        <v>32</v>
      </c>
      <c r="D1399" s="1" t="s">
        <v>1739</v>
      </c>
      <c r="E1399">
        <v>8.27</v>
      </c>
      <c r="F1399">
        <v>11.28</v>
      </c>
      <c r="G1399">
        <v>2.08</v>
      </c>
      <c r="H1399">
        <v>4.5999999999999996</v>
      </c>
      <c r="I1399">
        <v>6.68</v>
      </c>
      <c r="J1399" t="s">
        <v>359</v>
      </c>
      <c r="K1399" t="str">
        <f t="shared" si="47"/>
        <v>colin16</v>
      </c>
      <c r="L1399">
        <f t="shared" si="48"/>
        <v>21.159999999999997</v>
      </c>
    </row>
    <row r="1400" spans="1:12" x14ac:dyDescent="0.25">
      <c r="A1400">
        <v>16</v>
      </c>
      <c r="B1400" t="s">
        <v>49</v>
      </c>
      <c r="C1400" t="s">
        <v>32</v>
      </c>
      <c r="D1400" s="1" t="s">
        <v>1740</v>
      </c>
      <c r="E1400">
        <v>13.62</v>
      </c>
      <c r="F1400">
        <v>16.22</v>
      </c>
      <c r="G1400">
        <v>5.08</v>
      </c>
      <c r="H1400">
        <v>5.57</v>
      </c>
      <c r="I1400">
        <v>10.65</v>
      </c>
      <c r="J1400" t="s">
        <v>360</v>
      </c>
      <c r="K1400" t="str">
        <f t="shared" si="47"/>
        <v>paul16</v>
      </c>
      <c r="L1400">
        <f t="shared" si="48"/>
        <v>31.024900000000002</v>
      </c>
    </row>
    <row r="1401" spans="1:12" x14ac:dyDescent="0.25">
      <c r="A1401">
        <v>16</v>
      </c>
      <c r="B1401" t="s">
        <v>38</v>
      </c>
      <c r="C1401" t="s">
        <v>32</v>
      </c>
      <c r="D1401" s="1" t="s">
        <v>1741</v>
      </c>
      <c r="E1401">
        <v>12.92</v>
      </c>
      <c r="F1401">
        <v>16.84</v>
      </c>
      <c r="G1401">
        <v>4.28</v>
      </c>
      <c r="H1401">
        <v>6.28</v>
      </c>
      <c r="I1401">
        <v>10.56</v>
      </c>
      <c r="J1401" t="s">
        <v>360</v>
      </c>
      <c r="K1401" t="str">
        <f t="shared" si="47"/>
        <v>paul16</v>
      </c>
      <c r="L1401">
        <f t="shared" si="48"/>
        <v>39.438400000000001</v>
      </c>
    </row>
    <row r="1402" spans="1:12" x14ac:dyDescent="0.25">
      <c r="A1402">
        <v>16</v>
      </c>
      <c r="B1402" t="s">
        <v>248</v>
      </c>
      <c r="C1402" t="s">
        <v>53</v>
      </c>
      <c r="D1402" s="1" t="s">
        <v>1742</v>
      </c>
      <c r="E1402">
        <v>18.45</v>
      </c>
      <c r="F1402">
        <v>24.6</v>
      </c>
      <c r="G1402">
        <v>9.6</v>
      </c>
      <c r="H1402">
        <v>7.5</v>
      </c>
      <c r="I1402">
        <v>17.100000000000001</v>
      </c>
      <c r="J1402" t="s">
        <v>351</v>
      </c>
      <c r="K1402" t="str">
        <f t="shared" si="47"/>
        <v>andrew16</v>
      </c>
      <c r="L1402">
        <f t="shared" si="48"/>
        <v>56.25</v>
      </c>
    </row>
    <row r="1403" spans="1:12" x14ac:dyDescent="0.25">
      <c r="A1403">
        <v>16</v>
      </c>
      <c r="B1403" t="s">
        <v>204</v>
      </c>
      <c r="C1403" t="s">
        <v>53</v>
      </c>
      <c r="D1403" s="1" t="s">
        <v>1743</v>
      </c>
      <c r="E1403">
        <v>21.15</v>
      </c>
      <c r="F1403">
        <v>27.93</v>
      </c>
      <c r="G1403">
        <v>12.29</v>
      </c>
      <c r="H1403">
        <v>7.82</v>
      </c>
      <c r="I1403">
        <v>20.11</v>
      </c>
      <c r="J1403" t="s">
        <v>352</v>
      </c>
      <c r="K1403" t="str">
        <f t="shared" si="47"/>
        <v>jake16</v>
      </c>
      <c r="L1403">
        <f t="shared" si="48"/>
        <v>61.152400000000007</v>
      </c>
    </row>
    <row r="1404" spans="1:12" x14ac:dyDescent="0.25">
      <c r="A1404">
        <v>16</v>
      </c>
      <c r="B1404" t="s">
        <v>290</v>
      </c>
      <c r="C1404" t="s">
        <v>53</v>
      </c>
      <c r="D1404" s="1" t="s">
        <v>1744</v>
      </c>
      <c r="E1404">
        <v>21.2</v>
      </c>
      <c r="F1404">
        <v>27.41</v>
      </c>
      <c r="G1404">
        <v>13.35</v>
      </c>
      <c r="H1404">
        <v>7.03</v>
      </c>
      <c r="I1404">
        <v>20.38</v>
      </c>
      <c r="J1404" t="s">
        <v>353</v>
      </c>
      <c r="K1404" t="str">
        <f t="shared" si="47"/>
        <v>breanna16</v>
      </c>
      <c r="L1404">
        <f t="shared" si="48"/>
        <v>49.420900000000003</v>
      </c>
    </row>
    <row r="1405" spans="1:12" x14ac:dyDescent="0.25">
      <c r="A1405">
        <v>16</v>
      </c>
      <c r="B1405" t="s">
        <v>364</v>
      </c>
      <c r="C1405" t="s">
        <v>53</v>
      </c>
      <c r="D1405" s="1" t="s">
        <v>1745</v>
      </c>
      <c r="E1405">
        <v>17.899999999999999</v>
      </c>
      <c r="F1405">
        <v>24.03</v>
      </c>
      <c r="G1405">
        <v>9.99</v>
      </c>
      <c r="H1405">
        <v>7.02</v>
      </c>
      <c r="I1405">
        <v>17.010000000000002</v>
      </c>
      <c r="J1405" t="s">
        <v>354</v>
      </c>
      <c r="K1405" t="str">
        <f t="shared" si="47"/>
        <v>joseph16</v>
      </c>
      <c r="L1405">
        <f t="shared" si="48"/>
        <v>49.280399999999993</v>
      </c>
    </row>
    <row r="1406" spans="1:12" x14ac:dyDescent="0.25">
      <c r="A1406">
        <v>16</v>
      </c>
      <c r="B1406" t="s">
        <v>386</v>
      </c>
      <c r="C1406" t="s">
        <v>53</v>
      </c>
      <c r="D1406" s="1" t="s">
        <v>1746</v>
      </c>
      <c r="E1406">
        <v>19.04</v>
      </c>
      <c r="F1406">
        <v>24.62</v>
      </c>
      <c r="G1406">
        <v>11.78</v>
      </c>
      <c r="H1406">
        <v>6.42</v>
      </c>
      <c r="I1406">
        <v>18.2</v>
      </c>
      <c r="J1406" t="s">
        <v>355</v>
      </c>
      <c r="K1406" t="str">
        <f t="shared" si="47"/>
        <v>alyssa16</v>
      </c>
      <c r="L1406">
        <f t="shared" si="48"/>
        <v>41.2164</v>
      </c>
    </row>
    <row r="1407" spans="1:12" x14ac:dyDescent="0.25">
      <c r="A1407">
        <v>16</v>
      </c>
      <c r="B1407" t="s">
        <v>156</v>
      </c>
      <c r="C1407" t="s">
        <v>53</v>
      </c>
      <c r="D1407" s="1" t="s">
        <v>1747</v>
      </c>
      <c r="E1407">
        <v>22.66</v>
      </c>
      <c r="F1407">
        <v>30.11</v>
      </c>
      <c r="G1407">
        <v>13.85</v>
      </c>
      <c r="H1407">
        <v>8.1300000000000008</v>
      </c>
      <c r="I1407">
        <v>21.98</v>
      </c>
      <c r="J1407" t="s">
        <v>356</v>
      </c>
      <c r="K1407" t="str">
        <f t="shared" si="47"/>
        <v>chris16</v>
      </c>
      <c r="L1407">
        <f t="shared" si="48"/>
        <v>66.096900000000019</v>
      </c>
    </row>
    <row r="1408" spans="1:12" x14ac:dyDescent="0.25">
      <c r="A1408">
        <v>16</v>
      </c>
      <c r="B1408" t="s">
        <v>56</v>
      </c>
      <c r="C1408" t="s">
        <v>53</v>
      </c>
      <c r="D1408" s="1" t="s">
        <v>1748</v>
      </c>
      <c r="E1408">
        <v>22</v>
      </c>
      <c r="F1408">
        <v>28.84</v>
      </c>
      <c r="G1408">
        <v>13.5</v>
      </c>
      <c r="H1408">
        <v>7.67</v>
      </c>
      <c r="I1408">
        <v>21.17</v>
      </c>
      <c r="J1408" t="s">
        <v>357</v>
      </c>
      <c r="K1408" t="str">
        <f t="shared" si="47"/>
        <v>jordan16</v>
      </c>
      <c r="L1408">
        <f t="shared" si="48"/>
        <v>58.828899999999997</v>
      </c>
    </row>
    <row r="1409" spans="1:12" x14ac:dyDescent="0.25">
      <c r="A1409">
        <v>16</v>
      </c>
      <c r="B1409" t="s">
        <v>54</v>
      </c>
      <c r="C1409" t="s">
        <v>53</v>
      </c>
      <c r="D1409" s="1" t="s">
        <v>1749</v>
      </c>
      <c r="E1409">
        <v>21.82</v>
      </c>
      <c r="F1409">
        <v>28.52</v>
      </c>
      <c r="G1409">
        <v>13.8</v>
      </c>
      <c r="H1409">
        <v>7.36</v>
      </c>
      <c r="I1409">
        <v>21.16</v>
      </c>
      <c r="J1409" t="s">
        <v>358</v>
      </c>
      <c r="K1409" t="str">
        <f t="shared" si="47"/>
        <v>alex16</v>
      </c>
      <c r="L1409">
        <f t="shared" si="48"/>
        <v>54.169600000000003</v>
      </c>
    </row>
    <row r="1410" spans="1:12" x14ac:dyDescent="0.25">
      <c r="A1410">
        <v>16</v>
      </c>
      <c r="B1410" t="s">
        <v>52</v>
      </c>
      <c r="C1410" t="s">
        <v>53</v>
      </c>
      <c r="D1410" s="1" t="s">
        <v>1750</v>
      </c>
      <c r="E1410">
        <v>21.64</v>
      </c>
      <c r="F1410">
        <v>27.13</v>
      </c>
      <c r="G1410">
        <v>14.37</v>
      </c>
      <c r="H1410">
        <v>6.38</v>
      </c>
      <c r="I1410">
        <v>20.75</v>
      </c>
      <c r="J1410" t="s">
        <v>359</v>
      </c>
      <c r="K1410" t="str">
        <f t="shared" si="47"/>
        <v>colin16</v>
      </c>
      <c r="L1410">
        <f t="shared" si="48"/>
        <v>40.7044</v>
      </c>
    </row>
    <row r="1411" spans="1:12" x14ac:dyDescent="0.25">
      <c r="A1411">
        <v>16</v>
      </c>
      <c r="B1411" t="s">
        <v>194</v>
      </c>
      <c r="C1411" t="s">
        <v>53</v>
      </c>
      <c r="D1411" s="1" t="s">
        <v>1751</v>
      </c>
      <c r="E1411">
        <v>21.28</v>
      </c>
      <c r="F1411">
        <v>29.36</v>
      </c>
      <c r="G1411">
        <v>12.36</v>
      </c>
      <c r="H1411">
        <v>8.5</v>
      </c>
      <c r="I1411">
        <v>20.86</v>
      </c>
      <c r="J1411" t="s">
        <v>360</v>
      </c>
      <c r="K1411" t="str">
        <f t="shared" ref="K1411:K1474" si="49">J1411&amp;A1411</f>
        <v>paul16</v>
      </c>
      <c r="L1411">
        <f t="shared" ref="L1411:L1474" si="50">H1411^2</f>
        <v>72.25</v>
      </c>
    </row>
    <row r="1412" spans="1:12" x14ac:dyDescent="0.25">
      <c r="A1412">
        <v>16</v>
      </c>
      <c r="B1412" t="s">
        <v>497</v>
      </c>
      <c r="C1412" t="s">
        <v>57</v>
      </c>
      <c r="D1412" s="1" t="s">
        <v>1752</v>
      </c>
      <c r="E1412">
        <v>7.57</v>
      </c>
      <c r="F1412">
        <v>10.17</v>
      </c>
      <c r="G1412">
        <v>1.23</v>
      </c>
      <c r="H1412">
        <v>4.47</v>
      </c>
      <c r="I1412">
        <v>5.7</v>
      </c>
      <c r="J1412" t="s">
        <v>351</v>
      </c>
      <c r="K1412" t="str">
        <f t="shared" si="49"/>
        <v>andrew16</v>
      </c>
      <c r="L1412">
        <f t="shared" si="50"/>
        <v>19.980899999999998</v>
      </c>
    </row>
    <row r="1413" spans="1:12" x14ac:dyDescent="0.25">
      <c r="A1413">
        <v>16</v>
      </c>
      <c r="B1413" t="s">
        <v>60</v>
      </c>
      <c r="C1413" t="s">
        <v>57</v>
      </c>
      <c r="D1413" s="1" t="s">
        <v>1753</v>
      </c>
      <c r="E1413">
        <v>9.7200000000000006</v>
      </c>
      <c r="F1413">
        <v>13.24</v>
      </c>
      <c r="G1413">
        <v>1.52</v>
      </c>
      <c r="H1413">
        <v>5.86</v>
      </c>
      <c r="I1413">
        <v>7.38</v>
      </c>
      <c r="J1413" t="s">
        <v>352</v>
      </c>
      <c r="K1413" t="str">
        <f t="shared" si="49"/>
        <v>jake16</v>
      </c>
      <c r="L1413">
        <f t="shared" si="50"/>
        <v>34.339600000000004</v>
      </c>
    </row>
    <row r="1414" spans="1:12" x14ac:dyDescent="0.25">
      <c r="A1414">
        <v>16</v>
      </c>
      <c r="B1414" t="s">
        <v>368</v>
      </c>
      <c r="C1414" t="s">
        <v>57</v>
      </c>
      <c r="D1414" s="1" t="s">
        <v>1754</v>
      </c>
      <c r="E1414">
        <v>5.37</v>
      </c>
      <c r="F1414">
        <v>7.12</v>
      </c>
      <c r="G1414">
        <v>0.7</v>
      </c>
      <c r="H1414">
        <v>3.21</v>
      </c>
      <c r="I1414">
        <v>3.91</v>
      </c>
      <c r="J1414" t="s">
        <v>353</v>
      </c>
      <c r="K1414" t="str">
        <f t="shared" si="49"/>
        <v>breanna16</v>
      </c>
      <c r="L1414">
        <f t="shared" si="50"/>
        <v>10.3041</v>
      </c>
    </row>
    <row r="1415" spans="1:12" x14ac:dyDescent="0.25">
      <c r="A1415">
        <v>16</v>
      </c>
      <c r="B1415" t="s">
        <v>61</v>
      </c>
      <c r="C1415" t="s">
        <v>57</v>
      </c>
      <c r="D1415" s="1" t="s">
        <v>1755</v>
      </c>
      <c r="E1415">
        <v>11.4</v>
      </c>
      <c r="F1415">
        <v>13.95</v>
      </c>
      <c r="G1415">
        <v>3.61</v>
      </c>
      <c r="H1415">
        <v>5.17</v>
      </c>
      <c r="I1415">
        <v>8.7799999999999994</v>
      </c>
      <c r="J1415" t="s">
        <v>354</v>
      </c>
      <c r="K1415" t="str">
        <f t="shared" si="49"/>
        <v>joseph16</v>
      </c>
      <c r="L1415">
        <f t="shared" si="50"/>
        <v>26.728899999999999</v>
      </c>
    </row>
    <row r="1416" spans="1:12" x14ac:dyDescent="0.25">
      <c r="A1416">
        <v>16</v>
      </c>
      <c r="B1416" t="s">
        <v>182</v>
      </c>
      <c r="C1416" t="s">
        <v>57</v>
      </c>
      <c r="D1416" s="1" t="s">
        <v>1756</v>
      </c>
      <c r="E1416">
        <v>3.39</v>
      </c>
      <c r="F1416">
        <v>4.87</v>
      </c>
      <c r="G1416">
        <v>0.15</v>
      </c>
      <c r="H1416">
        <v>2.36</v>
      </c>
      <c r="I1416">
        <v>2.5099999999999998</v>
      </c>
      <c r="J1416" t="s">
        <v>355</v>
      </c>
      <c r="K1416" t="str">
        <f t="shared" si="49"/>
        <v>alyssa16</v>
      </c>
      <c r="L1416">
        <f t="shared" si="50"/>
        <v>5.5695999999999994</v>
      </c>
    </row>
    <row r="1417" spans="1:12" x14ac:dyDescent="0.25">
      <c r="A1417">
        <v>16</v>
      </c>
      <c r="B1417" t="s">
        <v>58</v>
      </c>
      <c r="C1417" t="s">
        <v>57</v>
      </c>
      <c r="D1417" s="1" t="s">
        <v>1757</v>
      </c>
      <c r="E1417">
        <v>7.81</v>
      </c>
      <c r="F1417">
        <v>9.83</v>
      </c>
      <c r="G1417">
        <v>1.89</v>
      </c>
      <c r="H1417">
        <v>3.97</v>
      </c>
      <c r="I1417">
        <v>5.86</v>
      </c>
      <c r="J1417" t="s">
        <v>356</v>
      </c>
      <c r="K1417" t="str">
        <f t="shared" si="49"/>
        <v>chris16</v>
      </c>
      <c r="L1417">
        <f t="shared" si="50"/>
        <v>15.760900000000001</v>
      </c>
    </row>
    <row r="1418" spans="1:12" x14ac:dyDescent="0.25">
      <c r="A1418">
        <v>16</v>
      </c>
      <c r="B1418" t="s">
        <v>62</v>
      </c>
      <c r="C1418" t="s">
        <v>57</v>
      </c>
      <c r="D1418" s="1" t="s">
        <v>1758</v>
      </c>
      <c r="E1418">
        <v>14.36</v>
      </c>
      <c r="F1418">
        <v>18.190000000000001</v>
      </c>
      <c r="G1418">
        <v>5.35</v>
      </c>
      <c r="H1418">
        <v>6.42</v>
      </c>
      <c r="I1418">
        <v>11.77</v>
      </c>
      <c r="J1418" t="s">
        <v>357</v>
      </c>
      <c r="K1418" t="str">
        <f t="shared" si="49"/>
        <v>jordan16</v>
      </c>
      <c r="L1418">
        <f t="shared" si="50"/>
        <v>41.2164</v>
      </c>
    </row>
    <row r="1419" spans="1:12" x14ac:dyDescent="0.25">
      <c r="A1419">
        <v>16</v>
      </c>
      <c r="B1419" t="s">
        <v>150</v>
      </c>
      <c r="C1419" t="s">
        <v>57</v>
      </c>
      <c r="D1419" s="1" t="s">
        <v>1759</v>
      </c>
      <c r="E1419">
        <v>10.45</v>
      </c>
      <c r="F1419">
        <v>13</v>
      </c>
      <c r="G1419">
        <v>2.84</v>
      </c>
      <c r="H1419">
        <v>5.08</v>
      </c>
      <c r="I1419">
        <v>7.92</v>
      </c>
      <c r="J1419" t="s">
        <v>358</v>
      </c>
      <c r="K1419" t="str">
        <f t="shared" si="49"/>
        <v>alex16</v>
      </c>
      <c r="L1419">
        <f t="shared" si="50"/>
        <v>25.8064</v>
      </c>
    </row>
    <row r="1420" spans="1:12" x14ac:dyDescent="0.25">
      <c r="A1420">
        <v>16</v>
      </c>
      <c r="B1420" t="s">
        <v>73</v>
      </c>
      <c r="C1420" t="s">
        <v>57</v>
      </c>
      <c r="D1420" s="1" t="s">
        <v>1760</v>
      </c>
      <c r="E1420">
        <v>9.9600000000000009</v>
      </c>
      <c r="F1420">
        <v>11.96</v>
      </c>
      <c r="G1420">
        <v>2.92</v>
      </c>
      <c r="H1420">
        <v>4.5199999999999996</v>
      </c>
      <c r="I1420">
        <v>7.44</v>
      </c>
      <c r="J1420" t="s">
        <v>359</v>
      </c>
      <c r="K1420" t="str">
        <f t="shared" si="49"/>
        <v>colin16</v>
      </c>
      <c r="L1420">
        <f t="shared" si="50"/>
        <v>20.430399999999995</v>
      </c>
    </row>
    <row r="1421" spans="1:12" x14ac:dyDescent="0.25">
      <c r="A1421">
        <v>16</v>
      </c>
      <c r="B1421" t="s">
        <v>59</v>
      </c>
      <c r="C1421" t="s">
        <v>57</v>
      </c>
      <c r="D1421" s="1" t="s">
        <v>1761</v>
      </c>
      <c r="E1421">
        <v>8.9</v>
      </c>
      <c r="F1421">
        <v>11.47</v>
      </c>
      <c r="G1421">
        <v>1.31</v>
      </c>
      <c r="H1421">
        <v>5.08</v>
      </c>
      <c r="I1421">
        <v>6.39</v>
      </c>
      <c r="J1421" t="s">
        <v>360</v>
      </c>
      <c r="K1421" t="str">
        <f t="shared" si="49"/>
        <v>paul16</v>
      </c>
      <c r="L1421">
        <f t="shared" si="50"/>
        <v>25.8064</v>
      </c>
    </row>
    <row r="1422" spans="1:12" x14ac:dyDescent="0.25">
      <c r="A1422">
        <v>16</v>
      </c>
      <c r="B1422" t="s">
        <v>196</v>
      </c>
      <c r="C1422" t="s">
        <v>63</v>
      </c>
      <c r="D1422" s="1" t="s">
        <v>1762</v>
      </c>
      <c r="E1422">
        <v>9.9074000000000009</v>
      </c>
      <c r="F1422">
        <v>16.57</v>
      </c>
      <c r="G1422">
        <v>3.25</v>
      </c>
      <c r="H1422">
        <v>6.66</v>
      </c>
      <c r="I1422">
        <v>9.9074000000000009</v>
      </c>
      <c r="J1422" t="s">
        <v>351</v>
      </c>
      <c r="K1422" t="str">
        <f t="shared" si="49"/>
        <v>andrew16</v>
      </c>
      <c r="L1422">
        <f t="shared" si="50"/>
        <v>44.355600000000003</v>
      </c>
    </row>
    <row r="1423" spans="1:12" x14ac:dyDescent="0.25">
      <c r="A1423">
        <v>16</v>
      </c>
      <c r="B1423" t="s">
        <v>318</v>
      </c>
      <c r="C1423" t="s">
        <v>63</v>
      </c>
      <c r="D1423" s="1" t="s">
        <v>1147</v>
      </c>
      <c r="E1423">
        <v>4.1589999999999998</v>
      </c>
      <c r="F1423">
        <v>9.09</v>
      </c>
      <c r="G1423">
        <v>-0.79</v>
      </c>
      <c r="H1423">
        <v>4.9400000000000004</v>
      </c>
      <c r="I1423">
        <v>4.1589999999999998</v>
      </c>
      <c r="J1423" t="s">
        <v>352</v>
      </c>
      <c r="K1423" t="str">
        <f t="shared" si="49"/>
        <v>jake16</v>
      </c>
      <c r="L1423">
        <f t="shared" si="50"/>
        <v>24.403600000000004</v>
      </c>
    </row>
    <row r="1424" spans="1:12" x14ac:dyDescent="0.25">
      <c r="A1424">
        <v>16</v>
      </c>
      <c r="B1424" t="s">
        <v>195</v>
      </c>
      <c r="C1424" t="s">
        <v>63</v>
      </c>
      <c r="D1424" s="1" t="s">
        <v>1059</v>
      </c>
      <c r="E1424">
        <v>9.6675000000000004</v>
      </c>
      <c r="F1424">
        <v>16.149999999999999</v>
      </c>
      <c r="G1424">
        <v>3.19</v>
      </c>
      <c r="H1424">
        <v>6.48</v>
      </c>
      <c r="I1424">
        <v>9.6675000000000004</v>
      </c>
      <c r="J1424" t="s">
        <v>353</v>
      </c>
      <c r="K1424" t="str">
        <f t="shared" si="49"/>
        <v>breanna16</v>
      </c>
      <c r="L1424">
        <f t="shared" si="50"/>
        <v>41.990400000000008</v>
      </c>
    </row>
    <row r="1425" spans="1:12" x14ac:dyDescent="0.25">
      <c r="A1425">
        <v>16</v>
      </c>
      <c r="B1425" t="s">
        <v>372</v>
      </c>
      <c r="C1425" t="s">
        <v>63</v>
      </c>
      <c r="D1425" s="1" t="s">
        <v>1763</v>
      </c>
      <c r="E1425">
        <v>6.6571999999999996</v>
      </c>
      <c r="F1425">
        <v>11.99</v>
      </c>
      <c r="G1425">
        <v>1.33</v>
      </c>
      <c r="H1425">
        <v>5.33</v>
      </c>
      <c r="I1425">
        <v>6.6571999999999996</v>
      </c>
      <c r="J1425" t="s">
        <v>354</v>
      </c>
      <c r="K1425" t="str">
        <f t="shared" si="49"/>
        <v>joseph16</v>
      </c>
      <c r="L1425">
        <f t="shared" si="50"/>
        <v>28.408899999999999</v>
      </c>
    </row>
    <row r="1426" spans="1:12" x14ac:dyDescent="0.25">
      <c r="A1426">
        <v>16</v>
      </c>
      <c r="B1426" t="s">
        <v>389</v>
      </c>
      <c r="C1426" t="s">
        <v>63</v>
      </c>
      <c r="D1426" s="1" t="s">
        <v>1416</v>
      </c>
      <c r="E1426">
        <v>7.5598000000000001</v>
      </c>
      <c r="F1426">
        <v>12.64</v>
      </c>
      <c r="G1426">
        <v>2.46</v>
      </c>
      <c r="H1426">
        <v>5.09</v>
      </c>
      <c r="I1426">
        <v>7.5598000000000001</v>
      </c>
      <c r="J1426" t="s">
        <v>355</v>
      </c>
      <c r="K1426" t="str">
        <f t="shared" si="49"/>
        <v>alyssa16</v>
      </c>
      <c r="L1426">
        <f t="shared" si="50"/>
        <v>25.908099999999997</v>
      </c>
    </row>
    <row r="1427" spans="1:12" x14ac:dyDescent="0.25">
      <c r="A1427">
        <v>16</v>
      </c>
      <c r="B1427" t="s">
        <v>154</v>
      </c>
      <c r="C1427" t="s">
        <v>63</v>
      </c>
      <c r="D1427" s="1" t="s">
        <v>1764</v>
      </c>
      <c r="E1427">
        <v>12.829599999999999</v>
      </c>
      <c r="F1427">
        <v>19.84</v>
      </c>
      <c r="G1427">
        <v>5.84</v>
      </c>
      <c r="H1427">
        <v>7</v>
      </c>
      <c r="I1427">
        <v>12.829599999999999</v>
      </c>
      <c r="J1427" t="s">
        <v>356</v>
      </c>
      <c r="K1427" t="str">
        <f t="shared" si="49"/>
        <v>chris16</v>
      </c>
      <c r="L1427">
        <f t="shared" si="50"/>
        <v>49</v>
      </c>
    </row>
    <row r="1428" spans="1:12" x14ac:dyDescent="0.25">
      <c r="A1428">
        <v>16</v>
      </c>
      <c r="B1428" t="s">
        <v>166</v>
      </c>
      <c r="C1428" t="s">
        <v>63</v>
      </c>
      <c r="D1428" s="1" t="s">
        <v>1765</v>
      </c>
      <c r="E1428">
        <v>12.427099999999999</v>
      </c>
      <c r="F1428">
        <v>19.46</v>
      </c>
      <c r="G1428">
        <v>5.4</v>
      </c>
      <c r="H1428">
        <v>7.03</v>
      </c>
      <c r="I1428">
        <v>12.427099999999999</v>
      </c>
      <c r="J1428" t="s">
        <v>357</v>
      </c>
      <c r="K1428" t="str">
        <f t="shared" si="49"/>
        <v>jordan16</v>
      </c>
      <c r="L1428">
        <f t="shared" si="50"/>
        <v>49.420900000000003</v>
      </c>
    </row>
    <row r="1429" spans="1:12" x14ac:dyDescent="0.25">
      <c r="A1429">
        <v>16</v>
      </c>
      <c r="B1429" t="s">
        <v>178</v>
      </c>
      <c r="C1429" t="s">
        <v>63</v>
      </c>
      <c r="D1429" s="1" t="s">
        <v>1766</v>
      </c>
      <c r="E1429">
        <v>8.0002999999999993</v>
      </c>
      <c r="F1429">
        <v>15.15</v>
      </c>
      <c r="G1429">
        <v>0.87</v>
      </c>
      <c r="H1429">
        <v>7.14</v>
      </c>
      <c r="I1429">
        <v>8.0002999999999993</v>
      </c>
      <c r="J1429" t="s">
        <v>358</v>
      </c>
      <c r="K1429" t="str">
        <f t="shared" si="49"/>
        <v>alex16</v>
      </c>
      <c r="L1429">
        <f t="shared" si="50"/>
        <v>50.979599999999998</v>
      </c>
    </row>
    <row r="1430" spans="1:12" x14ac:dyDescent="0.25">
      <c r="A1430">
        <v>16</v>
      </c>
      <c r="B1430" t="s">
        <v>257</v>
      </c>
      <c r="C1430" t="s">
        <v>63</v>
      </c>
      <c r="D1430" s="1" t="s">
        <v>1767</v>
      </c>
      <c r="E1430">
        <v>10.380599999999999</v>
      </c>
      <c r="F1430">
        <v>16.79</v>
      </c>
      <c r="G1430">
        <v>3.95</v>
      </c>
      <c r="H1430">
        <v>6.42</v>
      </c>
      <c r="I1430">
        <v>10.380599999999999</v>
      </c>
      <c r="J1430" t="s">
        <v>359</v>
      </c>
      <c r="K1430" t="str">
        <f t="shared" si="49"/>
        <v>colin16</v>
      </c>
      <c r="L1430">
        <f t="shared" si="50"/>
        <v>41.2164</v>
      </c>
    </row>
    <row r="1431" spans="1:12" x14ac:dyDescent="0.25">
      <c r="A1431">
        <v>16</v>
      </c>
      <c r="B1431" t="s">
        <v>255</v>
      </c>
      <c r="C1431" t="s">
        <v>63</v>
      </c>
      <c r="D1431" s="1" t="s">
        <v>1768</v>
      </c>
      <c r="E1431">
        <v>6.4572000000000003</v>
      </c>
      <c r="F1431">
        <v>12.1</v>
      </c>
      <c r="G1431">
        <v>0.8</v>
      </c>
      <c r="H1431">
        <v>5.65</v>
      </c>
      <c r="I1431">
        <v>6.4572000000000003</v>
      </c>
      <c r="J1431" t="s">
        <v>360</v>
      </c>
      <c r="K1431" t="str">
        <f t="shared" si="49"/>
        <v>paul16</v>
      </c>
      <c r="L1431">
        <f t="shared" si="50"/>
        <v>31.922500000000003</v>
      </c>
    </row>
    <row r="1432" spans="1:12" x14ac:dyDescent="0.25">
      <c r="A1432">
        <v>16</v>
      </c>
      <c r="B1432" t="s">
        <v>159</v>
      </c>
      <c r="C1432" t="s">
        <v>64</v>
      </c>
      <c r="D1432" s="1" t="s">
        <v>1769</v>
      </c>
      <c r="E1432">
        <v>7.39</v>
      </c>
      <c r="F1432">
        <v>11.62</v>
      </c>
      <c r="G1432">
        <v>3.2</v>
      </c>
      <c r="H1432">
        <v>4.21</v>
      </c>
      <c r="I1432">
        <v>7.41</v>
      </c>
      <c r="J1432" t="s">
        <v>351</v>
      </c>
      <c r="K1432" t="str">
        <f t="shared" si="49"/>
        <v>andrew16</v>
      </c>
      <c r="L1432">
        <f t="shared" si="50"/>
        <v>17.7241</v>
      </c>
    </row>
    <row r="1433" spans="1:12" x14ac:dyDescent="0.25">
      <c r="A1433">
        <v>16</v>
      </c>
      <c r="B1433" t="s">
        <v>155</v>
      </c>
      <c r="C1433" t="s">
        <v>64</v>
      </c>
      <c r="D1433" s="1" t="s">
        <v>1770</v>
      </c>
      <c r="E1433">
        <v>8.98</v>
      </c>
      <c r="F1433">
        <v>13.35</v>
      </c>
      <c r="G1433">
        <v>4.55</v>
      </c>
      <c r="H1433">
        <v>4.4000000000000004</v>
      </c>
      <c r="I1433">
        <v>8.9499999999999993</v>
      </c>
      <c r="J1433" t="s">
        <v>352</v>
      </c>
      <c r="K1433" t="str">
        <f t="shared" si="49"/>
        <v>jake16</v>
      </c>
      <c r="L1433">
        <f t="shared" si="50"/>
        <v>19.360000000000003</v>
      </c>
    </row>
    <row r="1434" spans="1:12" x14ac:dyDescent="0.25">
      <c r="A1434">
        <v>16</v>
      </c>
      <c r="B1434" t="s">
        <v>149</v>
      </c>
      <c r="C1434" t="s">
        <v>64</v>
      </c>
      <c r="D1434" s="1" t="s">
        <v>1771</v>
      </c>
      <c r="E1434">
        <v>9.17</v>
      </c>
      <c r="F1434">
        <v>13.39</v>
      </c>
      <c r="G1434">
        <v>4.95</v>
      </c>
      <c r="H1434">
        <v>4.22</v>
      </c>
      <c r="I1434">
        <v>9.17</v>
      </c>
      <c r="J1434" t="s">
        <v>353</v>
      </c>
      <c r="K1434" t="str">
        <f t="shared" si="49"/>
        <v>breanna16</v>
      </c>
      <c r="L1434">
        <f t="shared" si="50"/>
        <v>17.808399999999999</v>
      </c>
    </row>
    <row r="1435" spans="1:12" x14ac:dyDescent="0.25">
      <c r="A1435">
        <v>16</v>
      </c>
      <c r="B1435" t="s">
        <v>376</v>
      </c>
      <c r="C1435" t="s">
        <v>64</v>
      </c>
      <c r="D1435" s="1" t="s">
        <v>1772</v>
      </c>
      <c r="E1435">
        <v>8.8000000000000007</v>
      </c>
      <c r="F1435">
        <v>12.53</v>
      </c>
      <c r="G1435">
        <v>5.1100000000000003</v>
      </c>
      <c r="H1435">
        <v>3.71</v>
      </c>
      <c r="I1435">
        <v>8.82</v>
      </c>
      <c r="J1435" t="s">
        <v>354</v>
      </c>
      <c r="K1435" t="str">
        <f t="shared" si="49"/>
        <v>joseph16</v>
      </c>
      <c r="L1435">
        <f t="shared" si="50"/>
        <v>13.764099999999999</v>
      </c>
    </row>
    <row r="1436" spans="1:12" x14ac:dyDescent="0.25">
      <c r="A1436">
        <v>16</v>
      </c>
      <c r="B1436" t="s">
        <v>65</v>
      </c>
      <c r="C1436" t="s">
        <v>64</v>
      </c>
      <c r="D1436" s="1" t="s">
        <v>1773</v>
      </c>
      <c r="E1436">
        <v>8.73</v>
      </c>
      <c r="F1436">
        <v>12.8</v>
      </c>
      <c r="G1436">
        <v>4.5599999999999996</v>
      </c>
      <c r="H1436">
        <v>4.12</v>
      </c>
      <c r="I1436">
        <v>8.68</v>
      </c>
      <c r="J1436" t="s">
        <v>355</v>
      </c>
      <c r="K1436" t="str">
        <f t="shared" si="49"/>
        <v>alyssa16</v>
      </c>
      <c r="L1436">
        <f t="shared" si="50"/>
        <v>16.974399999999999</v>
      </c>
    </row>
    <row r="1437" spans="1:12" x14ac:dyDescent="0.25">
      <c r="A1437">
        <v>16</v>
      </c>
      <c r="B1437" t="s">
        <v>262</v>
      </c>
      <c r="C1437" t="s">
        <v>64</v>
      </c>
      <c r="D1437" s="1" t="s">
        <v>1774</v>
      </c>
      <c r="E1437">
        <v>8.77</v>
      </c>
      <c r="F1437">
        <v>13.33</v>
      </c>
      <c r="G1437">
        <v>4.25</v>
      </c>
      <c r="H1437">
        <v>4.54</v>
      </c>
      <c r="I1437">
        <v>8.7899999999999991</v>
      </c>
      <c r="J1437" t="s">
        <v>356</v>
      </c>
      <c r="K1437" t="str">
        <f t="shared" si="49"/>
        <v>chris16</v>
      </c>
      <c r="L1437">
        <f t="shared" si="50"/>
        <v>20.611599999999999</v>
      </c>
    </row>
    <row r="1438" spans="1:12" x14ac:dyDescent="0.25">
      <c r="A1438">
        <v>16</v>
      </c>
      <c r="B1438" t="s">
        <v>66</v>
      </c>
      <c r="C1438" t="s">
        <v>64</v>
      </c>
      <c r="D1438" s="1" t="s">
        <v>1775</v>
      </c>
      <c r="E1438">
        <v>9.0500000000000007</v>
      </c>
      <c r="F1438">
        <v>13.73</v>
      </c>
      <c r="G1438">
        <v>4.43</v>
      </c>
      <c r="H1438">
        <v>4.6500000000000004</v>
      </c>
      <c r="I1438">
        <v>9.08</v>
      </c>
      <c r="J1438" t="s">
        <v>357</v>
      </c>
      <c r="K1438" t="str">
        <f t="shared" si="49"/>
        <v>jordan16</v>
      </c>
      <c r="L1438">
        <f t="shared" si="50"/>
        <v>21.622500000000002</v>
      </c>
    </row>
    <row r="1439" spans="1:12" x14ac:dyDescent="0.25">
      <c r="A1439">
        <v>16</v>
      </c>
      <c r="B1439" t="s">
        <v>378</v>
      </c>
      <c r="C1439" t="s">
        <v>64</v>
      </c>
      <c r="D1439" s="1" t="s">
        <v>1776</v>
      </c>
      <c r="E1439">
        <v>8.8699999999999992</v>
      </c>
      <c r="F1439">
        <v>12.89</v>
      </c>
      <c r="G1439">
        <v>4.79</v>
      </c>
      <c r="H1439">
        <v>4.05</v>
      </c>
      <c r="I1439">
        <v>8.84</v>
      </c>
      <c r="J1439" t="s">
        <v>358</v>
      </c>
      <c r="K1439" t="str">
        <f t="shared" si="49"/>
        <v>alex16</v>
      </c>
      <c r="L1439">
        <f t="shared" si="50"/>
        <v>16.4025</v>
      </c>
    </row>
    <row r="1440" spans="1:12" x14ac:dyDescent="0.25">
      <c r="A1440">
        <v>16</v>
      </c>
      <c r="B1440" t="s">
        <v>261</v>
      </c>
      <c r="C1440" t="s">
        <v>64</v>
      </c>
      <c r="D1440" s="1" t="s">
        <v>1777</v>
      </c>
      <c r="E1440">
        <v>7.43</v>
      </c>
      <c r="F1440">
        <v>12.3</v>
      </c>
      <c r="G1440">
        <v>2.58</v>
      </c>
      <c r="H1440">
        <v>4.8600000000000003</v>
      </c>
      <c r="I1440">
        <v>7.44</v>
      </c>
      <c r="J1440" t="s">
        <v>359</v>
      </c>
      <c r="K1440" t="str">
        <f t="shared" si="49"/>
        <v>colin16</v>
      </c>
      <c r="L1440">
        <f t="shared" si="50"/>
        <v>23.619600000000002</v>
      </c>
    </row>
    <row r="1441" spans="1:12" x14ac:dyDescent="0.25">
      <c r="A1441">
        <v>16</v>
      </c>
      <c r="B1441" t="s">
        <v>167</v>
      </c>
      <c r="C1441" t="s">
        <v>64</v>
      </c>
      <c r="D1441" s="1" t="s">
        <v>1778</v>
      </c>
      <c r="E1441">
        <v>8.8699999999999992</v>
      </c>
      <c r="F1441">
        <v>12.55</v>
      </c>
      <c r="G1441">
        <v>5.13</v>
      </c>
      <c r="H1441">
        <v>3.71</v>
      </c>
      <c r="I1441">
        <v>8.84</v>
      </c>
      <c r="J1441" t="s">
        <v>360</v>
      </c>
      <c r="K1441" t="str">
        <f t="shared" si="49"/>
        <v>paul16</v>
      </c>
      <c r="L1441">
        <f t="shared" si="50"/>
        <v>13.764099999999999</v>
      </c>
    </row>
    <row r="1442" spans="1:12" x14ac:dyDescent="0.25">
      <c r="A1442">
        <v>17</v>
      </c>
      <c r="B1442" t="s">
        <v>68</v>
      </c>
      <c r="C1442" t="s">
        <v>10</v>
      </c>
      <c r="D1442" s="1" t="s">
        <v>1779</v>
      </c>
      <c r="E1442">
        <v>13.58</v>
      </c>
      <c r="F1442">
        <v>21.16</v>
      </c>
      <c r="G1442">
        <v>3.64</v>
      </c>
      <c r="H1442">
        <v>8.76</v>
      </c>
      <c r="I1442">
        <v>12.4</v>
      </c>
      <c r="J1442" t="s">
        <v>351</v>
      </c>
      <c r="K1442" t="str">
        <f t="shared" si="49"/>
        <v>andrew17</v>
      </c>
      <c r="L1442">
        <f t="shared" si="50"/>
        <v>76.7376</v>
      </c>
    </row>
    <row r="1443" spans="1:12" x14ac:dyDescent="0.25">
      <c r="A1443">
        <v>17</v>
      </c>
      <c r="B1443" t="s">
        <v>30</v>
      </c>
      <c r="C1443" t="s">
        <v>10</v>
      </c>
      <c r="D1443" s="1" t="s">
        <v>1780</v>
      </c>
      <c r="E1443">
        <v>10.69</v>
      </c>
      <c r="F1443">
        <v>14.29</v>
      </c>
      <c r="G1443">
        <v>3.93</v>
      </c>
      <c r="H1443">
        <v>5.18</v>
      </c>
      <c r="I1443">
        <v>9.11</v>
      </c>
      <c r="J1443" t="s">
        <v>351</v>
      </c>
      <c r="K1443" t="str">
        <f t="shared" si="49"/>
        <v>andrew17</v>
      </c>
      <c r="L1443">
        <f t="shared" si="50"/>
        <v>26.832399999999996</v>
      </c>
    </row>
    <row r="1444" spans="1:12" x14ac:dyDescent="0.25">
      <c r="A1444">
        <v>17</v>
      </c>
      <c r="B1444" t="s">
        <v>20</v>
      </c>
      <c r="C1444" t="s">
        <v>10</v>
      </c>
      <c r="D1444" s="1" t="s">
        <v>1781</v>
      </c>
      <c r="E1444">
        <v>12.7</v>
      </c>
      <c r="F1444">
        <v>18.329999999999998</v>
      </c>
      <c r="G1444">
        <v>4.1100000000000003</v>
      </c>
      <c r="H1444">
        <v>7.11</v>
      </c>
      <c r="I1444">
        <v>11.22</v>
      </c>
      <c r="J1444" t="s">
        <v>352</v>
      </c>
      <c r="K1444" t="str">
        <f t="shared" si="49"/>
        <v>jake17</v>
      </c>
      <c r="L1444">
        <f t="shared" si="50"/>
        <v>50.552100000000003</v>
      </c>
    </row>
    <row r="1445" spans="1:12" x14ac:dyDescent="0.25">
      <c r="A1445">
        <v>17</v>
      </c>
      <c r="B1445" t="s">
        <v>9</v>
      </c>
      <c r="C1445" t="s">
        <v>10</v>
      </c>
      <c r="D1445" s="1" t="s">
        <v>1782</v>
      </c>
      <c r="E1445">
        <v>11.48</v>
      </c>
      <c r="F1445">
        <v>17.809999999999999</v>
      </c>
      <c r="G1445">
        <v>3.01</v>
      </c>
      <c r="H1445">
        <v>7.4</v>
      </c>
      <c r="I1445">
        <v>10.41</v>
      </c>
      <c r="J1445" t="s">
        <v>352</v>
      </c>
      <c r="K1445" t="str">
        <f t="shared" si="49"/>
        <v>jake17</v>
      </c>
      <c r="L1445">
        <f t="shared" si="50"/>
        <v>54.760000000000005</v>
      </c>
    </row>
    <row r="1446" spans="1:12" x14ac:dyDescent="0.25">
      <c r="A1446">
        <v>17</v>
      </c>
      <c r="B1446" t="s">
        <v>181</v>
      </c>
      <c r="C1446" t="s">
        <v>10</v>
      </c>
      <c r="D1446" s="1" t="s">
        <v>1783</v>
      </c>
      <c r="E1446">
        <v>12.64</v>
      </c>
      <c r="F1446">
        <v>16.14</v>
      </c>
      <c r="G1446">
        <v>4.5</v>
      </c>
      <c r="H1446">
        <v>5.82</v>
      </c>
      <c r="I1446">
        <v>10.32</v>
      </c>
      <c r="J1446" t="s">
        <v>352</v>
      </c>
      <c r="K1446" t="str">
        <f t="shared" si="49"/>
        <v>jake17</v>
      </c>
      <c r="L1446">
        <f t="shared" si="50"/>
        <v>33.872400000000006</v>
      </c>
    </row>
    <row r="1447" spans="1:12" x14ac:dyDescent="0.25">
      <c r="A1447">
        <v>17</v>
      </c>
      <c r="B1447" t="s">
        <v>27</v>
      </c>
      <c r="C1447" t="s">
        <v>10</v>
      </c>
      <c r="D1447" s="1" t="s">
        <v>1784</v>
      </c>
      <c r="E1447">
        <v>17.3</v>
      </c>
      <c r="F1447">
        <v>21.08</v>
      </c>
      <c r="G1447">
        <v>8.3000000000000007</v>
      </c>
      <c r="H1447">
        <v>6.39</v>
      </c>
      <c r="I1447">
        <v>14.69</v>
      </c>
      <c r="J1447" t="s">
        <v>353</v>
      </c>
      <c r="K1447" t="str">
        <f t="shared" si="49"/>
        <v>breanna17</v>
      </c>
      <c r="L1447">
        <f t="shared" si="50"/>
        <v>40.832099999999997</v>
      </c>
    </row>
    <row r="1448" spans="1:12" x14ac:dyDescent="0.25">
      <c r="A1448">
        <v>17</v>
      </c>
      <c r="B1448" t="s">
        <v>219</v>
      </c>
      <c r="C1448" t="s">
        <v>10</v>
      </c>
      <c r="D1448" s="1" t="s">
        <v>1785</v>
      </c>
      <c r="E1448">
        <v>13.7</v>
      </c>
      <c r="F1448">
        <v>18.22</v>
      </c>
      <c r="G1448">
        <v>6.7</v>
      </c>
      <c r="H1448">
        <v>5.76</v>
      </c>
      <c r="I1448">
        <v>12.46</v>
      </c>
      <c r="J1448" t="s">
        <v>353</v>
      </c>
      <c r="K1448" t="str">
        <f t="shared" si="49"/>
        <v>breanna17</v>
      </c>
      <c r="L1448">
        <f t="shared" si="50"/>
        <v>33.177599999999998</v>
      </c>
    </row>
    <row r="1449" spans="1:12" x14ac:dyDescent="0.25">
      <c r="A1449">
        <v>17</v>
      </c>
      <c r="B1449" t="s">
        <v>216</v>
      </c>
      <c r="C1449" t="s">
        <v>10</v>
      </c>
      <c r="D1449" s="1" t="s">
        <v>1786</v>
      </c>
      <c r="E1449">
        <v>16.36</v>
      </c>
      <c r="F1449">
        <v>21.93</v>
      </c>
      <c r="G1449">
        <v>6.03</v>
      </c>
      <c r="H1449">
        <v>7.95</v>
      </c>
      <c r="I1449">
        <v>13.98</v>
      </c>
      <c r="J1449" t="s">
        <v>354</v>
      </c>
      <c r="K1449" t="str">
        <f t="shared" si="49"/>
        <v>joseph17</v>
      </c>
      <c r="L1449">
        <f t="shared" si="50"/>
        <v>63.202500000000001</v>
      </c>
    </row>
    <row r="1450" spans="1:12" x14ac:dyDescent="0.25">
      <c r="A1450">
        <v>17</v>
      </c>
      <c r="B1450" t="s">
        <v>74</v>
      </c>
      <c r="C1450" t="s">
        <v>10</v>
      </c>
      <c r="D1450" s="1" t="s">
        <v>1787</v>
      </c>
      <c r="E1450">
        <v>12.72</v>
      </c>
      <c r="F1450">
        <v>19.96</v>
      </c>
      <c r="G1450">
        <v>3.32</v>
      </c>
      <c r="H1450">
        <v>8.32</v>
      </c>
      <c r="I1450">
        <v>11.64</v>
      </c>
      <c r="J1450" t="s">
        <v>354</v>
      </c>
      <c r="K1450" t="str">
        <f t="shared" si="49"/>
        <v>joseph17</v>
      </c>
      <c r="L1450">
        <f t="shared" si="50"/>
        <v>69.222400000000007</v>
      </c>
    </row>
    <row r="1451" spans="1:12" x14ac:dyDescent="0.25">
      <c r="A1451">
        <v>17</v>
      </c>
      <c r="B1451" t="s">
        <v>16</v>
      </c>
      <c r="C1451" t="s">
        <v>10</v>
      </c>
      <c r="D1451" s="1" t="s">
        <v>1788</v>
      </c>
      <c r="E1451">
        <v>12.41</v>
      </c>
      <c r="F1451">
        <v>17.010000000000002</v>
      </c>
      <c r="G1451">
        <v>6.01</v>
      </c>
      <c r="H1451">
        <v>5.5</v>
      </c>
      <c r="I1451">
        <v>11.51</v>
      </c>
      <c r="J1451" t="s">
        <v>354</v>
      </c>
      <c r="K1451" t="str">
        <f t="shared" si="49"/>
        <v>joseph17</v>
      </c>
      <c r="L1451">
        <f t="shared" si="50"/>
        <v>30.25</v>
      </c>
    </row>
    <row r="1452" spans="1:12" x14ac:dyDescent="0.25">
      <c r="A1452">
        <v>17</v>
      </c>
      <c r="B1452" t="s">
        <v>75</v>
      </c>
      <c r="C1452" t="s">
        <v>10</v>
      </c>
      <c r="D1452" s="1" t="s">
        <v>1789</v>
      </c>
      <c r="E1452">
        <v>21.48</v>
      </c>
      <c r="F1452">
        <v>31.53</v>
      </c>
      <c r="G1452">
        <v>8.23</v>
      </c>
      <c r="H1452">
        <v>11.65</v>
      </c>
      <c r="I1452">
        <v>19.88</v>
      </c>
      <c r="J1452" t="s">
        <v>355</v>
      </c>
      <c r="K1452" t="str">
        <f t="shared" si="49"/>
        <v>alyssa17</v>
      </c>
      <c r="L1452">
        <f t="shared" si="50"/>
        <v>135.7225</v>
      </c>
    </row>
    <row r="1453" spans="1:12" x14ac:dyDescent="0.25">
      <c r="A1453">
        <v>17</v>
      </c>
      <c r="B1453" t="s">
        <v>28</v>
      </c>
      <c r="C1453" t="s">
        <v>10</v>
      </c>
      <c r="D1453" s="1" t="s">
        <v>1790</v>
      </c>
      <c r="E1453">
        <v>16.260000000000002</v>
      </c>
      <c r="F1453">
        <v>21.44</v>
      </c>
      <c r="G1453">
        <v>5.36</v>
      </c>
      <c r="H1453">
        <v>8.0399999999999991</v>
      </c>
      <c r="I1453">
        <v>13.4</v>
      </c>
      <c r="J1453" t="s">
        <v>355</v>
      </c>
      <c r="K1453" t="str">
        <f t="shared" si="49"/>
        <v>alyssa17</v>
      </c>
      <c r="L1453">
        <f t="shared" si="50"/>
        <v>64.641599999999983</v>
      </c>
    </row>
    <row r="1454" spans="1:12" x14ac:dyDescent="0.25">
      <c r="A1454">
        <v>17</v>
      </c>
      <c r="B1454" t="s">
        <v>25</v>
      </c>
      <c r="C1454" t="s">
        <v>10</v>
      </c>
      <c r="D1454" s="1" t="s">
        <v>1791</v>
      </c>
      <c r="E1454">
        <v>20.8</v>
      </c>
      <c r="F1454">
        <v>27.09</v>
      </c>
      <c r="G1454">
        <v>10.55</v>
      </c>
      <c r="H1454">
        <v>8.27</v>
      </c>
      <c r="I1454">
        <v>18.82</v>
      </c>
      <c r="J1454" t="s">
        <v>356</v>
      </c>
      <c r="K1454" t="str">
        <f t="shared" si="49"/>
        <v>chris17</v>
      </c>
      <c r="L1454">
        <f t="shared" si="50"/>
        <v>68.392899999999997</v>
      </c>
    </row>
    <row r="1455" spans="1:12" x14ac:dyDescent="0.25">
      <c r="A1455">
        <v>17</v>
      </c>
      <c r="B1455" t="s">
        <v>160</v>
      </c>
      <c r="C1455" t="s">
        <v>10</v>
      </c>
      <c r="D1455" s="1" t="s">
        <v>1792</v>
      </c>
      <c r="E1455">
        <v>11.64</v>
      </c>
      <c r="F1455">
        <v>16.07</v>
      </c>
      <c r="G1455">
        <v>4.95</v>
      </c>
      <c r="H1455">
        <v>5.56</v>
      </c>
      <c r="I1455">
        <v>10.51</v>
      </c>
      <c r="J1455" t="s">
        <v>356</v>
      </c>
      <c r="K1455" t="str">
        <f t="shared" si="49"/>
        <v>chris17</v>
      </c>
      <c r="L1455">
        <f t="shared" si="50"/>
        <v>30.913599999999995</v>
      </c>
    </row>
    <row r="1456" spans="1:12" x14ac:dyDescent="0.25">
      <c r="A1456">
        <v>17</v>
      </c>
      <c r="B1456" t="s">
        <v>158</v>
      </c>
      <c r="C1456" t="s">
        <v>10</v>
      </c>
      <c r="D1456" s="1" t="s">
        <v>1793</v>
      </c>
      <c r="E1456">
        <v>22.59</v>
      </c>
      <c r="F1456">
        <v>30.34</v>
      </c>
      <c r="G1456">
        <v>10.56</v>
      </c>
      <c r="H1456">
        <v>9.89</v>
      </c>
      <c r="I1456">
        <v>20.45</v>
      </c>
      <c r="J1456" t="s">
        <v>357</v>
      </c>
      <c r="K1456" t="str">
        <f t="shared" si="49"/>
        <v>jordan17</v>
      </c>
      <c r="L1456">
        <f t="shared" si="50"/>
        <v>97.812100000000015</v>
      </c>
    </row>
    <row r="1457" spans="1:12" x14ac:dyDescent="0.25">
      <c r="A1457">
        <v>17</v>
      </c>
      <c r="B1457" t="s">
        <v>284</v>
      </c>
      <c r="C1457" t="s">
        <v>10</v>
      </c>
      <c r="D1457" s="1" t="s">
        <v>1794</v>
      </c>
      <c r="E1457">
        <v>14.27</v>
      </c>
      <c r="F1457">
        <v>20.25</v>
      </c>
      <c r="G1457">
        <v>4.8099999999999996</v>
      </c>
      <c r="H1457">
        <v>7.72</v>
      </c>
      <c r="I1457">
        <v>12.53</v>
      </c>
      <c r="J1457" t="s">
        <v>357</v>
      </c>
      <c r="K1457" t="str">
        <f t="shared" si="49"/>
        <v>jordan17</v>
      </c>
      <c r="L1457">
        <f t="shared" si="50"/>
        <v>59.598399999999998</v>
      </c>
    </row>
    <row r="1458" spans="1:12" x14ac:dyDescent="0.25">
      <c r="A1458">
        <v>17</v>
      </c>
      <c r="B1458" t="s">
        <v>157</v>
      </c>
      <c r="C1458" t="s">
        <v>10</v>
      </c>
      <c r="D1458" s="1" t="s">
        <v>1795</v>
      </c>
      <c r="E1458">
        <v>11.5</v>
      </c>
      <c r="F1458">
        <v>17.940000000000001</v>
      </c>
      <c r="G1458">
        <v>4.28</v>
      </c>
      <c r="H1458">
        <v>6.83</v>
      </c>
      <c r="I1458">
        <v>11.11</v>
      </c>
      <c r="J1458" t="s">
        <v>357</v>
      </c>
      <c r="K1458" t="str">
        <f t="shared" si="49"/>
        <v>jordan17</v>
      </c>
      <c r="L1458">
        <f t="shared" si="50"/>
        <v>46.648899999999998</v>
      </c>
    </row>
    <row r="1459" spans="1:12" x14ac:dyDescent="0.25">
      <c r="A1459">
        <v>17</v>
      </c>
      <c r="B1459" t="s">
        <v>14</v>
      </c>
      <c r="C1459" t="s">
        <v>10</v>
      </c>
      <c r="D1459" s="1" t="s">
        <v>1796</v>
      </c>
      <c r="E1459">
        <v>12.96</v>
      </c>
      <c r="F1459">
        <v>17.93</v>
      </c>
      <c r="G1459">
        <v>5.25</v>
      </c>
      <c r="H1459">
        <v>6.34</v>
      </c>
      <c r="I1459">
        <v>11.59</v>
      </c>
      <c r="J1459" t="s">
        <v>358</v>
      </c>
      <c r="K1459" t="str">
        <f t="shared" si="49"/>
        <v>alex17</v>
      </c>
      <c r="L1459">
        <f t="shared" si="50"/>
        <v>40.195599999999999</v>
      </c>
    </row>
    <row r="1460" spans="1:12" x14ac:dyDescent="0.25">
      <c r="A1460">
        <v>17</v>
      </c>
      <c r="B1460" t="s">
        <v>12</v>
      </c>
      <c r="C1460" t="s">
        <v>10</v>
      </c>
      <c r="D1460" s="1" t="s">
        <v>1797</v>
      </c>
      <c r="E1460">
        <v>11.19</v>
      </c>
      <c r="F1460">
        <v>16.61</v>
      </c>
      <c r="G1460">
        <v>2.61</v>
      </c>
      <c r="H1460">
        <v>7</v>
      </c>
      <c r="I1460">
        <v>9.61</v>
      </c>
      <c r="J1460" t="s">
        <v>358</v>
      </c>
      <c r="K1460" t="str">
        <f t="shared" si="49"/>
        <v>alex17</v>
      </c>
      <c r="L1460">
        <f t="shared" si="50"/>
        <v>49</v>
      </c>
    </row>
    <row r="1461" spans="1:12" x14ac:dyDescent="0.25">
      <c r="A1461">
        <v>17</v>
      </c>
      <c r="B1461" t="s">
        <v>152</v>
      </c>
      <c r="C1461" t="s">
        <v>10</v>
      </c>
      <c r="D1461" s="1" t="s">
        <v>1798</v>
      </c>
      <c r="E1461">
        <v>17.63</v>
      </c>
      <c r="F1461">
        <v>21.4</v>
      </c>
      <c r="G1461">
        <v>8.4600000000000009</v>
      </c>
      <c r="H1461">
        <v>6.47</v>
      </c>
      <c r="I1461">
        <v>14.93</v>
      </c>
      <c r="J1461" t="s">
        <v>359</v>
      </c>
      <c r="K1461" t="str">
        <f t="shared" si="49"/>
        <v>colin17</v>
      </c>
      <c r="L1461">
        <f t="shared" si="50"/>
        <v>41.860899999999994</v>
      </c>
    </row>
    <row r="1462" spans="1:12" x14ac:dyDescent="0.25">
      <c r="A1462">
        <v>17</v>
      </c>
      <c r="B1462" t="s">
        <v>265</v>
      </c>
      <c r="C1462" t="s">
        <v>10</v>
      </c>
      <c r="D1462" s="1" t="s">
        <v>1799</v>
      </c>
      <c r="E1462">
        <v>9.2100000000000009</v>
      </c>
      <c r="F1462">
        <v>13.62</v>
      </c>
      <c r="G1462">
        <v>1.26</v>
      </c>
      <c r="H1462">
        <v>6.18</v>
      </c>
      <c r="I1462">
        <v>7.44</v>
      </c>
      <c r="J1462" t="s">
        <v>359</v>
      </c>
      <c r="K1462" t="str">
        <f t="shared" si="49"/>
        <v>colin17</v>
      </c>
      <c r="L1462">
        <f t="shared" si="50"/>
        <v>38.192399999999999</v>
      </c>
    </row>
    <row r="1463" spans="1:12" x14ac:dyDescent="0.25">
      <c r="A1463">
        <v>17</v>
      </c>
      <c r="B1463" t="s">
        <v>13</v>
      </c>
      <c r="C1463" t="s">
        <v>10</v>
      </c>
      <c r="D1463" s="1" t="s">
        <v>1800</v>
      </c>
      <c r="E1463">
        <v>18.28</v>
      </c>
      <c r="F1463">
        <v>25.1</v>
      </c>
      <c r="G1463">
        <v>8.34</v>
      </c>
      <c r="H1463">
        <v>8.3800000000000008</v>
      </c>
      <c r="I1463">
        <v>16.72</v>
      </c>
      <c r="J1463" t="s">
        <v>360</v>
      </c>
      <c r="K1463" t="str">
        <f t="shared" si="49"/>
        <v>paul17</v>
      </c>
      <c r="L1463">
        <f t="shared" si="50"/>
        <v>70.224400000000017</v>
      </c>
    </row>
    <row r="1464" spans="1:12" x14ac:dyDescent="0.25">
      <c r="A1464">
        <v>17</v>
      </c>
      <c r="B1464" t="s">
        <v>115</v>
      </c>
      <c r="C1464" t="s">
        <v>10</v>
      </c>
      <c r="D1464" s="1" t="s">
        <v>1801</v>
      </c>
      <c r="E1464">
        <v>13.14</v>
      </c>
      <c r="F1464">
        <v>17.79</v>
      </c>
      <c r="G1464">
        <v>5.41</v>
      </c>
      <c r="H1464">
        <v>6.19</v>
      </c>
      <c r="I1464">
        <v>11.6</v>
      </c>
      <c r="J1464" t="s">
        <v>360</v>
      </c>
      <c r="K1464" t="str">
        <f t="shared" si="49"/>
        <v>paul17</v>
      </c>
      <c r="L1464">
        <f t="shared" si="50"/>
        <v>38.316100000000006</v>
      </c>
    </row>
    <row r="1465" spans="1:12" x14ac:dyDescent="0.25">
      <c r="A1465">
        <v>17</v>
      </c>
      <c r="B1465" t="s">
        <v>186</v>
      </c>
      <c r="C1465" t="s">
        <v>10</v>
      </c>
      <c r="D1465" s="1" t="s">
        <v>1802</v>
      </c>
      <c r="E1465">
        <v>12.14</v>
      </c>
      <c r="F1465">
        <v>17.02</v>
      </c>
      <c r="G1465">
        <v>4.2</v>
      </c>
      <c r="H1465">
        <v>6.41</v>
      </c>
      <c r="I1465">
        <v>10.61</v>
      </c>
      <c r="J1465" t="s">
        <v>360</v>
      </c>
      <c r="K1465" t="str">
        <f t="shared" si="49"/>
        <v>paul17</v>
      </c>
      <c r="L1465">
        <f t="shared" si="50"/>
        <v>41.088100000000004</v>
      </c>
    </row>
    <row r="1466" spans="1:12" x14ac:dyDescent="0.25">
      <c r="A1466">
        <v>17</v>
      </c>
      <c r="B1466" t="s">
        <v>41</v>
      </c>
      <c r="C1466" t="s">
        <v>32</v>
      </c>
      <c r="D1466" s="1" t="s">
        <v>1803</v>
      </c>
      <c r="E1466">
        <v>18.170000000000002</v>
      </c>
      <c r="F1466">
        <v>21.63</v>
      </c>
      <c r="G1466">
        <v>7.49</v>
      </c>
      <c r="H1466">
        <v>7.07</v>
      </c>
      <c r="I1466">
        <v>14.56</v>
      </c>
      <c r="J1466" t="s">
        <v>351</v>
      </c>
      <c r="K1466" t="str">
        <f t="shared" si="49"/>
        <v>andrew17</v>
      </c>
      <c r="L1466">
        <f t="shared" si="50"/>
        <v>49.984900000000003</v>
      </c>
    </row>
    <row r="1467" spans="1:12" x14ac:dyDescent="0.25">
      <c r="A1467">
        <v>17</v>
      </c>
      <c r="B1467" t="s">
        <v>72</v>
      </c>
      <c r="C1467" t="s">
        <v>32</v>
      </c>
      <c r="D1467" s="1" t="s">
        <v>1804</v>
      </c>
      <c r="E1467">
        <v>13.14</v>
      </c>
      <c r="F1467">
        <v>17.38</v>
      </c>
      <c r="G1467">
        <v>3.4</v>
      </c>
      <c r="H1467">
        <v>6.99</v>
      </c>
      <c r="I1467">
        <v>10.39</v>
      </c>
      <c r="J1467" t="s">
        <v>351</v>
      </c>
      <c r="K1467" t="str">
        <f t="shared" si="49"/>
        <v>andrew17</v>
      </c>
      <c r="L1467">
        <f t="shared" si="50"/>
        <v>48.860100000000003</v>
      </c>
    </row>
    <row r="1468" spans="1:12" x14ac:dyDescent="0.25">
      <c r="A1468">
        <v>17</v>
      </c>
      <c r="B1468" t="s">
        <v>162</v>
      </c>
      <c r="C1468" t="s">
        <v>32</v>
      </c>
      <c r="D1468" s="1" t="s">
        <v>1805</v>
      </c>
      <c r="E1468">
        <v>12.51</v>
      </c>
      <c r="F1468">
        <v>16.18</v>
      </c>
      <c r="G1468">
        <v>3.94</v>
      </c>
      <c r="H1468">
        <v>6.12</v>
      </c>
      <c r="I1468">
        <v>10.06</v>
      </c>
      <c r="J1468" t="s">
        <v>351</v>
      </c>
      <c r="K1468" t="str">
        <f t="shared" si="49"/>
        <v>andrew17</v>
      </c>
      <c r="L1468">
        <f t="shared" si="50"/>
        <v>37.4544</v>
      </c>
    </row>
    <row r="1469" spans="1:12" x14ac:dyDescent="0.25">
      <c r="A1469">
        <v>17</v>
      </c>
      <c r="B1469" t="s">
        <v>33</v>
      </c>
      <c r="C1469" t="s">
        <v>32</v>
      </c>
      <c r="D1469" s="1" t="s">
        <v>1806</v>
      </c>
      <c r="E1469">
        <v>14.46</v>
      </c>
      <c r="F1469">
        <v>17.940000000000001</v>
      </c>
      <c r="G1469">
        <v>5.22</v>
      </c>
      <c r="H1469">
        <v>6.36</v>
      </c>
      <c r="I1469">
        <v>11.58</v>
      </c>
      <c r="J1469" t="s">
        <v>352</v>
      </c>
      <c r="K1469" t="str">
        <f t="shared" si="49"/>
        <v>jake17</v>
      </c>
      <c r="L1469">
        <f t="shared" si="50"/>
        <v>40.449600000000004</v>
      </c>
    </row>
    <row r="1470" spans="1:12" x14ac:dyDescent="0.25">
      <c r="A1470">
        <v>17</v>
      </c>
      <c r="B1470" t="s">
        <v>39</v>
      </c>
      <c r="C1470" t="s">
        <v>32</v>
      </c>
      <c r="D1470" s="1" t="s">
        <v>1807</v>
      </c>
      <c r="E1470">
        <v>14.42</v>
      </c>
      <c r="F1470">
        <v>17.13</v>
      </c>
      <c r="G1470">
        <v>4.97</v>
      </c>
      <c r="H1470">
        <v>6.08</v>
      </c>
      <c r="I1470">
        <v>11.05</v>
      </c>
      <c r="J1470" t="s">
        <v>352</v>
      </c>
      <c r="K1470" t="str">
        <f t="shared" si="49"/>
        <v>jake17</v>
      </c>
      <c r="L1470">
        <f t="shared" si="50"/>
        <v>36.9664</v>
      </c>
    </row>
    <row r="1471" spans="1:12" x14ac:dyDescent="0.25">
      <c r="A1471">
        <v>17</v>
      </c>
      <c r="B1471" t="s">
        <v>44</v>
      </c>
      <c r="C1471" t="s">
        <v>32</v>
      </c>
      <c r="D1471" s="1" t="s">
        <v>1808</v>
      </c>
      <c r="E1471">
        <v>15.4</v>
      </c>
      <c r="F1471">
        <v>23.04</v>
      </c>
      <c r="G1471">
        <v>1.8</v>
      </c>
      <c r="H1471">
        <v>10.62</v>
      </c>
      <c r="I1471">
        <v>12.42</v>
      </c>
      <c r="J1471" t="s">
        <v>353</v>
      </c>
      <c r="K1471" t="str">
        <f t="shared" si="49"/>
        <v>breanna17</v>
      </c>
      <c r="L1471">
        <f t="shared" si="50"/>
        <v>112.78439999999998</v>
      </c>
    </row>
    <row r="1472" spans="1:12" x14ac:dyDescent="0.25">
      <c r="A1472">
        <v>17</v>
      </c>
      <c r="B1472" t="s">
        <v>48</v>
      </c>
      <c r="C1472" t="s">
        <v>32</v>
      </c>
      <c r="D1472" s="1" t="s">
        <v>1809</v>
      </c>
      <c r="E1472">
        <v>12.14</v>
      </c>
      <c r="F1472">
        <v>15.01</v>
      </c>
      <c r="G1472">
        <v>4.6100000000000003</v>
      </c>
      <c r="H1472">
        <v>5.2</v>
      </c>
      <c r="I1472">
        <v>9.81</v>
      </c>
      <c r="J1472" t="s">
        <v>353</v>
      </c>
      <c r="K1472" t="str">
        <f t="shared" si="49"/>
        <v>breanna17</v>
      </c>
      <c r="L1472">
        <f t="shared" si="50"/>
        <v>27.040000000000003</v>
      </c>
    </row>
    <row r="1473" spans="1:12" x14ac:dyDescent="0.25">
      <c r="A1473">
        <v>17</v>
      </c>
      <c r="B1473" t="s">
        <v>165</v>
      </c>
      <c r="C1473" t="s">
        <v>32</v>
      </c>
      <c r="D1473" s="1" t="s">
        <v>1810</v>
      </c>
      <c r="E1473">
        <v>11.48</v>
      </c>
      <c r="F1473">
        <v>17.239999999999998</v>
      </c>
      <c r="G1473">
        <v>1.7</v>
      </c>
      <c r="H1473">
        <v>7.77</v>
      </c>
      <c r="I1473">
        <v>9.4700000000000006</v>
      </c>
      <c r="J1473" t="s">
        <v>353</v>
      </c>
      <c r="K1473" t="str">
        <f t="shared" si="49"/>
        <v>breanna17</v>
      </c>
      <c r="L1473">
        <f t="shared" si="50"/>
        <v>60.372899999999994</v>
      </c>
    </row>
    <row r="1474" spans="1:12" x14ac:dyDescent="0.25">
      <c r="A1474">
        <v>17</v>
      </c>
      <c r="B1474" t="s">
        <v>43</v>
      </c>
      <c r="C1474" t="s">
        <v>32</v>
      </c>
      <c r="D1474" s="1" t="s">
        <v>1811</v>
      </c>
      <c r="E1474">
        <v>15.69</v>
      </c>
      <c r="F1474">
        <v>20.96</v>
      </c>
      <c r="G1474">
        <v>4.84</v>
      </c>
      <c r="H1474">
        <v>8.06</v>
      </c>
      <c r="I1474">
        <v>12.9</v>
      </c>
      <c r="J1474" t="s">
        <v>354</v>
      </c>
      <c r="K1474" t="str">
        <f t="shared" si="49"/>
        <v>joseph17</v>
      </c>
      <c r="L1474">
        <f t="shared" si="50"/>
        <v>64.963600000000014</v>
      </c>
    </row>
    <row r="1475" spans="1:12" x14ac:dyDescent="0.25">
      <c r="A1475">
        <v>17</v>
      </c>
      <c r="B1475" t="s">
        <v>42</v>
      </c>
      <c r="C1475" t="s">
        <v>32</v>
      </c>
      <c r="D1475" s="1" t="s">
        <v>1812</v>
      </c>
      <c r="E1475">
        <v>14.75</v>
      </c>
      <c r="F1475">
        <v>18.29</v>
      </c>
      <c r="G1475">
        <v>5.71</v>
      </c>
      <c r="H1475">
        <v>6.29</v>
      </c>
      <c r="I1475">
        <v>12</v>
      </c>
      <c r="J1475" t="s">
        <v>354</v>
      </c>
      <c r="K1475" t="str">
        <f t="shared" ref="K1475:K1530" si="51">J1475&amp;A1475</f>
        <v>joseph17</v>
      </c>
      <c r="L1475">
        <f t="shared" ref="L1475:L1530" si="52">H1475^2</f>
        <v>39.564100000000003</v>
      </c>
    </row>
    <row r="1476" spans="1:12" x14ac:dyDescent="0.25">
      <c r="A1476">
        <v>17</v>
      </c>
      <c r="B1476" t="s">
        <v>69</v>
      </c>
      <c r="C1476" t="s">
        <v>32</v>
      </c>
      <c r="D1476" s="1" t="s">
        <v>1813</v>
      </c>
      <c r="E1476">
        <v>17.149999999999999</v>
      </c>
      <c r="F1476">
        <v>21.13</v>
      </c>
      <c r="G1476">
        <v>6.09</v>
      </c>
      <c r="H1476">
        <v>7.52</v>
      </c>
      <c r="I1476">
        <v>13.61</v>
      </c>
      <c r="J1476" t="s">
        <v>355</v>
      </c>
      <c r="K1476" t="str">
        <f t="shared" si="51"/>
        <v>alyssa17</v>
      </c>
      <c r="L1476">
        <f t="shared" si="52"/>
        <v>56.550399999999996</v>
      </c>
    </row>
    <row r="1477" spans="1:12" x14ac:dyDescent="0.25">
      <c r="A1477">
        <v>17</v>
      </c>
      <c r="B1477" t="s">
        <v>71</v>
      </c>
      <c r="C1477" t="s">
        <v>32</v>
      </c>
      <c r="D1477" s="1" t="s">
        <v>1814</v>
      </c>
      <c r="E1477">
        <v>13.45</v>
      </c>
      <c r="F1477">
        <v>16.66</v>
      </c>
      <c r="G1477">
        <v>4.08</v>
      </c>
      <c r="H1477">
        <v>6.29</v>
      </c>
      <c r="I1477">
        <v>10.37</v>
      </c>
      <c r="J1477" t="s">
        <v>355</v>
      </c>
      <c r="K1477" t="str">
        <f t="shared" si="51"/>
        <v>alyssa17</v>
      </c>
      <c r="L1477">
        <f t="shared" si="52"/>
        <v>39.564100000000003</v>
      </c>
    </row>
    <row r="1478" spans="1:12" x14ac:dyDescent="0.25">
      <c r="A1478">
        <v>17</v>
      </c>
      <c r="B1478" t="s">
        <v>51</v>
      </c>
      <c r="C1478" t="s">
        <v>32</v>
      </c>
      <c r="D1478" s="1" t="s">
        <v>1815</v>
      </c>
      <c r="E1478">
        <v>12.41</v>
      </c>
      <c r="F1478">
        <v>16.38</v>
      </c>
      <c r="G1478">
        <v>2.5</v>
      </c>
      <c r="H1478">
        <v>6.94</v>
      </c>
      <c r="I1478">
        <v>9.44</v>
      </c>
      <c r="J1478" t="s">
        <v>355</v>
      </c>
      <c r="K1478" t="str">
        <f t="shared" si="51"/>
        <v>alyssa17</v>
      </c>
      <c r="L1478">
        <f t="shared" si="52"/>
        <v>48.163600000000002</v>
      </c>
    </row>
    <row r="1479" spans="1:12" x14ac:dyDescent="0.25">
      <c r="A1479">
        <v>17</v>
      </c>
      <c r="B1479" t="s">
        <v>47</v>
      </c>
      <c r="C1479" t="s">
        <v>32</v>
      </c>
      <c r="D1479" s="1" t="s">
        <v>1816</v>
      </c>
      <c r="E1479">
        <v>13.7</v>
      </c>
      <c r="F1479">
        <v>17.03</v>
      </c>
      <c r="G1479">
        <v>4.87</v>
      </c>
      <c r="H1479">
        <v>6.08</v>
      </c>
      <c r="I1479">
        <v>10.95</v>
      </c>
      <c r="J1479" t="s">
        <v>356</v>
      </c>
      <c r="K1479" t="str">
        <f t="shared" si="51"/>
        <v>chris17</v>
      </c>
      <c r="L1479">
        <f t="shared" si="52"/>
        <v>36.9664</v>
      </c>
    </row>
    <row r="1480" spans="1:12" x14ac:dyDescent="0.25">
      <c r="A1480">
        <v>17</v>
      </c>
      <c r="B1480" t="s">
        <v>46</v>
      </c>
      <c r="C1480" t="s">
        <v>32</v>
      </c>
      <c r="D1480" s="1" t="s">
        <v>1817</v>
      </c>
      <c r="E1480">
        <v>11.68</v>
      </c>
      <c r="F1480">
        <v>15.34</v>
      </c>
      <c r="G1480">
        <v>2.38</v>
      </c>
      <c r="H1480">
        <v>6.48</v>
      </c>
      <c r="I1480">
        <v>8.86</v>
      </c>
      <c r="J1480" t="s">
        <v>356</v>
      </c>
      <c r="K1480" t="str">
        <f t="shared" si="51"/>
        <v>chris17</v>
      </c>
      <c r="L1480">
        <f t="shared" si="52"/>
        <v>41.990400000000008</v>
      </c>
    </row>
    <row r="1481" spans="1:12" x14ac:dyDescent="0.25">
      <c r="A1481">
        <v>17</v>
      </c>
      <c r="B1481" t="s">
        <v>224</v>
      </c>
      <c r="C1481" t="s">
        <v>32</v>
      </c>
      <c r="D1481" s="1" t="s">
        <v>1818</v>
      </c>
      <c r="E1481">
        <v>8.33</v>
      </c>
      <c r="F1481">
        <v>11.89</v>
      </c>
      <c r="G1481">
        <v>0.99</v>
      </c>
      <c r="H1481">
        <v>5.45</v>
      </c>
      <c r="I1481">
        <v>6.44</v>
      </c>
      <c r="J1481" t="s">
        <v>356</v>
      </c>
      <c r="K1481" t="str">
        <f t="shared" si="51"/>
        <v>chris17</v>
      </c>
      <c r="L1481">
        <f t="shared" si="52"/>
        <v>29.702500000000001</v>
      </c>
    </row>
    <row r="1482" spans="1:12" x14ac:dyDescent="0.25">
      <c r="A1482">
        <v>17</v>
      </c>
      <c r="B1482" t="s">
        <v>35</v>
      </c>
      <c r="C1482" t="s">
        <v>32</v>
      </c>
      <c r="D1482" s="1" t="s">
        <v>1819</v>
      </c>
      <c r="E1482">
        <v>12.42</v>
      </c>
      <c r="F1482">
        <v>13.88</v>
      </c>
      <c r="G1482">
        <v>4.2</v>
      </c>
      <c r="H1482">
        <v>4.84</v>
      </c>
      <c r="I1482">
        <v>9.0399999999999991</v>
      </c>
      <c r="J1482" t="s">
        <v>357</v>
      </c>
      <c r="K1482" t="str">
        <f t="shared" si="51"/>
        <v>jordan17</v>
      </c>
      <c r="L1482">
        <f t="shared" si="52"/>
        <v>23.425599999999999</v>
      </c>
    </row>
    <row r="1483" spans="1:12" x14ac:dyDescent="0.25">
      <c r="A1483">
        <v>17</v>
      </c>
      <c r="B1483" t="s">
        <v>222</v>
      </c>
      <c r="C1483" t="s">
        <v>32</v>
      </c>
      <c r="D1483" s="1" t="s">
        <v>1820</v>
      </c>
      <c r="E1483">
        <v>11.4</v>
      </c>
      <c r="F1483">
        <v>16.440000000000001</v>
      </c>
      <c r="G1483">
        <v>1.48</v>
      </c>
      <c r="H1483">
        <v>7.48</v>
      </c>
      <c r="I1483">
        <v>8.9600000000000009</v>
      </c>
      <c r="J1483" t="s">
        <v>357</v>
      </c>
      <c r="K1483" t="str">
        <f t="shared" si="51"/>
        <v>jordan17</v>
      </c>
      <c r="L1483">
        <f t="shared" si="52"/>
        <v>55.950400000000009</v>
      </c>
    </row>
    <row r="1484" spans="1:12" x14ac:dyDescent="0.25">
      <c r="A1484">
        <v>17</v>
      </c>
      <c r="B1484" t="s">
        <v>34</v>
      </c>
      <c r="C1484" t="s">
        <v>32</v>
      </c>
      <c r="D1484" s="1" t="s">
        <v>1821</v>
      </c>
      <c r="E1484">
        <v>16.78</v>
      </c>
      <c r="F1484">
        <v>22.86</v>
      </c>
      <c r="G1484">
        <v>4.5199999999999996</v>
      </c>
      <c r="H1484">
        <v>9.17</v>
      </c>
      <c r="I1484">
        <v>13.69</v>
      </c>
      <c r="J1484" t="s">
        <v>358</v>
      </c>
      <c r="K1484" t="str">
        <f t="shared" si="51"/>
        <v>alex17</v>
      </c>
      <c r="L1484">
        <f t="shared" si="52"/>
        <v>84.088899999999995</v>
      </c>
    </row>
    <row r="1485" spans="1:12" x14ac:dyDescent="0.25">
      <c r="A1485">
        <v>17</v>
      </c>
      <c r="B1485" t="s">
        <v>184</v>
      </c>
      <c r="C1485" t="s">
        <v>32</v>
      </c>
      <c r="D1485" s="1" t="s">
        <v>1822</v>
      </c>
      <c r="E1485">
        <v>16.36</v>
      </c>
      <c r="F1485">
        <v>22.51</v>
      </c>
      <c r="G1485">
        <v>3.93</v>
      </c>
      <c r="H1485">
        <v>9.2899999999999991</v>
      </c>
      <c r="I1485">
        <v>13.22</v>
      </c>
      <c r="J1485" t="s">
        <v>358</v>
      </c>
      <c r="K1485" t="str">
        <f t="shared" si="51"/>
        <v>alex17</v>
      </c>
      <c r="L1485">
        <f t="shared" si="52"/>
        <v>86.304099999999991</v>
      </c>
    </row>
    <row r="1486" spans="1:12" x14ac:dyDescent="0.25">
      <c r="A1486">
        <v>17</v>
      </c>
      <c r="B1486" t="s">
        <v>36</v>
      </c>
      <c r="C1486" t="s">
        <v>32</v>
      </c>
      <c r="D1486" s="1" t="s">
        <v>292</v>
      </c>
      <c r="E1486">
        <v>12.89</v>
      </c>
      <c r="F1486">
        <v>16.09</v>
      </c>
      <c r="G1486">
        <v>4.33</v>
      </c>
      <c r="H1486">
        <v>5.88</v>
      </c>
      <c r="I1486">
        <v>10.210000000000001</v>
      </c>
      <c r="J1486" t="s">
        <v>358</v>
      </c>
      <c r="K1486" t="str">
        <f t="shared" si="51"/>
        <v>alex17</v>
      </c>
      <c r="L1486">
        <f t="shared" si="52"/>
        <v>34.574399999999997</v>
      </c>
    </row>
    <row r="1487" spans="1:12" x14ac:dyDescent="0.25">
      <c r="A1487">
        <v>17</v>
      </c>
      <c r="B1487" t="s">
        <v>161</v>
      </c>
      <c r="C1487" t="s">
        <v>32</v>
      </c>
      <c r="D1487" s="1" t="s">
        <v>1823</v>
      </c>
      <c r="E1487">
        <v>9.41</v>
      </c>
      <c r="F1487">
        <v>12.07</v>
      </c>
      <c r="G1487">
        <v>3.15</v>
      </c>
      <c r="H1487">
        <v>4.46</v>
      </c>
      <c r="I1487">
        <v>7.61</v>
      </c>
      <c r="J1487" t="s">
        <v>359</v>
      </c>
      <c r="K1487" t="str">
        <f t="shared" si="51"/>
        <v>colin17</v>
      </c>
      <c r="L1487">
        <f t="shared" si="52"/>
        <v>19.8916</v>
      </c>
    </row>
    <row r="1488" spans="1:12" x14ac:dyDescent="0.25">
      <c r="A1488">
        <v>17</v>
      </c>
      <c r="B1488" t="s">
        <v>234</v>
      </c>
      <c r="C1488" t="s">
        <v>32</v>
      </c>
      <c r="D1488" s="1" t="s">
        <v>1824</v>
      </c>
      <c r="E1488">
        <v>9.5</v>
      </c>
      <c r="F1488">
        <v>13.01</v>
      </c>
      <c r="G1488">
        <v>1.59</v>
      </c>
      <c r="H1488">
        <v>5.71</v>
      </c>
      <c r="I1488">
        <v>7.3</v>
      </c>
      <c r="J1488" t="s">
        <v>359</v>
      </c>
      <c r="K1488" t="str">
        <f t="shared" si="51"/>
        <v>colin17</v>
      </c>
      <c r="L1488">
        <f t="shared" si="52"/>
        <v>32.604100000000003</v>
      </c>
    </row>
    <row r="1489" spans="1:12" x14ac:dyDescent="0.25">
      <c r="A1489">
        <v>17</v>
      </c>
      <c r="B1489" t="s">
        <v>183</v>
      </c>
      <c r="C1489" t="s">
        <v>32</v>
      </c>
      <c r="D1489" s="1" t="s">
        <v>1825</v>
      </c>
      <c r="E1489">
        <v>9.18</v>
      </c>
      <c r="F1489">
        <v>12.76</v>
      </c>
      <c r="G1489">
        <v>1.24</v>
      </c>
      <c r="H1489">
        <v>5.76</v>
      </c>
      <c r="I1489">
        <v>7</v>
      </c>
      <c r="J1489" t="s">
        <v>359</v>
      </c>
      <c r="K1489" t="str">
        <f t="shared" si="51"/>
        <v>colin17</v>
      </c>
      <c r="L1489">
        <f t="shared" si="52"/>
        <v>33.177599999999998</v>
      </c>
    </row>
    <row r="1490" spans="1:12" x14ac:dyDescent="0.25">
      <c r="A1490">
        <v>17</v>
      </c>
      <c r="B1490" t="s">
        <v>49</v>
      </c>
      <c r="C1490" t="s">
        <v>32</v>
      </c>
      <c r="D1490" s="1" t="s">
        <v>1826</v>
      </c>
      <c r="E1490">
        <v>17.27</v>
      </c>
      <c r="F1490">
        <v>22.92</v>
      </c>
      <c r="G1490">
        <v>5.8</v>
      </c>
      <c r="H1490">
        <v>8.56</v>
      </c>
      <c r="I1490">
        <v>14.36</v>
      </c>
      <c r="J1490" t="s">
        <v>360</v>
      </c>
      <c r="K1490" t="str">
        <f t="shared" si="51"/>
        <v>paul17</v>
      </c>
      <c r="L1490">
        <f t="shared" si="52"/>
        <v>73.273600000000002</v>
      </c>
    </row>
    <row r="1491" spans="1:12" x14ac:dyDescent="0.25">
      <c r="A1491">
        <v>17</v>
      </c>
      <c r="B1491" t="s">
        <v>38</v>
      </c>
      <c r="C1491" t="s">
        <v>32</v>
      </c>
      <c r="D1491" s="1" t="s">
        <v>1827</v>
      </c>
      <c r="E1491">
        <v>14.27</v>
      </c>
      <c r="F1491">
        <v>20.149999999999999</v>
      </c>
      <c r="G1491">
        <v>3.27</v>
      </c>
      <c r="H1491">
        <v>8.44</v>
      </c>
      <c r="I1491">
        <v>11.71</v>
      </c>
      <c r="J1491" t="s">
        <v>360</v>
      </c>
      <c r="K1491" t="str">
        <f t="shared" si="51"/>
        <v>paul17</v>
      </c>
      <c r="L1491">
        <f t="shared" si="52"/>
        <v>71.233599999999996</v>
      </c>
    </row>
    <row r="1492" spans="1:12" x14ac:dyDescent="0.25">
      <c r="A1492">
        <v>17</v>
      </c>
      <c r="B1492" t="s">
        <v>246</v>
      </c>
      <c r="C1492" t="s">
        <v>53</v>
      </c>
      <c r="D1492" s="1" t="s">
        <v>1828</v>
      </c>
      <c r="E1492">
        <v>15.66</v>
      </c>
      <c r="F1492">
        <v>21.8</v>
      </c>
      <c r="G1492">
        <v>7.14</v>
      </c>
      <c r="H1492">
        <v>7.33</v>
      </c>
      <c r="I1492">
        <v>14.47</v>
      </c>
      <c r="J1492" t="s">
        <v>351</v>
      </c>
      <c r="K1492" t="str">
        <f t="shared" si="51"/>
        <v>andrew17</v>
      </c>
      <c r="L1492">
        <f t="shared" si="52"/>
        <v>53.728900000000003</v>
      </c>
    </row>
    <row r="1493" spans="1:12" x14ac:dyDescent="0.25">
      <c r="A1493">
        <v>17</v>
      </c>
      <c r="B1493" t="s">
        <v>204</v>
      </c>
      <c r="C1493" t="s">
        <v>53</v>
      </c>
      <c r="D1493" s="1" t="s">
        <v>1829</v>
      </c>
      <c r="E1493">
        <v>21.25</v>
      </c>
      <c r="F1493">
        <v>28.2</v>
      </c>
      <c r="G1493">
        <v>12.88</v>
      </c>
      <c r="H1493">
        <v>7.66</v>
      </c>
      <c r="I1493">
        <v>20.54</v>
      </c>
      <c r="J1493" t="s">
        <v>352</v>
      </c>
      <c r="K1493" t="str">
        <f t="shared" si="51"/>
        <v>jake17</v>
      </c>
      <c r="L1493">
        <f t="shared" si="52"/>
        <v>58.675600000000003</v>
      </c>
    </row>
    <row r="1494" spans="1:12" x14ac:dyDescent="0.25">
      <c r="A1494">
        <v>17</v>
      </c>
      <c r="B1494" t="s">
        <v>290</v>
      </c>
      <c r="C1494" t="s">
        <v>53</v>
      </c>
      <c r="D1494" s="1" t="s">
        <v>1830</v>
      </c>
      <c r="E1494">
        <v>22.12</v>
      </c>
      <c r="F1494">
        <v>28.91</v>
      </c>
      <c r="G1494">
        <v>13.71</v>
      </c>
      <c r="H1494">
        <v>7.6</v>
      </c>
      <c r="I1494">
        <v>21.31</v>
      </c>
      <c r="J1494" t="s">
        <v>353</v>
      </c>
      <c r="K1494" t="str">
        <f t="shared" si="51"/>
        <v>breanna17</v>
      </c>
      <c r="L1494">
        <f t="shared" si="52"/>
        <v>57.76</v>
      </c>
    </row>
    <row r="1495" spans="1:12" x14ac:dyDescent="0.25">
      <c r="A1495">
        <v>17</v>
      </c>
      <c r="B1495" t="s">
        <v>364</v>
      </c>
      <c r="C1495" t="s">
        <v>53</v>
      </c>
      <c r="D1495" s="1" t="s">
        <v>1831</v>
      </c>
      <c r="E1495">
        <v>19.79</v>
      </c>
      <c r="F1495">
        <v>25.95</v>
      </c>
      <c r="G1495">
        <v>11.57</v>
      </c>
      <c r="H1495">
        <v>7.19</v>
      </c>
      <c r="I1495">
        <v>18.760000000000002</v>
      </c>
      <c r="J1495" t="s">
        <v>354</v>
      </c>
      <c r="K1495" t="str">
        <f t="shared" si="51"/>
        <v>joseph17</v>
      </c>
      <c r="L1495">
        <f t="shared" si="52"/>
        <v>51.696100000000008</v>
      </c>
    </row>
    <row r="1496" spans="1:12" x14ac:dyDescent="0.25">
      <c r="A1496">
        <v>17</v>
      </c>
      <c r="B1496" t="s">
        <v>386</v>
      </c>
      <c r="C1496" t="s">
        <v>53</v>
      </c>
      <c r="D1496" s="1" t="s">
        <v>1832</v>
      </c>
      <c r="E1496">
        <v>22.12</v>
      </c>
      <c r="F1496">
        <v>27.53</v>
      </c>
      <c r="G1496">
        <v>15.35</v>
      </c>
      <c r="H1496">
        <v>6.09</v>
      </c>
      <c r="I1496">
        <v>21.44</v>
      </c>
      <c r="J1496" t="s">
        <v>355</v>
      </c>
      <c r="K1496" t="str">
        <f t="shared" si="51"/>
        <v>alyssa17</v>
      </c>
      <c r="L1496">
        <f t="shared" si="52"/>
        <v>37.088099999999997</v>
      </c>
    </row>
    <row r="1497" spans="1:12" x14ac:dyDescent="0.25">
      <c r="A1497">
        <v>17</v>
      </c>
      <c r="B1497" t="s">
        <v>55</v>
      </c>
      <c r="C1497" t="s">
        <v>53</v>
      </c>
      <c r="D1497" s="1" t="s">
        <v>1833</v>
      </c>
      <c r="E1497">
        <v>19.760000000000002</v>
      </c>
      <c r="F1497">
        <v>26.97</v>
      </c>
      <c r="G1497">
        <v>10.79</v>
      </c>
      <c r="H1497">
        <v>8.09</v>
      </c>
      <c r="I1497">
        <v>18.88</v>
      </c>
      <c r="J1497" t="s">
        <v>356</v>
      </c>
      <c r="K1497" t="str">
        <f t="shared" si="51"/>
        <v>chris17</v>
      </c>
      <c r="L1497">
        <f t="shared" si="52"/>
        <v>65.448099999999997</v>
      </c>
    </row>
    <row r="1498" spans="1:12" x14ac:dyDescent="0.25">
      <c r="A1498">
        <v>17</v>
      </c>
      <c r="B1498" t="s">
        <v>390</v>
      </c>
      <c r="C1498" t="s">
        <v>53</v>
      </c>
      <c r="D1498" s="1" t="s">
        <v>1834</v>
      </c>
      <c r="E1498">
        <v>22.04</v>
      </c>
      <c r="F1498">
        <v>28.3</v>
      </c>
      <c r="G1498">
        <v>14.78</v>
      </c>
      <c r="H1498">
        <v>6.76</v>
      </c>
      <c r="I1498">
        <v>21.54</v>
      </c>
      <c r="J1498" t="s">
        <v>357</v>
      </c>
      <c r="K1498" t="str">
        <f t="shared" si="51"/>
        <v>jordan17</v>
      </c>
      <c r="L1498">
        <f t="shared" si="52"/>
        <v>45.697599999999994</v>
      </c>
    </row>
    <row r="1499" spans="1:12" x14ac:dyDescent="0.25">
      <c r="A1499">
        <v>17</v>
      </c>
      <c r="B1499" t="s">
        <v>280</v>
      </c>
      <c r="C1499" t="s">
        <v>53</v>
      </c>
      <c r="D1499" s="1" t="s">
        <v>1835</v>
      </c>
      <c r="E1499">
        <v>22.86</v>
      </c>
      <c r="F1499">
        <v>28.65</v>
      </c>
      <c r="G1499">
        <v>16.03</v>
      </c>
      <c r="H1499">
        <v>6.31</v>
      </c>
      <c r="I1499">
        <v>22.34</v>
      </c>
      <c r="J1499" t="s">
        <v>358</v>
      </c>
      <c r="K1499" t="str">
        <f t="shared" si="51"/>
        <v>alex17</v>
      </c>
      <c r="L1499">
        <f t="shared" si="52"/>
        <v>39.816099999999992</v>
      </c>
    </row>
    <row r="1500" spans="1:12" x14ac:dyDescent="0.25">
      <c r="A1500">
        <v>17</v>
      </c>
      <c r="B1500" t="s">
        <v>52</v>
      </c>
      <c r="C1500" t="s">
        <v>53</v>
      </c>
      <c r="D1500" s="1" t="s">
        <v>1836</v>
      </c>
      <c r="E1500">
        <v>21.67</v>
      </c>
      <c r="F1500">
        <v>27.75</v>
      </c>
      <c r="G1500">
        <v>13.77</v>
      </c>
      <c r="H1500">
        <v>6.99</v>
      </c>
      <c r="I1500">
        <v>20.76</v>
      </c>
      <c r="J1500" t="s">
        <v>359</v>
      </c>
      <c r="K1500" t="str">
        <f t="shared" si="51"/>
        <v>colin17</v>
      </c>
      <c r="L1500">
        <f t="shared" si="52"/>
        <v>48.860100000000003</v>
      </c>
    </row>
    <row r="1501" spans="1:12" x14ac:dyDescent="0.25">
      <c r="A1501">
        <v>17</v>
      </c>
      <c r="B1501" t="s">
        <v>194</v>
      </c>
      <c r="C1501" t="s">
        <v>53</v>
      </c>
      <c r="D1501" s="1" t="s">
        <v>1837</v>
      </c>
      <c r="E1501">
        <v>23.92</v>
      </c>
      <c r="F1501">
        <v>32.450000000000003</v>
      </c>
      <c r="G1501">
        <v>14.69</v>
      </c>
      <c r="H1501">
        <v>8.8800000000000008</v>
      </c>
      <c r="I1501">
        <v>23.57</v>
      </c>
      <c r="J1501" t="s">
        <v>360</v>
      </c>
      <c r="K1501" t="str">
        <f t="shared" si="51"/>
        <v>paul17</v>
      </c>
      <c r="L1501">
        <f t="shared" si="52"/>
        <v>78.854400000000012</v>
      </c>
    </row>
    <row r="1502" spans="1:12" x14ac:dyDescent="0.25">
      <c r="A1502">
        <v>17</v>
      </c>
      <c r="B1502" t="s">
        <v>497</v>
      </c>
      <c r="C1502" t="s">
        <v>57</v>
      </c>
      <c r="D1502" s="1" t="s">
        <v>1838</v>
      </c>
      <c r="E1502">
        <v>8.65</v>
      </c>
      <c r="F1502">
        <v>12.53</v>
      </c>
      <c r="G1502">
        <v>0.99</v>
      </c>
      <c r="H1502">
        <v>5.77</v>
      </c>
      <c r="I1502">
        <v>6.76</v>
      </c>
      <c r="J1502" t="s">
        <v>351</v>
      </c>
      <c r="K1502" t="str">
        <f t="shared" si="51"/>
        <v>andrew17</v>
      </c>
      <c r="L1502">
        <f t="shared" si="52"/>
        <v>33.292899999999996</v>
      </c>
    </row>
    <row r="1503" spans="1:12" x14ac:dyDescent="0.25">
      <c r="A1503">
        <v>17</v>
      </c>
      <c r="B1503" t="s">
        <v>60</v>
      </c>
      <c r="C1503" t="s">
        <v>57</v>
      </c>
      <c r="D1503" s="1" t="s">
        <v>1839</v>
      </c>
      <c r="E1503">
        <v>10.199999999999999</v>
      </c>
      <c r="F1503">
        <v>12.95</v>
      </c>
      <c r="G1503">
        <v>2.4300000000000002</v>
      </c>
      <c r="H1503">
        <v>5.26</v>
      </c>
      <c r="I1503">
        <v>7.69</v>
      </c>
      <c r="J1503" t="s">
        <v>352</v>
      </c>
      <c r="K1503" t="str">
        <f t="shared" si="51"/>
        <v>jake17</v>
      </c>
      <c r="L1503">
        <f t="shared" si="52"/>
        <v>27.667599999999997</v>
      </c>
    </row>
    <row r="1504" spans="1:12" x14ac:dyDescent="0.25">
      <c r="A1504">
        <v>17</v>
      </c>
      <c r="B1504" t="s">
        <v>368</v>
      </c>
      <c r="C1504" t="s">
        <v>57</v>
      </c>
      <c r="D1504" s="1" t="s">
        <v>1840</v>
      </c>
      <c r="E1504">
        <v>6.5</v>
      </c>
      <c r="F1504">
        <v>9.18</v>
      </c>
      <c r="G1504">
        <v>0.6</v>
      </c>
      <c r="H1504">
        <v>4.29</v>
      </c>
      <c r="I1504">
        <v>4.8899999999999997</v>
      </c>
      <c r="J1504" t="s">
        <v>353</v>
      </c>
      <c r="K1504" t="str">
        <f t="shared" si="51"/>
        <v>breanna17</v>
      </c>
      <c r="L1504">
        <f t="shared" si="52"/>
        <v>18.4041</v>
      </c>
    </row>
    <row r="1505" spans="1:12" x14ac:dyDescent="0.25">
      <c r="A1505">
        <v>17</v>
      </c>
      <c r="B1505" t="s">
        <v>61</v>
      </c>
      <c r="C1505" t="s">
        <v>57</v>
      </c>
      <c r="D1505" s="1" t="s">
        <v>1841</v>
      </c>
      <c r="E1505">
        <v>12.85</v>
      </c>
      <c r="F1505">
        <v>16.02</v>
      </c>
      <c r="G1505">
        <v>4.28</v>
      </c>
      <c r="H1505">
        <v>5.87</v>
      </c>
      <c r="I1505">
        <v>10.15</v>
      </c>
      <c r="J1505" t="s">
        <v>354</v>
      </c>
      <c r="K1505" t="str">
        <f t="shared" si="51"/>
        <v>joseph17</v>
      </c>
      <c r="L1505">
        <f t="shared" si="52"/>
        <v>34.456900000000005</v>
      </c>
    </row>
    <row r="1506" spans="1:12" x14ac:dyDescent="0.25">
      <c r="A1506">
        <v>17</v>
      </c>
      <c r="B1506" t="s">
        <v>521</v>
      </c>
      <c r="C1506" t="s">
        <v>57</v>
      </c>
      <c r="D1506" s="1" t="s">
        <v>1842</v>
      </c>
      <c r="E1506">
        <v>3.12</v>
      </c>
      <c r="F1506">
        <v>4.84</v>
      </c>
      <c r="G1506">
        <v>0.02</v>
      </c>
      <c r="H1506">
        <v>2.41</v>
      </c>
      <c r="I1506">
        <v>2.4300000000000002</v>
      </c>
      <c r="J1506" t="s">
        <v>355</v>
      </c>
      <c r="K1506" t="str">
        <f t="shared" si="51"/>
        <v>alyssa17</v>
      </c>
      <c r="L1506">
        <f t="shared" si="52"/>
        <v>5.8081000000000005</v>
      </c>
    </row>
    <row r="1507" spans="1:12" x14ac:dyDescent="0.25">
      <c r="A1507">
        <v>17</v>
      </c>
      <c r="B1507" t="s">
        <v>58</v>
      </c>
      <c r="C1507" t="s">
        <v>57</v>
      </c>
      <c r="D1507" s="1" t="s">
        <v>1843</v>
      </c>
      <c r="E1507">
        <v>9.02</v>
      </c>
      <c r="F1507">
        <v>12.1</v>
      </c>
      <c r="G1507">
        <v>1.84</v>
      </c>
      <c r="H1507">
        <v>5.13</v>
      </c>
      <c r="I1507">
        <v>6.97</v>
      </c>
      <c r="J1507" t="s">
        <v>356</v>
      </c>
      <c r="K1507" t="str">
        <f t="shared" si="51"/>
        <v>chris17</v>
      </c>
      <c r="L1507">
        <f t="shared" si="52"/>
        <v>26.3169</v>
      </c>
    </row>
    <row r="1508" spans="1:12" x14ac:dyDescent="0.25">
      <c r="A1508">
        <v>17</v>
      </c>
      <c r="B1508" t="s">
        <v>62</v>
      </c>
      <c r="C1508" t="s">
        <v>57</v>
      </c>
      <c r="D1508" s="1" t="s">
        <v>1844</v>
      </c>
      <c r="E1508">
        <v>11.27</v>
      </c>
      <c r="F1508">
        <v>13.72</v>
      </c>
      <c r="G1508">
        <v>3.84</v>
      </c>
      <c r="H1508">
        <v>4.9400000000000004</v>
      </c>
      <c r="I1508">
        <v>8.7799999999999994</v>
      </c>
      <c r="J1508" t="s">
        <v>357</v>
      </c>
      <c r="K1508" t="str">
        <f t="shared" si="51"/>
        <v>jordan17</v>
      </c>
      <c r="L1508">
        <f t="shared" si="52"/>
        <v>24.403600000000004</v>
      </c>
    </row>
    <row r="1509" spans="1:12" x14ac:dyDescent="0.25">
      <c r="A1509">
        <v>17</v>
      </c>
      <c r="B1509" t="s">
        <v>150</v>
      </c>
      <c r="C1509" t="s">
        <v>57</v>
      </c>
      <c r="D1509" s="1" t="s">
        <v>1845</v>
      </c>
      <c r="E1509">
        <v>8.8800000000000008</v>
      </c>
      <c r="F1509">
        <v>11.09</v>
      </c>
      <c r="G1509">
        <v>1.93</v>
      </c>
      <c r="H1509">
        <v>4.58</v>
      </c>
      <c r="I1509">
        <v>6.51</v>
      </c>
      <c r="J1509" t="s">
        <v>358</v>
      </c>
      <c r="K1509" t="str">
        <f t="shared" si="51"/>
        <v>alex17</v>
      </c>
      <c r="L1509">
        <f t="shared" si="52"/>
        <v>20.976400000000002</v>
      </c>
    </row>
    <row r="1510" spans="1:12" x14ac:dyDescent="0.25">
      <c r="A1510">
        <v>17</v>
      </c>
      <c r="B1510" t="s">
        <v>73</v>
      </c>
      <c r="C1510" t="s">
        <v>57</v>
      </c>
      <c r="D1510" s="1" t="s">
        <v>1846</v>
      </c>
      <c r="E1510">
        <v>11.16</v>
      </c>
      <c r="F1510">
        <v>12.81</v>
      </c>
      <c r="G1510">
        <v>4.2300000000000004</v>
      </c>
      <c r="H1510">
        <v>4.29</v>
      </c>
      <c r="I1510">
        <v>8.52</v>
      </c>
      <c r="J1510" t="s">
        <v>359</v>
      </c>
      <c r="K1510" t="str">
        <f t="shared" si="51"/>
        <v>colin17</v>
      </c>
      <c r="L1510">
        <f t="shared" si="52"/>
        <v>18.4041</v>
      </c>
    </row>
    <row r="1511" spans="1:12" x14ac:dyDescent="0.25">
      <c r="A1511">
        <v>17</v>
      </c>
      <c r="B1511" t="s">
        <v>59</v>
      </c>
      <c r="C1511" t="s">
        <v>57</v>
      </c>
      <c r="D1511" s="1" t="s">
        <v>1847</v>
      </c>
      <c r="E1511">
        <v>8.5299999999999994</v>
      </c>
      <c r="F1511">
        <v>11.29</v>
      </c>
      <c r="G1511">
        <v>0.85</v>
      </c>
      <c r="H1511">
        <v>5.22</v>
      </c>
      <c r="I1511">
        <v>6.07</v>
      </c>
      <c r="J1511" t="s">
        <v>360</v>
      </c>
      <c r="K1511" t="str">
        <f t="shared" si="51"/>
        <v>paul17</v>
      </c>
      <c r="L1511">
        <f t="shared" si="52"/>
        <v>27.248399999999997</v>
      </c>
    </row>
    <row r="1512" spans="1:12" x14ac:dyDescent="0.25">
      <c r="A1512">
        <v>17</v>
      </c>
      <c r="B1512" t="s">
        <v>196</v>
      </c>
      <c r="C1512" t="s">
        <v>63</v>
      </c>
      <c r="D1512" s="1" t="s">
        <v>1323</v>
      </c>
      <c r="E1512">
        <v>10.695600000000001</v>
      </c>
      <c r="F1512">
        <v>17.47</v>
      </c>
      <c r="G1512">
        <v>3.93</v>
      </c>
      <c r="H1512">
        <v>6.77</v>
      </c>
      <c r="I1512">
        <v>10.695600000000001</v>
      </c>
      <c r="J1512" t="s">
        <v>351</v>
      </c>
      <c r="K1512" t="str">
        <f t="shared" si="51"/>
        <v>andrew17</v>
      </c>
      <c r="L1512">
        <f t="shared" si="52"/>
        <v>45.832899999999995</v>
      </c>
    </row>
    <row r="1513" spans="1:12" x14ac:dyDescent="0.25">
      <c r="A1513">
        <v>17</v>
      </c>
      <c r="B1513" t="s">
        <v>318</v>
      </c>
      <c r="C1513" t="s">
        <v>63</v>
      </c>
      <c r="D1513" s="1" t="s">
        <v>789</v>
      </c>
      <c r="E1513">
        <v>8.7211999999999996</v>
      </c>
      <c r="F1513">
        <v>14.83</v>
      </c>
      <c r="G1513">
        <v>2.67</v>
      </c>
      <c r="H1513">
        <v>6.08</v>
      </c>
      <c r="I1513">
        <v>8.7211999999999996</v>
      </c>
      <c r="J1513" t="s">
        <v>352</v>
      </c>
      <c r="K1513" t="str">
        <f t="shared" si="51"/>
        <v>jake17</v>
      </c>
      <c r="L1513">
        <f t="shared" si="52"/>
        <v>36.9664</v>
      </c>
    </row>
    <row r="1514" spans="1:12" x14ac:dyDescent="0.25">
      <c r="A1514">
        <v>17</v>
      </c>
      <c r="B1514" t="s">
        <v>195</v>
      </c>
      <c r="C1514" t="s">
        <v>63</v>
      </c>
      <c r="D1514" s="1" t="s">
        <v>1414</v>
      </c>
      <c r="E1514">
        <v>8.5801999999999996</v>
      </c>
      <c r="F1514">
        <v>15.91</v>
      </c>
      <c r="G1514">
        <v>1.23</v>
      </c>
      <c r="H1514">
        <v>7.34</v>
      </c>
      <c r="I1514">
        <v>8.5801999999999996</v>
      </c>
      <c r="J1514" t="s">
        <v>353</v>
      </c>
      <c r="K1514" t="str">
        <f t="shared" si="51"/>
        <v>breanna17</v>
      </c>
      <c r="L1514">
        <f t="shared" si="52"/>
        <v>53.875599999999999</v>
      </c>
    </row>
    <row r="1515" spans="1:12" x14ac:dyDescent="0.25">
      <c r="A1515">
        <v>17</v>
      </c>
      <c r="B1515" t="s">
        <v>372</v>
      </c>
      <c r="C1515" t="s">
        <v>63</v>
      </c>
      <c r="D1515" s="1" t="s">
        <v>1675</v>
      </c>
      <c r="E1515">
        <v>3.1219999999999999</v>
      </c>
      <c r="F1515">
        <v>7.09</v>
      </c>
      <c r="G1515">
        <v>-0.85</v>
      </c>
      <c r="H1515">
        <v>3.97</v>
      </c>
      <c r="I1515">
        <v>3.1219999999999999</v>
      </c>
      <c r="J1515" t="s">
        <v>354</v>
      </c>
      <c r="K1515" t="str">
        <f t="shared" si="51"/>
        <v>joseph17</v>
      </c>
      <c r="L1515">
        <f t="shared" si="52"/>
        <v>15.760900000000001</v>
      </c>
    </row>
    <row r="1516" spans="1:12" x14ac:dyDescent="0.25">
      <c r="A1516">
        <v>17</v>
      </c>
      <c r="B1516" t="s">
        <v>389</v>
      </c>
      <c r="C1516" t="s">
        <v>63</v>
      </c>
      <c r="D1516" s="1" t="s">
        <v>792</v>
      </c>
      <c r="E1516">
        <v>7.3017000000000003</v>
      </c>
      <c r="F1516">
        <v>12.46</v>
      </c>
      <c r="G1516">
        <v>2.16</v>
      </c>
      <c r="H1516">
        <v>5.15</v>
      </c>
      <c r="I1516">
        <v>7.3017000000000003</v>
      </c>
      <c r="J1516" t="s">
        <v>355</v>
      </c>
      <c r="K1516" t="str">
        <f t="shared" si="51"/>
        <v>alyssa17</v>
      </c>
      <c r="L1516">
        <f t="shared" si="52"/>
        <v>26.522500000000004</v>
      </c>
    </row>
    <row r="1517" spans="1:12" x14ac:dyDescent="0.25">
      <c r="A1517">
        <v>17</v>
      </c>
      <c r="B1517" t="s">
        <v>154</v>
      </c>
      <c r="C1517" t="s">
        <v>63</v>
      </c>
      <c r="D1517" s="1" t="s">
        <v>972</v>
      </c>
      <c r="E1517">
        <v>11.0397</v>
      </c>
      <c r="F1517">
        <v>17.100000000000001</v>
      </c>
      <c r="G1517">
        <v>4.9800000000000004</v>
      </c>
      <c r="H1517">
        <v>6.06</v>
      </c>
      <c r="I1517">
        <v>11.0397</v>
      </c>
      <c r="J1517" t="s">
        <v>356</v>
      </c>
      <c r="K1517" t="str">
        <f t="shared" si="51"/>
        <v>chris17</v>
      </c>
      <c r="L1517">
        <f t="shared" si="52"/>
        <v>36.723599999999998</v>
      </c>
    </row>
    <row r="1518" spans="1:12" x14ac:dyDescent="0.25">
      <c r="A1518">
        <v>17</v>
      </c>
      <c r="B1518" t="s">
        <v>166</v>
      </c>
      <c r="C1518" t="s">
        <v>63</v>
      </c>
      <c r="D1518" s="1" t="s">
        <v>973</v>
      </c>
      <c r="E1518">
        <v>8.9687000000000001</v>
      </c>
      <c r="F1518">
        <v>15.02</v>
      </c>
      <c r="G1518">
        <v>2.9</v>
      </c>
      <c r="H1518">
        <v>6.06</v>
      </c>
      <c r="I1518">
        <v>8.9687000000000001</v>
      </c>
      <c r="J1518" t="s">
        <v>357</v>
      </c>
      <c r="K1518" t="str">
        <f t="shared" si="51"/>
        <v>jordan17</v>
      </c>
      <c r="L1518">
        <f t="shared" si="52"/>
        <v>36.723599999999998</v>
      </c>
    </row>
    <row r="1519" spans="1:12" x14ac:dyDescent="0.25">
      <c r="A1519">
        <v>17</v>
      </c>
      <c r="B1519" t="s">
        <v>178</v>
      </c>
      <c r="C1519" t="s">
        <v>63</v>
      </c>
      <c r="D1519" s="1" t="s">
        <v>1848</v>
      </c>
      <c r="E1519">
        <v>7.4966999999999997</v>
      </c>
      <c r="F1519">
        <v>14.1</v>
      </c>
      <c r="G1519">
        <v>0.9</v>
      </c>
      <c r="H1519">
        <v>6.6</v>
      </c>
      <c r="I1519">
        <v>7.4966999999999997</v>
      </c>
      <c r="J1519" t="s">
        <v>358</v>
      </c>
      <c r="K1519" t="str">
        <f t="shared" si="51"/>
        <v>alex17</v>
      </c>
      <c r="L1519">
        <f t="shared" si="52"/>
        <v>43.559999999999995</v>
      </c>
    </row>
    <row r="1520" spans="1:12" x14ac:dyDescent="0.25">
      <c r="A1520">
        <v>17</v>
      </c>
      <c r="B1520" t="s">
        <v>257</v>
      </c>
      <c r="C1520" t="s">
        <v>63</v>
      </c>
      <c r="D1520" s="1" t="s">
        <v>1331</v>
      </c>
      <c r="E1520">
        <v>5.0506000000000002</v>
      </c>
      <c r="F1520">
        <v>9.93</v>
      </c>
      <c r="G1520">
        <v>0.19</v>
      </c>
      <c r="H1520">
        <v>4.87</v>
      </c>
      <c r="I1520">
        <v>5.0506000000000002</v>
      </c>
      <c r="J1520" t="s">
        <v>359</v>
      </c>
      <c r="K1520" t="str">
        <f t="shared" si="51"/>
        <v>colin17</v>
      </c>
      <c r="L1520">
        <f t="shared" si="52"/>
        <v>23.716900000000003</v>
      </c>
    </row>
    <row r="1521" spans="1:12" x14ac:dyDescent="0.25">
      <c r="A1521">
        <v>17</v>
      </c>
      <c r="B1521" t="s">
        <v>255</v>
      </c>
      <c r="C1521" t="s">
        <v>63</v>
      </c>
      <c r="D1521" s="1" t="s">
        <v>797</v>
      </c>
      <c r="E1521">
        <v>13.082599999999999</v>
      </c>
      <c r="F1521">
        <v>19.89</v>
      </c>
      <c r="G1521">
        <v>6.25</v>
      </c>
      <c r="H1521">
        <v>6.82</v>
      </c>
      <c r="I1521">
        <v>13.082599999999999</v>
      </c>
      <c r="J1521" t="s">
        <v>360</v>
      </c>
      <c r="K1521" t="str">
        <f t="shared" si="51"/>
        <v>paul17</v>
      </c>
      <c r="L1521">
        <f t="shared" si="52"/>
        <v>46.512400000000007</v>
      </c>
    </row>
    <row r="1522" spans="1:12" x14ac:dyDescent="0.25">
      <c r="A1522">
        <v>17</v>
      </c>
      <c r="B1522" t="s">
        <v>159</v>
      </c>
      <c r="C1522" t="s">
        <v>64</v>
      </c>
      <c r="D1522" s="1" t="s">
        <v>1849</v>
      </c>
      <c r="E1522">
        <v>7.83</v>
      </c>
      <c r="F1522">
        <v>11.4</v>
      </c>
      <c r="G1522">
        <v>4.1399999999999997</v>
      </c>
      <c r="H1522">
        <v>3.63</v>
      </c>
      <c r="I1522">
        <v>7.77</v>
      </c>
      <c r="J1522" t="s">
        <v>351</v>
      </c>
      <c r="K1522" t="str">
        <f t="shared" si="51"/>
        <v>andrew17</v>
      </c>
      <c r="L1522">
        <f t="shared" si="52"/>
        <v>13.1769</v>
      </c>
    </row>
    <row r="1523" spans="1:12" x14ac:dyDescent="0.25">
      <c r="A1523">
        <v>17</v>
      </c>
      <c r="B1523" t="s">
        <v>155</v>
      </c>
      <c r="C1523" t="s">
        <v>64</v>
      </c>
      <c r="D1523" s="1" t="s">
        <v>1850</v>
      </c>
      <c r="E1523">
        <v>8.94</v>
      </c>
      <c r="F1523">
        <v>13.67</v>
      </c>
      <c r="G1523">
        <v>4.2300000000000004</v>
      </c>
      <c r="H1523">
        <v>4.72</v>
      </c>
      <c r="I1523">
        <v>8.9499999999999993</v>
      </c>
      <c r="J1523" t="s">
        <v>352</v>
      </c>
      <c r="K1523" t="str">
        <f t="shared" si="51"/>
        <v>jake17</v>
      </c>
      <c r="L1523">
        <f t="shared" si="52"/>
        <v>22.278399999999998</v>
      </c>
    </row>
    <row r="1524" spans="1:12" x14ac:dyDescent="0.25">
      <c r="A1524">
        <v>17</v>
      </c>
      <c r="B1524" t="s">
        <v>149</v>
      </c>
      <c r="C1524" t="s">
        <v>64</v>
      </c>
      <c r="D1524" s="1" t="s">
        <v>1851</v>
      </c>
      <c r="E1524">
        <v>8.77</v>
      </c>
      <c r="F1524">
        <v>12.56</v>
      </c>
      <c r="G1524">
        <v>5.0599999999999996</v>
      </c>
      <c r="H1524">
        <v>3.75</v>
      </c>
      <c r="I1524">
        <v>8.81</v>
      </c>
      <c r="J1524" t="s">
        <v>353</v>
      </c>
      <c r="K1524" t="str">
        <f t="shared" si="51"/>
        <v>breanna17</v>
      </c>
      <c r="L1524">
        <f t="shared" si="52"/>
        <v>14.0625</v>
      </c>
    </row>
    <row r="1525" spans="1:12" x14ac:dyDescent="0.25">
      <c r="A1525">
        <v>17</v>
      </c>
      <c r="B1525" t="s">
        <v>376</v>
      </c>
      <c r="C1525" t="s">
        <v>64</v>
      </c>
      <c r="D1525" s="1" t="s">
        <v>1852</v>
      </c>
      <c r="E1525">
        <v>7.14</v>
      </c>
      <c r="F1525">
        <v>10.71</v>
      </c>
      <c r="G1525">
        <v>3.57</v>
      </c>
      <c r="H1525">
        <v>3.57</v>
      </c>
      <c r="I1525">
        <v>7.14</v>
      </c>
      <c r="J1525" t="s">
        <v>354</v>
      </c>
      <c r="K1525" t="str">
        <f t="shared" si="51"/>
        <v>joseph17</v>
      </c>
      <c r="L1525">
        <f t="shared" si="52"/>
        <v>12.744899999999999</v>
      </c>
    </row>
    <row r="1526" spans="1:12" x14ac:dyDescent="0.25">
      <c r="A1526">
        <v>17</v>
      </c>
      <c r="B1526" t="s">
        <v>65</v>
      </c>
      <c r="C1526" t="s">
        <v>64</v>
      </c>
      <c r="D1526" s="1" t="s">
        <v>1853</v>
      </c>
      <c r="E1526">
        <v>8.73</v>
      </c>
      <c r="F1526">
        <v>12.4</v>
      </c>
      <c r="G1526">
        <v>5.0599999999999996</v>
      </c>
      <c r="H1526">
        <v>3.67</v>
      </c>
      <c r="I1526">
        <v>8.73</v>
      </c>
      <c r="J1526" t="s">
        <v>355</v>
      </c>
      <c r="K1526" t="str">
        <f t="shared" si="51"/>
        <v>alyssa17</v>
      </c>
      <c r="L1526">
        <f t="shared" si="52"/>
        <v>13.4689</v>
      </c>
    </row>
    <row r="1527" spans="1:12" x14ac:dyDescent="0.25">
      <c r="A1527">
        <v>17</v>
      </c>
      <c r="B1527" t="s">
        <v>67</v>
      </c>
      <c r="C1527" t="s">
        <v>64</v>
      </c>
      <c r="D1527" s="1" t="s">
        <v>1854</v>
      </c>
      <c r="E1527">
        <v>10.1</v>
      </c>
      <c r="F1527">
        <v>14.55</v>
      </c>
      <c r="G1527">
        <v>5.59</v>
      </c>
      <c r="H1527">
        <v>4.4800000000000004</v>
      </c>
      <c r="I1527">
        <v>10.07</v>
      </c>
      <c r="J1527" t="s">
        <v>356</v>
      </c>
      <c r="K1527" t="str">
        <f t="shared" si="51"/>
        <v>chris17</v>
      </c>
      <c r="L1527">
        <f t="shared" si="52"/>
        <v>20.070400000000003</v>
      </c>
    </row>
    <row r="1528" spans="1:12" x14ac:dyDescent="0.25">
      <c r="A1528">
        <v>17</v>
      </c>
      <c r="B1528" t="s">
        <v>66</v>
      </c>
      <c r="C1528" t="s">
        <v>64</v>
      </c>
      <c r="D1528" s="1" t="s">
        <v>1775</v>
      </c>
      <c r="E1528">
        <v>9.11</v>
      </c>
      <c r="F1528">
        <v>13.73</v>
      </c>
      <c r="G1528">
        <v>4.43</v>
      </c>
      <c r="H1528">
        <v>4.6500000000000004</v>
      </c>
      <c r="I1528">
        <v>9.08</v>
      </c>
      <c r="J1528" t="s">
        <v>357</v>
      </c>
      <c r="K1528" t="str">
        <f t="shared" si="51"/>
        <v>jordan17</v>
      </c>
      <c r="L1528">
        <f t="shared" si="52"/>
        <v>21.622500000000002</v>
      </c>
    </row>
    <row r="1529" spans="1:12" x14ac:dyDescent="0.25">
      <c r="A1529">
        <v>17</v>
      </c>
      <c r="B1529" t="s">
        <v>378</v>
      </c>
      <c r="C1529" t="s">
        <v>64</v>
      </c>
      <c r="D1529" s="1" t="s">
        <v>1855</v>
      </c>
      <c r="E1529">
        <v>8.1300000000000008</v>
      </c>
      <c r="F1529">
        <v>11.82</v>
      </c>
      <c r="G1529">
        <v>4.3600000000000003</v>
      </c>
      <c r="H1529">
        <v>3.73</v>
      </c>
      <c r="I1529">
        <v>8.09</v>
      </c>
      <c r="J1529" t="s">
        <v>358</v>
      </c>
      <c r="K1529" t="str">
        <f t="shared" si="51"/>
        <v>alex17</v>
      </c>
      <c r="L1529">
        <f t="shared" si="52"/>
        <v>13.9129</v>
      </c>
    </row>
    <row r="1530" spans="1:12" x14ac:dyDescent="0.25">
      <c r="A1530">
        <v>17</v>
      </c>
      <c r="B1530" t="s">
        <v>261</v>
      </c>
      <c r="C1530" t="s">
        <v>64</v>
      </c>
      <c r="D1530" s="1" t="s">
        <v>1856</v>
      </c>
      <c r="E1530">
        <v>7.43</v>
      </c>
      <c r="F1530">
        <v>12.09</v>
      </c>
      <c r="G1530">
        <v>2.81</v>
      </c>
      <c r="H1530">
        <v>4.6399999999999997</v>
      </c>
      <c r="I1530">
        <v>7.45</v>
      </c>
      <c r="J1530" t="s">
        <v>359</v>
      </c>
      <c r="K1530" t="str">
        <f t="shared" si="51"/>
        <v>colin17</v>
      </c>
      <c r="L1530">
        <f t="shared" si="52"/>
        <v>21.529599999999999</v>
      </c>
    </row>
    <row r="1531" spans="1:12" x14ac:dyDescent="0.25">
      <c r="A1531">
        <v>17</v>
      </c>
      <c r="B1531" t="s">
        <v>167</v>
      </c>
      <c r="C1531" t="s">
        <v>64</v>
      </c>
      <c r="D1531" s="1" t="s">
        <v>1857</v>
      </c>
      <c r="E1531">
        <v>9.25</v>
      </c>
      <c r="F1531">
        <v>13.1</v>
      </c>
      <c r="G1531">
        <v>5.48</v>
      </c>
      <c r="H1531">
        <v>3.81</v>
      </c>
      <c r="I1531">
        <v>9.2899999999999991</v>
      </c>
      <c r="J1531" t="s">
        <v>360</v>
      </c>
      <c r="K1531" t="e">
        <f>#REF!&amp;#REF!</f>
        <v>#REF!</v>
      </c>
      <c r="L1531" t="e">
        <f>#REF!^2</f>
        <v>#REF!</v>
      </c>
    </row>
    <row r="1532" spans="1:12" x14ac:dyDescent="0.25">
      <c r="K1532" t="e">
        <f>#REF!&amp;#REF!</f>
        <v>#REF!</v>
      </c>
      <c r="L1532" t="e">
        <f>#REF!^2</f>
        <v>#REF!</v>
      </c>
    </row>
    <row r="1533" spans="1:12" x14ac:dyDescent="0.25">
      <c r="K1533" t="e">
        <f>#REF!&amp;#REF!</f>
        <v>#REF!</v>
      </c>
      <c r="L1533" t="e">
        <f>#REF!^2</f>
        <v>#REF!</v>
      </c>
    </row>
    <row r="1534" spans="1:12" x14ac:dyDescent="0.25">
      <c r="K1534" t="e">
        <f>#REF!&amp;#REF!</f>
        <v>#REF!</v>
      </c>
      <c r="L1534" t="e">
        <f>#REF!^2</f>
        <v>#REF!</v>
      </c>
    </row>
    <row r="1535" spans="1:12" x14ac:dyDescent="0.25">
      <c r="K1535" t="e">
        <f>#REF!&amp;#REF!</f>
        <v>#REF!</v>
      </c>
      <c r="L1535" t="e">
        <f>#REF!^2</f>
        <v>#REF!</v>
      </c>
    </row>
    <row r="1536" spans="1:12" x14ac:dyDescent="0.25">
      <c r="K1536" t="e">
        <f>#REF!&amp;#REF!</f>
        <v>#REF!</v>
      </c>
      <c r="L1536" t="e">
        <f>#REF!^2</f>
        <v>#REF!</v>
      </c>
    </row>
    <row r="1537" spans="11:12" x14ac:dyDescent="0.25">
      <c r="K1537" t="e">
        <f>#REF!&amp;#REF!</f>
        <v>#REF!</v>
      </c>
      <c r="L1537" t="e">
        <f>#REF!^2</f>
        <v>#REF!</v>
      </c>
    </row>
    <row r="1538" spans="11:12" x14ac:dyDescent="0.25">
      <c r="K1538" t="e">
        <f>#REF!&amp;#REF!</f>
        <v>#REF!</v>
      </c>
      <c r="L1538" t="e">
        <f>#REF!^2</f>
        <v>#REF!</v>
      </c>
    </row>
    <row r="1539" spans="11:12" x14ac:dyDescent="0.25">
      <c r="K1539" t="e">
        <f>#REF!&amp;#REF!</f>
        <v>#REF!</v>
      </c>
      <c r="L1539" t="e">
        <f>#REF!^2</f>
        <v>#REF!</v>
      </c>
    </row>
    <row r="1540" spans="11:12" x14ac:dyDescent="0.25">
      <c r="K1540" t="e">
        <f>#REF!&amp;#REF!</f>
        <v>#REF!</v>
      </c>
      <c r="L1540" t="e">
        <f>#REF!^2</f>
        <v>#REF!</v>
      </c>
    </row>
    <row r="1541" spans="11:12" x14ac:dyDescent="0.25">
      <c r="K1541" t="e">
        <f>#REF!&amp;#REF!</f>
        <v>#REF!</v>
      </c>
      <c r="L1541" t="e">
        <f>#REF!^2</f>
        <v>#REF!</v>
      </c>
    </row>
    <row r="1542" spans="11:12" x14ac:dyDescent="0.25">
      <c r="K1542" t="e">
        <f>#REF!&amp;#REF!</f>
        <v>#REF!</v>
      </c>
      <c r="L1542" t="e">
        <f>#REF!^2</f>
        <v>#REF!</v>
      </c>
    </row>
    <row r="1543" spans="11:12" x14ac:dyDescent="0.25">
      <c r="K1543" t="e">
        <f>#REF!&amp;#REF!</f>
        <v>#REF!</v>
      </c>
      <c r="L1543" t="e">
        <f>#REF!^2</f>
        <v>#REF!</v>
      </c>
    </row>
    <row r="1544" spans="11:12" x14ac:dyDescent="0.25">
      <c r="K1544" t="e">
        <f>#REF!&amp;#REF!</f>
        <v>#REF!</v>
      </c>
      <c r="L1544" t="e">
        <f>#REF!^2</f>
        <v>#REF!</v>
      </c>
    </row>
    <row r="1545" spans="11:12" x14ac:dyDescent="0.25">
      <c r="K1545" t="e">
        <f>#REF!&amp;#REF!</f>
        <v>#REF!</v>
      </c>
      <c r="L1545" t="e">
        <f>#REF!^2</f>
        <v>#REF!</v>
      </c>
    </row>
    <row r="1546" spans="11:12" x14ac:dyDescent="0.25">
      <c r="K1546" t="e">
        <f>#REF!&amp;#REF!</f>
        <v>#REF!</v>
      </c>
      <c r="L1546" t="e">
        <f>#REF!^2</f>
        <v>#REF!</v>
      </c>
    </row>
    <row r="1547" spans="11:12" x14ac:dyDescent="0.25">
      <c r="K1547" t="e">
        <f>#REF!&amp;#REF!</f>
        <v>#REF!</v>
      </c>
      <c r="L1547" t="e">
        <f>#REF!^2</f>
        <v>#REF!</v>
      </c>
    </row>
    <row r="1548" spans="11:12" x14ac:dyDescent="0.25">
      <c r="K1548" t="e">
        <f>#REF!&amp;#REF!</f>
        <v>#REF!</v>
      </c>
      <c r="L1548" t="e">
        <f>#REF!^2</f>
        <v>#REF!</v>
      </c>
    </row>
    <row r="1549" spans="11:12" x14ac:dyDescent="0.25">
      <c r="K1549" t="e">
        <f>#REF!&amp;#REF!</f>
        <v>#REF!</v>
      </c>
      <c r="L1549" t="e">
        <f>#REF!^2</f>
        <v>#REF!</v>
      </c>
    </row>
    <row r="1550" spans="11:12" x14ac:dyDescent="0.25">
      <c r="K1550" t="e">
        <f>#REF!&amp;#REF!</f>
        <v>#REF!</v>
      </c>
      <c r="L1550" t="e">
        <f>#REF!^2</f>
        <v>#REF!</v>
      </c>
    </row>
    <row r="1551" spans="11:12" x14ac:dyDescent="0.25">
      <c r="K1551" t="e">
        <f>#REF!&amp;#REF!</f>
        <v>#REF!</v>
      </c>
      <c r="L1551" t="e">
        <f>#REF!^2</f>
        <v>#REF!</v>
      </c>
    </row>
    <row r="1552" spans="11:12" x14ac:dyDescent="0.25">
      <c r="K1552" t="e">
        <f>#REF!&amp;#REF!</f>
        <v>#REF!</v>
      </c>
      <c r="L1552" t="e">
        <f>#REF!^2</f>
        <v>#REF!</v>
      </c>
    </row>
    <row r="1553" spans="11:12" x14ac:dyDescent="0.25">
      <c r="K1553" t="e">
        <f>#REF!&amp;#REF!</f>
        <v>#REF!</v>
      </c>
      <c r="L1553" t="e">
        <f>#REF!^2</f>
        <v>#REF!</v>
      </c>
    </row>
    <row r="1554" spans="11:12" x14ac:dyDescent="0.25">
      <c r="K1554" t="e">
        <f>#REF!&amp;#REF!</f>
        <v>#REF!</v>
      </c>
      <c r="L1554" t="e">
        <f>#REF!^2</f>
        <v>#REF!</v>
      </c>
    </row>
    <row r="1555" spans="11:12" x14ac:dyDescent="0.25">
      <c r="K1555" t="e">
        <f>#REF!&amp;#REF!</f>
        <v>#REF!</v>
      </c>
      <c r="L1555" t="e">
        <f>#REF!^2</f>
        <v>#REF!</v>
      </c>
    </row>
    <row r="1556" spans="11:12" x14ac:dyDescent="0.25">
      <c r="K1556" t="e">
        <f>#REF!&amp;#REF!</f>
        <v>#REF!</v>
      </c>
      <c r="L1556" t="e">
        <f>#REF!^2</f>
        <v>#REF!</v>
      </c>
    </row>
    <row r="1557" spans="11:12" x14ac:dyDescent="0.25">
      <c r="K1557" t="e">
        <f>#REF!&amp;#REF!</f>
        <v>#REF!</v>
      </c>
      <c r="L1557" t="e">
        <f>#REF!^2</f>
        <v>#REF!</v>
      </c>
    </row>
    <row r="1558" spans="11:12" x14ac:dyDescent="0.25">
      <c r="K1558" t="e">
        <f>#REF!&amp;#REF!</f>
        <v>#REF!</v>
      </c>
      <c r="L1558" t="e">
        <f>#REF!^2</f>
        <v>#REF!</v>
      </c>
    </row>
    <row r="1559" spans="11:12" x14ac:dyDescent="0.25">
      <c r="K1559" t="e">
        <f>#REF!&amp;#REF!</f>
        <v>#REF!</v>
      </c>
      <c r="L1559" t="e">
        <f>#REF!^2</f>
        <v>#REF!</v>
      </c>
    </row>
    <row r="1560" spans="11:12" x14ac:dyDescent="0.25">
      <c r="K1560" t="e">
        <f>#REF!&amp;#REF!</f>
        <v>#REF!</v>
      </c>
      <c r="L1560" t="e">
        <f>#REF!^2</f>
        <v>#REF!</v>
      </c>
    </row>
    <row r="1561" spans="11:12" x14ac:dyDescent="0.25">
      <c r="K1561" t="e">
        <f>#REF!&amp;#REF!</f>
        <v>#REF!</v>
      </c>
      <c r="L1561" t="e">
        <f>#REF!^2</f>
        <v>#REF!</v>
      </c>
    </row>
    <row r="1562" spans="11:12" x14ac:dyDescent="0.25">
      <c r="K1562" t="e">
        <f>#REF!&amp;#REF!</f>
        <v>#REF!</v>
      </c>
      <c r="L1562" t="e">
        <f>#REF!^2</f>
        <v>#REF!</v>
      </c>
    </row>
    <row r="1563" spans="11:12" x14ac:dyDescent="0.25">
      <c r="K1563" t="e">
        <f>#REF!&amp;#REF!</f>
        <v>#REF!</v>
      </c>
      <c r="L1563" t="e">
        <f>#REF!^2</f>
        <v>#REF!</v>
      </c>
    </row>
    <row r="1564" spans="11:12" x14ac:dyDescent="0.25">
      <c r="K1564" t="e">
        <f>#REF!&amp;#REF!</f>
        <v>#REF!</v>
      </c>
      <c r="L1564" t="e">
        <f>#REF!^2</f>
        <v>#REF!</v>
      </c>
    </row>
    <row r="1565" spans="11:12" x14ac:dyDescent="0.25">
      <c r="K1565" t="e">
        <f>#REF!&amp;#REF!</f>
        <v>#REF!</v>
      </c>
      <c r="L1565" t="e">
        <f>#REF!^2</f>
        <v>#REF!</v>
      </c>
    </row>
    <row r="1566" spans="11:12" x14ac:dyDescent="0.25">
      <c r="K1566" t="e">
        <f>#REF!&amp;#REF!</f>
        <v>#REF!</v>
      </c>
      <c r="L1566" t="e">
        <f>#REF!^2</f>
        <v>#REF!</v>
      </c>
    </row>
    <row r="1567" spans="11:12" x14ac:dyDescent="0.25">
      <c r="K1567" t="e">
        <f>#REF!&amp;#REF!</f>
        <v>#REF!</v>
      </c>
      <c r="L1567" t="e">
        <f>#REF!^2</f>
        <v>#REF!</v>
      </c>
    </row>
    <row r="1568" spans="11:12" x14ac:dyDescent="0.25">
      <c r="K1568" t="e">
        <f>#REF!&amp;#REF!</f>
        <v>#REF!</v>
      </c>
      <c r="L1568" t="e">
        <f>#REF!^2</f>
        <v>#REF!</v>
      </c>
    </row>
    <row r="1569" spans="11:12" x14ac:dyDescent="0.25">
      <c r="K1569" t="e">
        <f>#REF!&amp;#REF!</f>
        <v>#REF!</v>
      </c>
      <c r="L1569" t="e">
        <f>#REF!^2</f>
        <v>#REF!</v>
      </c>
    </row>
    <row r="1570" spans="11:12" x14ac:dyDescent="0.25">
      <c r="K1570" t="e">
        <f>#REF!&amp;#REF!</f>
        <v>#REF!</v>
      </c>
      <c r="L1570" t="e">
        <f>#REF!^2</f>
        <v>#REF!</v>
      </c>
    </row>
    <row r="1571" spans="11:12" x14ac:dyDescent="0.25">
      <c r="K1571" t="e">
        <f>#REF!&amp;#REF!</f>
        <v>#REF!</v>
      </c>
      <c r="L1571" t="e">
        <f>#REF!^2</f>
        <v>#REF!</v>
      </c>
    </row>
    <row r="1572" spans="11:12" x14ac:dyDescent="0.25">
      <c r="K1572" t="e">
        <f>#REF!&amp;#REF!</f>
        <v>#REF!</v>
      </c>
      <c r="L1572" t="e">
        <f>#REF!^2</f>
        <v>#REF!</v>
      </c>
    </row>
    <row r="1573" spans="11:12" x14ac:dyDescent="0.25">
      <c r="K1573" t="e">
        <f>#REF!&amp;#REF!</f>
        <v>#REF!</v>
      </c>
      <c r="L1573" t="e">
        <f>#REF!^2</f>
        <v>#REF!</v>
      </c>
    </row>
    <row r="1574" spans="11:12" x14ac:dyDescent="0.25">
      <c r="K1574" t="e">
        <f>#REF!&amp;#REF!</f>
        <v>#REF!</v>
      </c>
      <c r="L1574" t="e">
        <f>#REF!^2</f>
        <v>#REF!</v>
      </c>
    </row>
    <row r="1575" spans="11:12" x14ac:dyDescent="0.25">
      <c r="K1575" t="e">
        <f>#REF!&amp;#REF!</f>
        <v>#REF!</v>
      </c>
      <c r="L1575" t="e">
        <f>#REF!^2</f>
        <v>#REF!</v>
      </c>
    </row>
    <row r="1576" spans="11:12" x14ac:dyDescent="0.25">
      <c r="K1576" t="e">
        <f>#REF!&amp;#REF!</f>
        <v>#REF!</v>
      </c>
      <c r="L1576" t="e">
        <f>#REF!^2</f>
        <v>#REF!</v>
      </c>
    </row>
    <row r="1577" spans="11:12" x14ac:dyDescent="0.25">
      <c r="K1577" t="e">
        <f>#REF!&amp;#REF!</f>
        <v>#REF!</v>
      </c>
      <c r="L1577" t="e">
        <f>#REF!^2</f>
        <v>#REF!</v>
      </c>
    </row>
    <row r="1578" spans="11:12" x14ac:dyDescent="0.25">
      <c r="K1578" t="e">
        <f>#REF!&amp;#REF!</f>
        <v>#REF!</v>
      </c>
      <c r="L1578" t="e">
        <f>#REF!^2</f>
        <v>#REF!</v>
      </c>
    </row>
    <row r="1579" spans="11:12" x14ac:dyDescent="0.25">
      <c r="K1579" t="e">
        <f>#REF!&amp;#REF!</f>
        <v>#REF!</v>
      </c>
      <c r="L1579" t="e">
        <f>#REF!^2</f>
        <v>#REF!</v>
      </c>
    </row>
    <row r="1580" spans="11:12" x14ac:dyDescent="0.25">
      <c r="K1580" t="e">
        <f>#REF!&amp;#REF!</f>
        <v>#REF!</v>
      </c>
      <c r="L1580" t="e">
        <f>#REF!^2</f>
        <v>#REF!</v>
      </c>
    </row>
    <row r="1581" spans="11:12" x14ac:dyDescent="0.25">
      <c r="K1581" t="e">
        <f>#REF!&amp;#REF!</f>
        <v>#REF!</v>
      </c>
      <c r="L1581" t="e">
        <f>#REF!^2</f>
        <v>#REF!</v>
      </c>
    </row>
    <row r="1582" spans="11:12" x14ac:dyDescent="0.25">
      <c r="K1582" t="e">
        <f>#REF!&amp;#REF!</f>
        <v>#REF!</v>
      </c>
      <c r="L1582" t="e">
        <f>#REF!^2</f>
        <v>#REF!</v>
      </c>
    </row>
    <row r="1583" spans="11:12" x14ac:dyDescent="0.25">
      <c r="K1583" t="e">
        <f>#REF!&amp;#REF!</f>
        <v>#REF!</v>
      </c>
      <c r="L1583" t="e">
        <f>#REF!^2</f>
        <v>#REF!</v>
      </c>
    </row>
    <row r="1584" spans="11:12" x14ac:dyDescent="0.25">
      <c r="K1584" t="e">
        <f>#REF!&amp;#REF!</f>
        <v>#REF!</v>
      </c>
      <c r="L1584" t="e">
        <f>#REF!^2</f>
        <v>#REF!</v>
      </c>
    </row>
    <row r="1585" spans="11:12" x14ac:dyDescent="0.25">
      <c r="K1585" t="e">
        <f>#REF!&amp;#REF!</f>
        <v>#REF!</v>
      </c>
      <c r="L1585" t="e">
        <f>#REF!^2</f>
        <v>#REF!</v>
      </c>
    </row>
    <row r="1586" spans="11:12" x14ac:dyDescent="0.25">
      <c r="K1586" t="e">
        <f>#REF!&amp;#REF!</f>
        <v>#REF!</v>
      </c>
      <c r="L1586" t="e">
        <f>#REF!^2</f>
        <v>#REF!</v>
      </c>
    </row>
    <row r="1587" spans="11:12" x14ac:dyDescent="0.25">
      <c r="K1587" t="e">
        <f>#REF!&amp;#REF!</f>
        <v>#REF!</v>
      </c>
      <c r="L1587" t="e">
        <f>#REF!^2</f>
        <v>#REF!</v>
      </c>
    </row>
    <row r="1588" spans="11:12" x14ac:dyDescent="0.25">
      <c r="K1588" t="e">
        <f>#REF!&amp;#REF!</f>
        <v>#REF!</v>
      </c>
      <c r="L1588" t="e">
        <f>#REF!^2</f>
        <v>#REF!</v>
      </c>
    </row>
    <row r="1589" spans="11:12" x14ac:dyDescent="0.25">
      <c r="K1589" t="e">
        <f>#REF!&amp;#REF!</f>
        <v>#REF!</v>
      </c>
      <c r="L1589" t="e">
        <f>#REF!^2</f>
        <v>#REF!</v>
      </c>
    </row>
    <row r="1590" spans="11:12" x14ac:dyDescent="0.25">
      <c r="K1590" t="e">
        <f>#REF!&amp;#REF!</f>
        <v>#REF!</v>
      </c>
      <c r="L1590" t="e">
        <f>#REF!^2</f>
        <v>#REF!</v>
      </c>
    </row>
    <row r="1591" spans="11:12" x14ac:dyDescent="0.25">
      <c r="K1591" t="e">
        <f>#REF!&amp;#REF!</f>
        <v>#REF!</v>
      </c>
      <c r="L1591" t="e">
        <f>#REF!^2</f>
        <v>#REF!</v>
      </c>
    </row>
    <row r="1592" spans="11:12" x14ac:dyDescent="0.25">
      <c r="K1592" t="e">
        <f>#REF!&amp;#REF!</f>
        <v>#REF!</v>
      </c>
      <c r="L1592" t="e">
        <f>#REF!^2</f>
        <v>#REF!</v>
      </c>
    </row>
    <row r="1593" spans="11:12" x14ac:dyDescent="0.25">
      <c r="K1593" t="e">
        <f>#REF!&amp;#REF!</f>
        <v>#REF!</v>
      </c>
      <c r="L1593" t="e">
        <f>#REF!^2</f>
        <v>#REF!</v>
      </c>
    </row>
    <row r="1594" spans="11:12" x14ac:dyDescent="0.25">
      <c r="K1594" t="e">
        <f>#REF!&amp;#REF!</f>
        <v>#REF!</v>
      </c>
      <c r="L1594" t="e">
        <f>#REF!^2</f>
        <v>#REF!</v>
      </c>
    </row>
    <row r="1595" spans="11:12" x14ac:dyDescent="0.25">
      <c r="K1595" t="e">
        <f>#REF!&amp;#REF!</f>
        <v>#REF!</v>
      </c>
      <c r="L1595" t="e">
        <f>#REF!^2</f>
        <v>#REF!</v>
      </c>
    </row>
    <row r="1596" spans="11:12" x14ac:dyDescent="0.25">
      <c r="K1596" t="e">
        <f>#REF!&amp;#REF!</f>
        <v>#REF!</v>
      </c>
      <c r="L1596" t="e">
        <f>#REF!^2</f>
        <v>#REF!</v>
      </c>
    </row>
    <row r="1597" spans="11:12" x14ac:dyDescent="0.25">
      <c r="K1597" t="e">
        <f>#REF!&amp;#REF!</f>
        <v>#REF!</v>
      </c>
      <c r="L1597" t="e">
        <f>#REF!^2</f>
        <v>#REF!</v>
      </c>
    </row>
    <row r="1598" spans="11:12" x14ac:dyDescent="0.25">
      <c r="K1598" t="e">
        <f>#REF!&amp;#REF!</f>
        <v>#REF!</v>
      </c>
      <c r="L1598" t="e">
        <f>#REF!^2</f>
        <v>#REF!</v>
      </c>
    </row>
    <row r="1599" spans="11:12" x14ac:dyDescent="0.25">
      <c r="K1599" t="e">
        <f>#REF!&amp;#REF!</f>
        <v>#REF!</v>
      </c>
      <c r="L1599" t="e">
        <f>#REF!^2</f>
        <v>#REF!</v>
      </c>
    </row>
    <row r="1600" spans="11:12" x14ac:dyDescent="0.25">
      <c r="K1600" t="e">
        <f>#REF!&amp;#REF!</f>
        <v>#REF!</v>
      </c>
      <c r="L1600" t="e">
        <f>#REF!^2</f>
        <v>#REF!</v>
      </c>
    </row>
    <row r="1601" spans="11:12" x14ac:dyDescent="0.25">
      <c r="K1601" t="e">
        <f>#REF!&amp;#REF!</f>
        <v>#REF!</v>
      </c>
      <c r="L1601" t="e">
        <f>#REF!^2</f>
        <v>#REF!</v>
      </c>
    </row>
    <row r="1602" spans="11:12" x14ac:dyDescent="0.25">
      <c r="K1602" t="e">
        <f>#REF!&amp;#REF!</f>
        <v>#REF!</v>
      </c>
      <c r="L1602" t="e">
        <f>#REF!^2</f>
        <v>#REF!</v>
      </c>
    </row>
    <row r="1603" spans="11:12" x14ac:dyDescent="0.25">
      <c r="K1603" t="e">
        <f>#REF!&amp;#REF!</f>
        <v>#REF!</v>
      </c>
      <c r="L1603" t="e">
        <f>#REF!^2</f>
        <v>#REF!</v>
      </c>
    </row>
    <row r="1604" spans="11:12" x14ac:dyDescent="0.25">
      <c r="K1604" t="e">
        <f>#REF!&amp;#REF!</f>
        <v>#REF!</v>
      </c>
      <c r="L1604" t="e">
        <f>#REF!^2</f>
        <v>#REF!</v>
      </c>
    </row>
    <row r="1605" spans="11:12" x14ac:dyDescent="0.25">
      <c r="K1605" t="e">
        <f>#REF!&amp;#REF!</f>
        <v>#REF!</v>
      </c>
      <c r="L1605" t="e">
        <f>#REF!^2</f>
        <v>#REF!</v>
      </c>
    </row>
    <row r="1606" spans="11:12" x14ac:dyDescent="0.25">
      <c r="K1606" t="e">
        <f>#REF!&amp;#REF!</f>
        <v>#REF!</v>
      </c>
      <c r="L1606" t="e">
        <f>#REF!^2</f>
        <v>#REF!</v>
      </c>
    </row>
    <row r="1607" spans="11:12" x14ac:dyDescent="0.25">
      <c r="K1607" t="e">
        <f>#REF!&amp;#REF!</f>
        <v>#REF!</v>
      </c>
      <c r="L1607" t="e">
        <f>#REF!^2</f>
        <v>#REF!</v>
      </c>
    </row>
    <row r="1608" spans="11:12" x14ac:dyDescent="0.25">
      <c r="K1608" t="e">
        <f>#REF!&amp;#REF!</f>
        <v>#REF!</v>
      </c>
      <c r="L1608" t="e">
        <f>#REF!^2</f>
        <v>#REF!</v>
      </c>
    </row>
    <row r="1609" spans="11:12" x14ac:dyDescent="0.25">
      <c r="K1609" t="e">
        <f>#REF!&amp;#REF!</f>
        <v>#REF!</v>
      </c>
      <c r="L1609" t="e">
        <f>#REF!^2</f>
        <v>#REF!</v>
      </c>
    </row>
    <row r="1610" spans="11:12" x14ac:dyDescent="0.25">
      <c r="K1610" t="e">
        <f>#REF!&amp;#REF!</f>
        <v>#REF!</v>
      </c>
      <c r="L1610" t="e">
        <f>#REF!^2</f>
        <v>#REF!</v>
      </c>
    </row>
    <row r="1611" spans="11:12" x14ac:dyDescent="0.25">
      <c r="K1611" t="e">
        <f>#REF!&amp;#REF!</f>
        <v>#REF!</v>
      </c>
      <c r="L1611" t="e">
        <f>#REF!^2</f>
        <v>#REF!</v>
      </c>
    </row>
    <row r="1612" spans="11:12" x14ac:dyDescent="0.25">
      <c r="K1612" t="e">
        <f>#REF!&amp;#REF!</f>
        <v>#REF!</v>
      </c>
      <c r="L1612" t="e">
        <f>#REF!^2</f>
        <v>#REF!</v>
      </c>
    </row>
    <row r="1613" spans="11:12" x14ac:dyDescent="0.25">
      <c r="K1613" t="e">
        <f>#REF!&amp;#REF!</f>
        <v>#REF!</v>
      </c>
      <c r="L1613" t="e">
        <f>#REF!^2</f>
        <v>#REF!</v>
      </c>
    </row>
    <row r="1614" spans="11:12" x14ac:dyDescent="0.25">
      <c r="K1614" t="e">
        <f>#REF!&amp;#REF!</f>
        <v>#REF!</v>
      </c>
      <c r="L1614" t="e">
        <f>#REF!^2</f>
        <v>#REF!</v>
      </c>
    </row>
    <row r="1615" spans="11:12" x14ac:dyDescent="0.25">
      <c r="K1615" t="e">
        <f>#REF!&amp;#REF!</f>
        <v>#REF!</v>
      </c>
      <c r="L1615" t="e">
        <f>#REF!^2</f>
        <v>#REF!</v>
      </c>
    </row>
    <row r="1616" spans="11:12" x14ac:dyDescent="0.25">
      <c r="K1616" t="e">
        <f>#REF!&amp;#REF!</f>
        <v>#REF!</v>
      </c>
      <c r="L1616" t="e">
        <f>#REF!^2</f>
        <v>#REF!</v>
      </c>
    </row>
    <row r="1617" spans="11:12" x14ac:dyDescent="0.25">
      <c r="K1617" t="e">
        <f>#REF!&amp;#REF!</f>
        <v>#REF!</v>
      </c>
      <c r="L1617" t="e">
        <f>#REF!^2</f>
        <v>#REF!</v>
      </c>
    </row>
    <row r="1618" spans="11:12" x14ac:dyDescent="0.25">
      <c r="K1618" t="e">
        <f>#REF!&amp;#REF!</f>
        <v>#REF!</v>
      </c>
      <c r="L1618" t="e">
        <f>#REF!^2</f>
        <v>#REF!</v>
      </c>
    </row>
    <row r="1619" spans="11:12" x14ac:dyDescent="0.25">
      <c r="K1619" t="e">
        <f>#REF!&amp;#REF!</f>
        <v>#REF!</v>
      </c>
      <c r="L1619" t="e">
        <f>#REF!^2</f>
        <v>#REF!</v>
      </c>
    </row>
    <row r="1620" spans="11:12" x14ac:dyDescent="0.25">
      <c r="K1620" t="e">
        <f>#REF!&amp;#REF!</f>
        <v>#REF!</v>
      </c>
      <c r="L1620" t="e">
        <f>#REF!^2</f>
        <v>#REF!</v>
      </c>
    </row>
    <row r="1621" spans="11:12" x14ac:dyDescent="0.25">
      <c r="K1621" t="e">
        <f>#REF!&amp;#REF!</f>
        <v>#REF!</v>
      </c>
      <c r="L1621" t="e">
        <f>#REF!^2</f>
        <v>#REF!</v>
      </c>
    </row>
    <row r="1622" spans="11:12" x14ac:dyDescent="0.25">
      <c r="K1622" t="e">
        <f>#REF!&amp;#REF!</f>
        <v>#REF!</v>
      </c>
      <c r="L1622" t="e">
        <f>#REF!^2</f>
        <v>#REF!</v>
      </c>
    </row>
    <row r="1623" spans="11:12" x14ac:dyDescent="0.25">
      <c r="K1623" t="e">
        <f>#REF!&amp;#REF!</f>
        <v>#REF!</v>
      </c>
      <c r="L1623" t="e">
        <f>#REF!^2</f>
        <v>#REF!</v>
      </c>
    </row>
    <row r="1624" spans="11:12" x14ac:dyDescent="0.25">
      <c r="K1624" t="e">
        <f>#REF!&amp;#REF!</f>
        <v>#REF!</v>
      </c>
      <c r="L1624" t="e">
        <f>#REF!^2</f>
        <v>#REF!</v>
      </c>
    </row>
    <row r="1625" spans="11:12" x14ac:dyDescent="0.25">
      <c r="K1625" t="e">
        <f>#REF!&amp;#REF!</f>
        <v>#REF!</v>
      </c>
      <c r="L1625" t="e">
        <f>#REF!^2</f>
        <v>#REF!</v>
      </c>
    </row>
    <row r="1626" spans="11:12" x14ac:dyDescent="0.25">
      <c r="K1626" t="e">
        <f>#REF!&amp;#REF!</f>
        <v>#REF!</v>
      </c>
      <c r="L1626" t="e">
        <f>#REF!^2</f>
        <v>#REF!</v>
      </c>
    </row>
    <row r="1627" spans="11:12" x14ac:dyDescent="0.25">
      <c r="K1627" t="e">
        <f>#REF!&amp;#REF!</f>
        <v>#REF!</v>
      </c>
      <c r="L1627" t="e">
        <f>#REF!^2</f>
        <v>#REF!</v>
      </c>
    </row>
    <row r="1628" spans="11:12" x14ac:dyDescent="0.25">
      <c r="K1628" t="e">
        <f>#REF!&amp;#REF!</f>
        <v>#REF!</v>
      </c>
      <c r="L1628" t="e">
        <f>#REF!^2</f>
        <v>#REF!</v>
      </c>
    </row>
    <row r="1629" spans="11:12" x14ac:dyDescent="0.25">
      <c r="K1629" t="e">
        <f>#REF!&amp;#REF!</f>
        <v>#REF!</v>
      </c>
      <c r="L1629" t="e">
        <f>#REF!^2</f>
        <v>#REF!</v>
      </c>
    </row>
    <row r="1630" spans="11:12" x14ac:dyDescent="0.25">
      <c r="K1630" t="e">
        <f>#REF!&amp;#REF!</f>
        <v>#REF!</v>
      </c>
      <c r="L1630" t="e">
        <f>#REF!^2</f>
        <v>#REF!</v>
      </c>
    </row>
    <row r="1631" spans="11:12" x14ac:dyDescent="0.25">
      <c r="K1631" t="e">
        <f>#REF!&amp;#REF!</f>
        <v>#REF!</v>
      </c>
      <c r="L1631" t="e">
        <f>#REF!^2</f>
        <v>#REF!</v>
      </c>
    </row>
    <row r="1632" spans="11:12" x14ac:dyDescent="0.25">
      <c r="K1632" t="e">
        <f>#REF!&amp;#REF!</f>
        <v>#REF!</v>
      </c>
      <c r="L1632" t="e">
        <f>#REF!^2</f>
        <v>#REF!</v>
      </c>
    </row>
    <row r="1633" spans="11:12" x14ac:dyDescent="0.25">
      <c r="K1633" t="e">
        <f>#REF!&amp;#REF!</f>
        <v>#REF!</v>
      </c>
      <c r="L1633" t="e">
        <f>#REF!^2</f>
        <v>#REF!</v>
      </c>
    </row>
    <row r="1634" spans="11:12" x14ac:dyDescent="0.25">
      <c r="K1634" t="e">
        <f>#REF!&amp;#REF!</f>
        <v>#REF!</v>
      </c>
      <c r="L1634" t="e">
        <f>#REF!^2</f>
        <v>#REF!</v>
      </c>
    </row>
    <row r="1635" spans="11:12" x14ac:dyDescent="0.25">
      <c r="K1635" t="e">
        <f>#REF!&amp;#REF!</f>
        <v>#REF!</v>
      </c>
      <c r="L1635" t="e">
        <f>#REF!^2</f>
        <v>#REF!</v>
      </c>
    </row>
    <row r="1636" spans="11:12" x14ac:dyDescent="0.25">
      <c r="K1636" t="e">
        <f>#REF!&amp;#REF!</f>
        <v>#REF!</v>
      </c>
      <c r="L1636" t="e">
        <f>#REF!^2</f>
        <v>#REF!</v>
      </c>
    </row>
    <row r="1637" spans="11:12" x14ac:dyDescent="0.25">
      <c r="K1637" t="e">
        <f>#REF!&amp;#REF!</f>
        <v>#REF!</v>
      </c>
      <c r="L1637" t="e">
        <f>#REF!^2</f>
        <v>#REF!</v>
      </c>
    </row>
    <row r="1638" spans="11:12" x14ac:dyDescent="0.25">
      <c r="K1638" t="e">
        <f>#REF!&amp;#REF!</f>
        <v>#REF!</v>
      </c>
      <c r="L1638" t="e">
        <f>#REF!^2</f>
        <v>#REF!</v>
      </c>
    </row>
    <row r="1639" spans="11:12" x14ac:dyDescent="0.25">
      <c r="K1639" t="e">
        <f>#REF!&amp;#REF!</f>
        <v>#REF!</v>
      </c>
      <c r="L1639" t="e">
        <f>#REF!^2</f>
        <v>#REF!</v>
      </c>
    </row>
    <row r="1640" spans="11:12" x14ac:dyDescent="0.25">
      <c r="K1640" t="e">
        <f>#REF!&amp;#REF!</f>
        <v>#REF!</v>
      </c>
      <c r="L1640" t="e">
        <f>#REF!^2</f>
        <v>#REF!</v>
      </c>
    </row>
    <row r="1641" spans="11:12" x14ac:dyDescent="0.25">
      <c r="K1641" t="e">
        <f>#REF!&amp;#REF!</f>
        <v>#REF!</v>
      </c>
      <c r="L1641" t="e">
        <f>#REF!^2</f>
        <v>#REF!</v>
      </c>
    </row>
    <row r="1642" spans="11:12" x14ac:dyDescent="0.25">
      <c r="K1642" t="e">
        <f>#REF!&amp;#REF!</f>
        <v>#REF!</v>
      </c>
      <c r="L1642" t="e">
        <f>#REF!^2</f>
        <v>#REF!</v>
      </c>
    </row>
    <row r="1643" spans="11:12" x14ac:dyDescent="0.25">
      <c r="K1643" t="e">
        <f>#REF!&amp;#REF!</f>
        <v>#REF!</v>
      </c>
      <c r="L1643" t="e">
        <f>#REF!^2</f>
        <v>#REF!</v>
      </c>
    </row>
    <row r="1644" spans="11:12" x14ac:dyDescent="0.25">
      <c r="K1644" t="e">
        <f>#REF!&amp;#REF!</f>
        <v>#REF!</v>
      </c>
      <c r="L1644" t="e">
        <f>#REF!^2</f>
        <v>#REF!</v>
      </c>
    </row>
    <row r="1645" spans="11:12" x14ac:dyDescent="0.25">
      <c r="K1645" t="e">
        <f>#REF!&amp;#REF!</f>
        <v>#REF!</v>
      </c>
      <c r="L1645" t="e">
        <f>#REF!^2</f>
        <v>#REF!</v>
      </c>
    </row>
    <row r="1646" spans="11:12" x14ac:dyDescent="0.25">
      <c r="K1646" t="e">
        <f>#REF!&amp;#REF!</f>
        <v>#REF!</v>
      </c>
      <c r="L1646" t="e">
        <f>#REF!^2</f>
        <v>#REF!</v>
      </c>
    </row>
    <row r="1647" spans="11:12" x14ac:dyDescent="0.25">
      <c r="K1647" t="e">
        <f>#REF!&amp;#REF!</f>
        <v>#REF!</v>
      </c>
      <c r="L1647" t="e">
        <f>#REF!^2</f>
        <v>#REF!</v>
      </c>
    </row>
    <row r="1648" spans="11:12" x14ac:dyDescent="0.25">
      <c r="K1648" t="e">
        <f>#REF!&amp;#REF!</f>
        <v>#REF!</v>
      </c>
      <c r="L1648" t="e">
        <f>#REF!^2</f>
        <v>#REF!</v>
      </c>
    </row>
    <row r="1649" spans="11:12" x14ac:dyDescent="0.25">
      <c r="K1649" t="e">
        <f>#REF!&amp;#REF!</f>
        <v>#REF!</v>
      </c>
      <c r="L1649" t="e">
        <f>#REF!^2</f>
        <v>#REF!</v>
      </c>
    </row>
    <row r="1650" spans="11:12" x14ac:dyDescent="0.25">
      <c r="K1650" t="e">
        <f>#REF!&amp;#REF!</f>
        <v>#REF!</v>
      </c>
      <c r="L1650" t="e">
        <f>#REF!^2</f>
        <v>#REF!</v>
      </c>
    </row>
    <row r="1651" spans="11:12" x14ac:dyDescent="0.25">
      <c r="K1651" t="e">
        <f>#REF!&amp;#REF!</f>
        <v>#REF!</v>
      </c>
      <c r="L1651" t="e">
        <f>#REF!^2</f>
        <v>#REF!</v>
      </c>
    </row>
    <row r="1652" spans="11:12" x14ac:dyDescent="0.25">
      <c r="K1652" t="e">
        <f>#REF!&amp;#REF!</f>
        <v>#REF!</v>
      </c>
      <c r="L1652" t="e">
        <f>#REF!^2</f>
        <v>#REF!</v>
      </c>
    </row>
    <row r="1653" spans="11:12" x14ac:dyDescent="0.25">
      <c r="K1653" t="e">
        <f>#REF!&amp;#REF!</f>
        <v>#REF!</v>
      </c>
      <c r="L1653" t="e">
        <f>#REF!^2</f>
        <v>#REF!</v>
      </c>
    </row>
    <row r="1654" spans="11:12" x14ac:dyDescent="0.25">
      <c r="K1654" t="e">
        <f>#REF!&amp;#REF!</f>
        <v>#REF!</v>
      </c>
      <c r="L1654" t="e">
        <f>#REF!^2</f>
        <v>#REF!</v>
      </c>
    </row>
    <row r="1655" spans="11:12" x14ac:dyDescent="0.25">
      <c r="K1655" t="e">
        <f>#REF!&amp;#REF!</f>
        <v>#REF!</v>
      </c>
      <c r="L1655" t="e">
        <f>#REF!^2</f>
        <v>#REF!</v>
      </c>
    </row>
    <row r="1656" spans="11:12" x14ac:dyDescent="0.25">
      <c r="K1656" t="e">
        <f>#REF!&amp;#REF!</f>
        <v>#REF!</v>
      </c>
      <c r="L1656" t="e">
        <f>#REF!^2</f>
        <v>#REF!</v>
      </c>
    </row>
    <row r="1657" spans="11:12" x14ac:dyDescent="0.25">
      <c r="K1657" t="e">
        <f>#REF!&amp;#REF!</f>
        <v>#REF!</v>
      </c>
      <c r="L1657" t="e">
        <f>#REF!^2</f>
        <v>#REF!</v>
      </c>
    </row>
    <row r="1658" spans="11:12" x14ac:dyDescent="0.25">
      <c r="K1658" t="e">
        <f>#REF!&amp;#REF!</f>
        <v>#REF!</v>
      </c>
      <c r="L1658" t="e">
        <f>#REF!^2</f>
        <v>#REF!</v>
      </c>
    </row>
    <row r="1659" spans="11:12" x14ac:dyDescent="0.25">
      <c r="K1659" t="e">
        <f>#REF!&amp;#REF!</f>
        <v>#REF!</v>
      </c>
      <c r="L1659" t="e">
        <f>#REF!^2</f>
        <v>#REF!</v>
      </c>
    </row>
    <row r="1660" spans="11:12" x14ac:dyDescent="0.25">
      <c r="K1660" t="e">
        <f>#REF!&amp;#REF!</f>
        <v>#REF!</v>
      </c>
      <c r="L1660" t="e">
        <f>#REF!^2</f>
        <v>#REF!</v>
      </c>
    </row>
    <row r="1661" spans="11:12" x14ac:dyDescent="0.25">
      <c r="K1661" t="e">
        <f>#REF!&amp;#REF!</f>
        <v>#REF!</v>
      </c>
      <c r="L1661" t="e">
        <f>#REF!^2</f>
        <v>#REF!</v>
      </c>
    </row>
    <row r="1662" spans="11:12" x14ac:dyDescent="0.25">
      <c r="K1662" t="e">
        <f>#REF!&amp;#REF!</f>
        <v>#REF!</v>
      </c>
      <c r="L1662" t="e">
        <f>#REF!^2</f>
        <v>#REF!</v>
      </c>
    </row>
    <row r="1663" spans="11:12" x14ac:dyDescent="0.25">
      <c r="K1663" t="e">
        <f>#REF!&amp;#REF!</f>
        <v>#REF!</v>
      </c>
      <c r="L1663" t="e">
        <f>#REF!^2</f>
        <v>#REF!</v>
      </c>
    </row>
    <row r="1664" spans="11:12" x14ac:dyDescent="0.25">
      <c r="K1664" t="e">
        <f>#REF!&amp;#REF!</f>
        <v>#REF!</v>
      </c>
      <c r="L1664" t="e">
        <f>#REF!^2</f>
        <v>#REF!</v>
      </c>
    </row>
    <row r="1665" spans="11:12" x14ac:dyDescent="0.25">
      <c r="K1665" t="e">
        <f>#REF!&amp;#REF!</f>
        <v>#REF!</v>
      </c>
      <c r="L1665" t="e">
        <f>#REF!^2</f>
        <v>#REF!</v>
      </c>
    </row>
    <row r="1666" spans="11:12" x14ac:dyDescent="0.25">
      <c r="K1666" t="e">
        <f>#REF!&amp;#REF!</f>
        <v>#REF!</v>
      </c>
      <c r="L1666" t="e">
        <f>#REF!^2</f>
        <v>#REF!</v>
      </c>
    </row>
    <row r="1667" spans="11:12" x14ac:dyDescent="0.25">
      <c r="K1667" t="e">
        <f>#REF!&amp;#REF!</f>
        <v>#REF!</v>
      </c>
      <c r="L1667" t="e">
        <f>#REF!^2</f>
        <v>#REF!</v>
      </c>
    </row>
    <row r="1668" spans="11:12" x14ac:dyDescent="0.25">
      <c r="K1668" t="e">
        <f>#REF!&amp;#REF!</f>
        <v>#REF!</v>
      </c>
      <c r="L1668" t="e">
        <f>#REF!^2</f>
        <v>#REF!</v>
      </c>
    </row>
    <row r="1669" spans="11:12" x14ac:dyDescent="0.25">
      <c r="K1669" t="e">
        <f>#REF!&amp;#REF!</f>
        <v>#REF!</v>
      </c>
      <c r="L1669" t="e">
        <f>#REF!^2</f>
        <v>#REF!</v>
      </c>
    </row>
    <row r="1670" spans="11:12" x14ac:dyDescent="0.25">
      <c r="K1670" t="e">
        <f>#REF!&amp;#REF!</f>
        <v>#REF!</v>
      </c>
      <c r="L1670" t="e">
        <f>#REF!^2</f>
        <v>#REF!</v>
      </c>
    </row>
    <row r="1671" spans="11:12" x14ac:dyDescent="0.25">
      <c r="K1671" t="e">
        <f>#REF!&amp;#REF!</f>
        <v>#REF!</v>
      </c>
      <c r="L1671" t="e">
        <f>#REF!^2</f>
        <v>#REF!</v>
      </c>
    </row>
    <row r="1672" spans="11:12" x14ac:dyDescent="0.25">
      <c r="K1672" t="e">
        <f>#REF!&amp;#REF!</f>
        <v>#REF!</v>
      </c>
      <c r="L1672" t="e">
        <f>#REF!^2</f>
        <v>#REF!</v>
      </c>
    </row>
    <row r="1673" spans="11:12" x14ac:dyDescent="0.25">
      <c r="K1673" t="e">
        <f>#REF!&amp;#REF!</f>
        <v>#REF!</v>
      </c>
      <c r="L1673" t="e">
        <f>#REF!^2</f>
        <v>#REF!</v>
      </c>
    </row>
    <row r="1674" spans="11:12" x14ac:dyDescent="0.25">
      <c r="K1674" t="e">
        <f>#REF!&amp;#REF!</f>
        <v>#REF!</v>
      </c>
      <c r="L1674" t="e">
        <f>#REF!^2</f>
        <v>#REF!</v>
      </c>
    </row>
    <row r="1675" spans="11:12" x14ac:dyDescent="0.25">
      <c r="K1675" t="e">
        <f>#REF!&amp;#REF!</f>
        <v>#REF!</v>
      </c>
      <c r="L1675" t="e">
        <f>#REF!^2</f>
        <v>#REF!</v>
      </c>
    </row>
    <row r="1676" spans="11:12" x14ac:dyDescent="0.25">
      <c r="K1676" t="e">
        <f>#REF!&amp;#REF!</f>
        <v>#REF!</v>
      </c>
      <c r="L1676" t="e">
        <f>#REF!^2</f>
        <v>#REF!</v>
      </c>
    </row>
    <row r="1677" spans="11:12" x14ac:dyDescent="0.25">
      <c r="K1677" t="e">
        <f>#REF!&amp;#REF!</f>
        <v>#REF!</v>
      </c>
      <c r="L1677" t="e">
        <f>#REF!^2</f>
        <v>#REF!</v>
      </c>
    </row>
    <row r="1678" spans="11:12" x14ac:dyDescent="0.25">
      <c r="K1678" t="e">
        <f>#REF!&amp;#REF!</f>
        <v>#REF!</v>
      </c>
      <c r="L1678" t="e">
        <f>#REF!^2</f>
        <v>#REF!</v>
      </c>
    </row>
    <row r="1679" spans="11:12" x14ac:dyDescent="0.25">
      <c r="K1679" t="e">
        <f>#REF!&amp;#REF!</f>
        <v>#REF!</v>
      </c>
      <c r="L1679" t="e">
        <f>#REF!^2</f>
        <v>#REF!</v>
      </c>
    </row>
    <row r="1680" spans="11:12" x14ac:dyDescent="0.25">
      <c r="K1680" t="e">
        <f>#REF!&amp;#REF!</f>
        <v>#REF!</v>
      </c>
      <c r="L1680" t="e">
        <f>#REF!^2</f>
        <v>#REF!</v>
      </c>
    </row>
    <row r="1681" spans="11:12" x14ac:dyDescent="0.25">
      <c r="K1681" t="e">
        <f>#REF!&amp;#REF!</f>
        <v>#REF!</v>
      </c>
      <c r="L1681" t="e">
        <f>#REF!^2</f>
        <v>#REF!</v>
      </c>
    </row>
    <row r="1682" spans="11:12" x14ac:dyDescent="0.25">
      <c r="K1682" t="e">
        <f>#REF!&amp;#REF!</f>
        <v>#REF!</v>
      </c>
      <c r="L1682" t="e">
        <f>#REF!^2</f>
        <v>#REF!</v>
      </c>
    </row>
    <row r="1683" spans="11:12" x14ac:dyDescent="0.25">
      <c r="K1683" t="e">
        <f>#REF!&amp;#REF!</f>
        <v>#REF!</v>
      </c>
      <c r="L1683" t="e">
        <f>#REF!^2</f>
        <v>#REF!</v>
      </c>
    </row>
    <row r="1684" spans="11:12" x14ac:dyDescent="0.25">
      <c r="K1684" t="e">
        <f>#REF!&amp;#REF!</f>
        <v>#REF!</v>
      </c>
      <c r="L1684" t="e">
        <f>#REF!^2</f>
        <v>#REF!</v>
      </c>
    </row>
    <row r="1685" spans="11:12" x14ac:dyDescent="0.25">
      <c r="K1685" t="e">
        <f>#REF!&amp;#REF!</f>
        <v>#REF!</v>
      </c>
      <c r="L1685" t="e">
        <f>#REF!^2</f>
        <v>#REF!</v>
      </c>
    </row>
    <row r="1686" spans="11:12" x14ac:dyDescent="0.25">
      <c r="K1686" t="e">
        <f>#REF!&amp;#REF!</f>
        <v>#REF!</v>
      </c>
      <c r="L1686" t="e">
        <f>#REF!^2</f>
        <v>#REF!</v>
      </c>
    </row>
    <row r="1687" spans="11:12" x14ac:dyDescent="0.25">
      <c r="K1687" t="e">
        <f>#REF!&amp;#REF!</f>
        <v>#REF!</v>
      </c>
      <c r="L1687" t="e">
        <f>#REF!^2</f>
        <v>#REF!</v>
      </c>
    </row>
    <row r="1688" spans="11:12" x14ac:dyDescent="0.25">
      <c r="K1688" t="e">
        <f>#REF!&amp;#REF!</f>
        <v>#REF!</v>
      </c>
      <c r="L1688" t="e">
        <f>#REF!^2</f>
        <v>#REF!</v>
      </c>
    </row>
    <row r="1689" spans="11:12" x14ac:dyDescent="0.25">
      <c r="K1689" t="e">
        <f>#REF!&amp;#REF!</f>
        <v>#REF!</v>
      </c>
      <c r="L1689" t="e">
        <f>#REF!^2</f>
        <v>#REF!</v>
      </c>
    </row>
    <row r="1690" spans="11:12" x14ac:dyDescent="0.25">
      <c r="K1690" t="e">
        <f>#REF!&amp;#REF!</f>
        <v>#REF!</v>
      </c>
      <c r="L1690" t="e">
        <f>#REF!^2</f>
        <v>#REF!</v>
      </c>
    </row>
    <row r="1691" spans="11:12" x14ac:dyDescent="0.25">
      <c r="K1691" t="e">
        <f>#REF!&amp;#REF!</f>
        <v>#REF!</v>
      </c>
      <c r="L1691" t="e">
        <f>#REF!^2</f>
        <v>#REF!</v>
      </c>
    </row>
    <row r="1692" spans="11:12" x14ac:dyDescent="0.25">
      <c r="K1692" t="e">
        <f>#REF!&amp;#REF!</f>
        <v>#REF!</v>
      </c>
      <c r="L1692" t="e">
        <f>#REF!^2</f>
        <v>#REF!</v>
      </c>
    </row>
    <row r="1693" spans="11:12" x14ac:dyDescent="0.25">
      <c r="K1693" t="e">
        <f>#REF!&amp;#REF!</f>
        <v>#REF!</v>
      </c>
      <c r="L1693" t="e">
        <f>#REF!^2</f>
        <v>#REF!</v>
      </c>
    </row>
    <row r="1694" spans="11:12" x14ac:dyDescent="0.25">
      <c r="K1694" t="e">
        <f>#REF!&amp;#REF!</f>
        <v>#REF!</v>
      </c>
      <c r="L1694" t="e">
        <f>#REF!^2</f>
        <v>#REF!</v>
      </c>
    </row>
    <row r="1695" spans="11:12" x14ac:dyDescent="0.25">
      <c r="K1695" t="e">
        <f>#REF!&amp;#REF!</f>
        <v>#REF!</v>
      </c>
      <c r="L1695" t="e">
        <f>#REF!^2</f>
        <v>#REF!</v>
      </c>
    </row>
    <row r="1696" spans="11:12" x14ac:dyDescent="0.25">
      <c r="K1696" t="e">
        <f>#REF!&amp;#REF!</f>
        <v>#REF!</v>
      </c>
      <c r="L1696" t="e">
        <f>#REF!^2</f>
        <v>#REF!</v>
      </c>
    </row>
    <row r="1697" spans="11:12" x14ac:dyDescent="0.25">
      <c r="K1697" t="e">
        <f>#REF!&amp;#REF!</f>
        <v>#REF!</v>
      </c>
      <c r="L1697" t="e">
        <f>#REF!^2</f>
        <v>#REF!</v>
      </c>
    </row>
    <row r="1698" spans="11:12" x14ac:dyDescent="0.25">
      <c r="K1698" t="e">
        <f>#REF!&amp;#REF!</f>
        <v>#REF!</v>
      </c>
      <c r="L1698" t="e">
        <f>#REF!^2</f>
        <v>#REF!</v>
      </c>
    </row>
    <row r="1699" spans="11:12" x14ac:dyDescent="0.25">
      <c r="K1699" t="e">
        <f>#REF!&amp;#REF!</f>
        <v>#REF!</v>
      </c>
      <c r="L1699" t="e">
        <f>#REF!^2</f>
        <v>#REF!</v>
      </c>
    </row>
    <row r="1700" spans="11:12" x14ac:dyDescent="0.25">
      <c r="K1700" t="e">
        <f>#REF!&amp;#REF!</f>
        <v>#REF!</v>
      </c>
      <c r="L1700" t="e">
        <f>#REF!^2</f>
        <v>#REF!</v>
      </c>
    </row>
    <row r="1701" spans="11:12" x14ac:dyDescent="0.25">
      <c r="K1701" t="str">
        <f>J1531&amp;A1531</f>
        <v>paul17</v>
      </c>
      <c r="L1701">
        <f>H1531^2</f>
        <v>14.5161</v>
      </c>
    </row>
  </sheetData>
  <autoFilter ref="A1:L170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S30"/>
  <sheetViews>
    <sheetView workbookViewId="0">
      <selection activeCell="B17" sqref="B17"/>
    </sheetView>
  </sheetViews>
  <sheetFormatPr defaultRowHeight="15" x14ac:dyDescent="0.25"/>
  <cols>
    <col min="1" max="1" width="20.7109375" bestFit="1" customWidth="1"/>
    <col min="2" max="2" width="16.28515625" bestFit="1" customWidth="1"/>
    <col min="3" max="5" width="4.5703125" bestFit="1" customWidth="1"/>
    <col min="6" max="6" width="5.5703125" bestFit="1" customWidth="1"/>
    <col min="7" max="10" width="4.5703125" bestFit="1" customWidth="1"/>
    <col min="11" max="13" width="5.5703125" bestFit="1" customWidth="1"/>
    <col min="14" max="14" width="4.5703125" bestFit="1" customWidth="1"/>
    <col min="15" max="16" width="5.5703125" bestFit="1" customWidth="1"/>
    <col min="17" max="18" width="4.5703125" bestFit="1" customWidth="1"/>
    <col min="19" max="19" width="11.28515625" bestFit="1" customWidth="1"/>
  </cols>
  <sheetData>
    <row r="2" spans="1:19" x14ac:dyDescent="0.25">
      <c r="A2" s="4" t="s">
        <v>8</v>
      </c>
      <c r="B2" t="s">
        <v>352</v>
      </c>
    </row>
    <row r="4" spans="1:19" x14ac:dyDescent="0.25">
      <c r="A4" s="4" t="s">
        <v>145</v>
      </c>
      <c r="B4" s="4" t="s">
        <v>96</v>
      </c>
    </row>
    <row r="5" spans="1:19" x14ac:dyDescent="0.25">
      <c r="A5" s="4" t="s">
        <v>98</v>
      </c>
      <c r="B5">
        <v>1</v>
      </c>
      <c r="C5">
        <v>2</v>
      </c>
      <c r="D5">
        <v>3</v>
      </c>
      <c r="E5">
        <v>4</v>
      </c>
      <c r="F5">
        <v>5</v>
      </c>
      <c r="G5">
        <v>6</v>
      </c>
      <c r="H5">
        <v>7</v>
      </c>
      <c r="I5">
        <v>8</v>
      </c>
      <c r="J5">
        <v>9</v>
      </c>
      <c r="K5">
        <v>10</v>
      </c>
      <c r="L5">
        <v>11</v>
      </c>
      <c r="M5">
        <v>12</v>
      </c>
      <c r="N5">
        <v>13</v>
      </c>
      <c r="O5">
        <v>14</v>
      </c>
      <c r="P5">
        <v>15</v>
      </c>
      <c r="Q5">
        <v>16</v>
      </c>
      <c r="R5">
        <v>17</v>
      </c>
      <c r="S5" t="s">
        <v>97</v>
      </c>
    </row>
    <row r="6" spans="1:19" x14ac:dyDescent="0.25">
      <c r="A6" s="5" t="s">
        <v>53</v>
      </c>
      <c r="B6" s="20"/>
      <c r="C6" s="20"/>
      <c r="D6" s="20"/>
      <c r="E6" s="20"/>
      <c r="F6" s="20"/>
      <c r="G6" s="20"/>
      <c r="H6" s="20"/>
      <c r="I6" s="20"/>
      <c r="J6" s="20"/>
      <c r="K6" s="20"/>
      <c r="L6" s="20"/>
      <c r="M6" s="20"/>
      <c r="N6" s="20"/>
      <c r="O6" s="20"/>
      <c r="P6" s="20"/>
      <c r="Q6" s="20"/>
      <c r="R6" s="20"/>
      <c r="S6" s="20"/>
    </row>
    <row r="7" spans="1:19" x14ac:dyDescent="0.25">
      <c r="A7" s="97" t="s">
        <v>204</v>
      </c>
      <c r="B7" s="20">
        <v>18.28</v>
      </c>
      <c r="C7" s="20">
        <v>18.64</v>
      </c>
      <c r="D7" s="20">
        <v>15.66</v>
      </c>
      <c r="E7" s="20">
        <v>19.739999999999998</v>
      </c>
      <c r="F7" s="20">
        <v>19.68</v>
      </c>
      <c r="G7" s="20">
        <v>18.86</v>
      </c>
      <c r="H7" s="20">
        <v>20.079999999999998</v>
      </c>
      <c r="I7" s="20"/>
      <c r="J7" s="20">
        <v>15.49</v>
      </c>
      <c r="K7" s="20">
        <v>18.63</v>
      </c>
      <c r="L7" s="20">
        <v>15.73</v>
      </c>
      <c r="M7" s="20">
        <v>15.64</v>
      </c>
      <c r="N7" s="20">
        <v>15.27</v>
      </c>
      <c r="O7" s="20">
        <v>17.309999999999999</v>
      </c>
      <c r="P7" s="20">
        <v>16.68</v>
      </c>
      <c r="Q7" s="20">
        <v>14.73</v>
      </c>
      <c r="R7" s="20">
        <v>14.94</v>
      </c>
      <c r="S7" s="20">
        <v>275.36</v>
      </c>
    </row>
    <row r="8" spans="1:19" x14ac:dyDescent="0.25">
      <c r="A8" s="97" t="s">
        <v>392</v>
      </c>
      <c r="B8" s="20"/>
      <c r="C8" s="20"/>
      <c r="D8" s="20"/>
      <c r="E8" s="20"/>
      <c r="F8" s="20"/>
      <c r="G8" s="20"/>
      <c r="H8" s="20"/>
      <c r="I8" s="20">
        <v>16.059999999999999</v>
      </c>
      <c r="J8" s="20"/>
      <c r="K8" s="20"/>
      <c r="L8" s="20"/>
      <c r="M8" s="20"/>
      <c r="N8" s="20"/>
      <c r="O8" s="20"/>
      <c r="P8" s="20"/>
      <c r="Q8" s="20"/>
      <c r="R8" s="20"/>
      <c r="S8" s="20">
        <v>16.059999999999999</v>
      </c>
    </row>
    <row r="9" spans="1:19" x14ac:dyDescent="0.25">
      <c r="A9" s="5" t="s">
        <v>10</v>
      </c>
      <c r="B9" s="20"/>
      <c r="C9" s="20"/>
      <c r="D9" s="20"/>
      <c r="E9" s="20"/>
      <c r="F9" s="20"/>
      <c r="G9" s="20"/>
      <c r="H9" s="20"/>
      <c r="I9" s="20"/>
      <c r="J9" s="20"/>
      <c r="K9" s="20"/>
      <c r="L9" s="20"/>
      <c r="M9" s="20"/>
      <c r="N9" s="20"/>
      <c r="O9" s="20"/>
      <c r="P9" s="20"/>
      <c r="Q9" s="20"/>
      <c r="R9" s="20"/>
      <c r="S9" s="20"/>
    </row>
    <row r="10" spans="1:19" x14ac:dyDescent="0.25">
      <c r="A10" s="97" t="s">
        <v>181</v>
      </c>
      <c r="B10" s="20">
        <v>18.440000000000001</v>
      </c>
      <c r="C10" s="20">
        <v>14.9</v>
      </c>
      <c r="D10" s="20">
        <v>13.72</v>
      </c>
      <c r="E10" s="20">
        <v>12.68</v>
      </c>
      <c r="F10" s="20">
        <v>20.010000000000002</v>
      </c>
      <c r="G10" s="20">
        <v>11.68</v>
      </c>
      <c r="H10" s="20">
        <v>11.94</v>
      </c>
      <c r="I10" s="20">
        <v>21.62</v>
      </c>
      <c r="J10" s="20"/>
      <c r="K10" s="20">
        <v>16.12</v>
      </c>
      <c r="L10" s="20">
        <v>21.34</v>
      </c>
      <c r="M10" s="20">
        <v>13.43</v>
      </c>
      <c r="N10" s="20">
        <v>18.53</v>
      </c>
      <c r="O10" s="20">
        <v>17.11</v>
      </c>
      <c r="P10" s="20">
        <v>15.5</v>
      </c>
      <c r="Q10" s="20">
        <v>16.079999999999998</v>
      </c>
      <c r="R10" s="20">
        <v>11.97</v>
      </c>
      <c r="S10" s="20">
        <v>255.07000000000002</v>
      </c>
    </row>
    <row r="11" spans="1:19" x14ac:dyDescent="0.25">
      <c r="A11" s="97" t="s">
        <v>9</v>
      </c>
      <c r="B11" s="20">
        <v>10.38</v>
      </c>
      <c r="C11" s="20">
        <v>11.1</v>
      </c>
      <c r="D11" s="20">
        <v>13.68</v>
      </c>
      <c r="E11" s="20">
        <v>13.21</v>
      </c>
      <c r="F11" s="20">
        <v>12.46</v>
      </c>
      <c r="G11" s="20">
        <v>14.09</v>
      </c>
      <c r="H11" s="20">
        <v>13.88</v>
      </c>
      <c r="I11" s="20"/>
      <c r="J11" s="20">
        <v>12.68</v>
      </c>
      <c r="K11" s="20">
        <v>13.32</v>
      </c>
      <c r="L11" s="20">
        <v>13.09</v>
      </c>
      <c r="M11" s="20">
        <v>12.61</v>
      </c>
      <c r="N11" s="20">
        <v>11.19</v>
      </c>
      <c r="O11" s="20">
        <v>12.33</v>
      </c>
      <c r="P11" s="20">
        <v>11.07</v>
      </c>
      <c r="Q11" s="20">
        <v>10.210000000000001</v>
      </c>
      <c r="R11" s="20">
        <v>12.92</v>
      </c>
      <c r="S11" s="20">
        <v>198.22</v>
      </c>
    </row>
    <row r="12" spans="1:19" x14ac:dyDescent="0.25">
      <c r="A12" s="97" t="s">
        <v>20</v>
      </c>
      <c r="B12" s="20">
        <v>12.94</v>
      </c>
      <c r="C12" s="20">
        <v>10.18</v>
      </c>
      <c r="D12" s="20"/>
      <c r="E12" s="20">
        <v>9.2100000000000009</v>
      </c>
      <c r="F12" s="20">
        <v>12.22</v>
      </c>
      <c r="G12" s="20">
        <v>11.13</v>
      </c>
      <c r="H12" s="20">
        <v>10.06</v>
      </c>
      <c r="I12" s="20">
        <v>13.13</v>
      </c>
      <c r="J12" s="20"/>
      <c r="K12" s="20">
        <v>12.6</v>
      </c>
      <c r="L12" s="20">
        <v>9.1999999999999993</v>
      </c>
      <c r="M12" s="20">
        <v>14.96</v>
      </c>
      <c r="N12" s="20">
        <v>9.17</v>
      </c>
      <c r="O12" s="20">
        <v>11.17</v>
      </c>
      <c r="P12" s="20">
        <v>15.05</v>
      </c>
      <c r="Q12" s="20">
        <v>13.73</v>
      </c>
      <c r="R12" s="20">
        <v>10.29</v>
      </c>
      <c r="S12" s="20">
        <v>175.04</v>
      </c>
    </row>
    <row r="13" spans="1:19" x14ac:dyDescent="0.25">
      <c r="A13" s="97" t="s">
        <v>454</v>
      </c>
      <c r="B13" s="20"/>
      <c r="C13" s="20"/>
      <c r="D13" s="20"/>
      <c r="E13" s="20"/>
      <c r="F13" s="20"/>
      <c r="G13" s="20"/>
      <c r="H13" s="20"/>
      <c r="I13" s="20"/>
      <c r="J13" s="20">
        <v>7.25</v>
      </c>
      <c r="K13" s="20"/>
      <c r="L13" s="20"/>
      <c r="M13" s="20"/>
      <c r="N13" s="20"/>
      <c r="O13" s="20"/>
      <c r="P13" s="20"/>
      <c r="Q13" s="20"/>
      <c r="R13" s="20"/>
      <c r="S13" s="20">
        <v>7.25</v>
      </c>
    </row>
    <row r="14" spans="1:19" x14ac:dyDescent="0.25">
      <c r="A14" s="97" t="s">
        <v>339</v>
      </c>
      <c r="B14" s="20"/>
      <c r="C14" s="20"/>
      <c r="D14" s="20"/>
      <c r="E14" s="20"/>
      <c r="F14" s="20"/>
      <c r="G14" s="20"/>
      <c r="H14" s="20"/>
      <c r="I14" s="20"/>
      <c r="J14" s="20">
        <v>7.2</v>
      </c>
      <c r="K14" s="20"/>
      <c r="L14" s="20"/>
      <c r="M14" s="20"/>
      <c r="N14" s="20"/>
      <c r="O14" s="20"/>
      <c r="P14" s="20"/>
      <c r="Q14" s="20"/>
      <c r="R14" s="20"/>
      <c r="S14" s="20">
        <v>7.2</v>
      </c>
    </row>
    <row r="15" spans="1:19" x14ac:dyDescent="0.25">
      <c r="A15" s="5" t="s">
        <v>32</v>
      </c>
      <c r="B15" s="20"/>
      <c r="C15" s="20"/>
      <c r="D15" s="20"/>
      <c r="E15" s="20"/>
      <c r="F15" s="20"/>
      <c r="G15" s="20"/>
      <c r="H15" s="20"/>
      <c r="I15" s="20"/>
      <c r="J15" s="20"/>
      <c r="K15" s="20"/>
      <c r="L15" s="20"/>
      <c r="M15" s="20"/>
      <c r="N15" s="20"/>
      <c r="O15" s="20"/>
      <c r="P15" s="20"/>
      <c r="Q15" s="20"/>
      <c r="R15" s="20"/>
      <c r="S15" s="20"/>
    </row>
    <row r="16" spans="1:19" x14ac:dyDescent="0.25">
      <c r="A16" s="97" t="s">
        <v>33</v>
      </c>
      <c r="B16" s="20">
        <v>11.4</v>
      </c>
      <c r="C16" s="20">
        <v>10.42</v>
      </c>
      <c r="D16" s="20">
        <v>9.6199999999999992</v>
      </c>
      <c r="E16" s="20">
        <v>12.09</v>
      </c>
      <c r="F16" s="20">
        <v>11.85</v>
      </c>
      <c r="G16" s="20">
        <v>12.32</v>
      </c>
      <c r="H16" s="20">
        <v>10.34</v>
      </c>
      <c r="I16" s="20"/>
      <c r="J16" s="20">
        <v>10.19</v>
      </c>
      <c r="K16" s="20">
        <v>11.39</v>
      </c>
      <c r="L16" s="20">
        <v>11.17</v>
      </c>
      <c r="M16" s="20">
        <v>11.43</v>
      </c>
      <c r="N16" s="20">
        <v>10.98</v>
      </c>
      <c r="O16" s="20">
        <v>11.1</v>
      </c>
      <c r="P16" s="20">
        <v>10.99</v>
      </c>
      <c r="Q16" s="20">
        <v>11.34</v>
      </c>
      <c r="R16" s="20">
        <v>10.82</v>
      </c>
      <c r="S16" s="20">
        <v>177.45</v>
      </c>
    </row>
    <row r="17" spans="1:19" x14ac:dyDescent="0.25">
      <c r="A17" s="97" t="s">
        <v>39</v>
      </c>
      <c r="B17" s="20">
        <v>9.82</v>
      </c>
      <c r="C17" s="20">
        <v>9.36</v>
      </c>
      <c r="D17" s="20">
        <v>9.2100000000000009</v>
      </c>
      <c r="E17" s="20">
        <v>9.4499999999999993</v>
      </c>
      <c r="F17" s="20">
        <v>9.73</v>
      </c>
      <c r="G17" s="20"/>
      <c r="H17" s="20">
        <v>9.4600000000000009</v>
      </c>
      <c r="I17" s="20">
        <v>8.4700000000000006</v>
      </c>
      <c r="J17" s="20"/>
      <c r="K17" s="20"/>
      <c r="L17" s="20"/>
      <c r="M17" s="20">
        <v>8.7899999999999991</v>
      </c>
      <c r="N17" s="20"/>
      <c r="O17" s="20"/>
      <c r="P17" s="20"/>
      <c r="Q17" s="20"/>
      <c r="R17" s="20">
        <v>9.48</v>
      </c>
      <c r="S17" s="20">
        <v>83.770000000000024</v>
      </c>
    </row>
    <row r="18" spans="1:19" x14ac:dyDescent="0.25">
      <c r="A18" s="97" t="s">
        <v>45</v>
      </c>
      <c r="B18" s="20"/>
      <c r="C18" s="20"/>
      <c r="D18" s="20">
        <v>9.42</v>
      </c>
      <c r="E18" s="20"/>
      <c r="F18" s="20"/>
      <c r="G18" s="20"/>
      <c r="H18" s="20"/>
      <c r="I18" s="20">
        <v>8.91</v>
      </c>
      <c r="J18" s="20"/>
      <c r="K18" s="20">
        <v>9.33</v>
      </c>
      <c r="L18" s="20">
        <v>8.91</v>
      </c>
      <c r="M18" s="20"/>
      <c r="N18" s="20">
        <v>8.82</v>
      </c>
      <c r="O18" s="20">
        <v>9.24</v>
      </c>
      <c r="P18" s="20">
        <v>9.43</v>
      </c>
      <c r="Q18" s="20">
        <v>8.98</v>
      </c>
      <c r="R18" s="20"/>
      <c r="S18" s="20">
        <v>73.040000000000006</v>
      </c>
    </row>
    <row r="19" spans="1:19" x14ac:dyDescent="0.25">
      <c r="A19" s="97" t="s">
        <v>285</v>
      </c>
      <c r="B19" s="20"/>
      <c r="C19" s="20"/>
      <c r="D19" s="20"/>
      <c r="E19" s="20"/>
      <c r="F19" s="20"/>
      <c r="G19" s="20">
        <v>8.6199999999999992</v>
      </c>
      <c r="H19" s="20"/>
      <c r="I19" s="20"/>
      <c r="J19" s="20">
        <v>8.3800000000000008</v>
      </c>
      <c r="K19" s="20"/>
      <c r="L19" s="20"/>
      <c r="M19" s="20"/>
      <c r="N19" s="20"/>
      <c r="O19" s="20"/>
      <c r="P19" s="20"/>
      <c r="Q19" s="20"/>
      <c r="R19" s="20"/>
      <c r="S19" s="20">
        <v>17</v>
      </c>
    </row>
    <row r="20" spans="1:19" x14ac:dyDescent="0.25">
      <c r="A20" s="97" t="s">
        <v>31</v>
      </c>
      <c r="B20" s="20"/>
      <c r="C20" s="20"/>
      <c r="D20" s="20"/>
      <c r="E20" s="20"/>
      <c r="F20" s="20"/>
      <c r="G20" s="20"/>
      <c r="H20" s="20"/>
      <c r="I20" s="20">
        <v>7.4</v>
      </c>
      <c r="J20" s="20"/>
      <c r="K20" s="20"/>
      <c r="L20" s="20"/>
      <c r="M20" s="20"/>
      <c r="N20" s="20"/>
      <c r="O20" s="20"/>
      <c r="P20" s="20"/>
      <c r="Q20" s="20"/>
      <c r="R20" s="20"/>
      <c r="S20" s="20">
        <v>7.4</v>
      </c>
    </row>
    <row r="21" spans="1:19" x14ac:dyDescent="0.25">
      <c r="A21" s="5" t="s">
        <v>57</v>
      </c>
      <c r="B21" s="20"/>
      <c r="C21" s="20"/>
      <c r="D21" s="20"/>
      <c r="E21" s="20"/>
      <c r="F21" s="20"/>
      <c r="G21" s="20"/>
      <c r="H21" s="20"/>
      <c r="I21" s="20"/>
      <c r="J21" s="20"/>
      <c r="K21" s="20"/>
      <c r="L21" s="20"/>
      <c r="M21" s="20"/>
      <c r="N21" s="20"/>
      <c r="O21" s="20"/>
      <c r="P21" s="20"/>
      <c r="Q21" s="20"/>
      <c r="R21" s="20"/>
      <c r="S21" s="20"/>
    </row>
    <row r="22" spans="1:19" x14ac:dyDescent="0.25">
      <c r="A22" s="97" t="s">
        <v>60</v>
      </c>
      <c r="B22" s="20">
        <v>7.89</v>
      </c>
      <c r="C22" s="20">
        <v>6.83</v>
      </c>
      <c r="D22" s="20">
        <v>6.71</v>
      </c>
      <c r="E22" s="20">
        <v>6.4</v>
      </c>
      <c r="F22" s="20">
        <v>6.8</v>
      </c>
      <c r="G22" s="20">
        <v>7.56</v>
      </c>
      <c r="H22" s="20"/>
      <c r="I22" s="20">
        <v>6.91</v>
      </c>
      <c r="J22" s="20">
        <v>6.34</v>
      </c>
      <c r="K22" s="20">
        <v>7.48</v>
      </c>
      <c r="L22" s="20">
        <v>7.67</v>
      </c>
      <c r="M22" s="20">
        <v>7.67</v>
      </c>
      <c r="N22" s="20">
        <v>8</v>
      </c>
      <c r="O22" s="20">
        <v>6.87</v>
      </c>
      <c r="P22" s="20">
        <v>7.62</v>
      </c>
      <c r="Q22" s="20">
        <v>7.39</v>
      </c>
      <c r="R22" s="20">
        <v>7.01</v>
      </c>
      <c r="S22" s="20">
        <v>115.15000000000002</v>
      </c>
    </row>
    <row r="23" spans="1:19" x14ac:dyDescent="0.25">
      <c r="A23" s="97" t="s">
        <v>452</v>
      </c>
      <c r="B23" s="20"/>
      <c r="C23" s="20"/>
      <c r="D23" s="20"/>
      <c r="E23" s="20"/>
      <c r="F23" s="20"/>
      <c r="G23" s="20"/>
      <c r="H23" s="20">
        <v>4.32</v>
      </c>
      <c r="I23" s="20"/>
      <c r="J23" s="20"/>
      <c r="K23" s="20"/>
      <c r="L23" s="20"/>
      <c r="M23" s="20"/>
      <c r="N23" s="20"/>
      <c r="O23" s="20"/>
      <c r="P23" s="20"/>
      <c r="Q23" s="20"/>
      <c r="R23" s="20"/>
      <c r="S23" s="20">
        <v>4.32</v>
      </c>
    </row>
    <row r="24" spans="1:19" x14ac:dyDescent="0.25">
      <c r="A24" s="5" t="s">
        <v>63</v>
      </c>
      <c r="B24" s="20"/>
      <c r="C24" s="20"/>
      <c r="D24" s="20"/>
      <c r="E24" s="20"/>
      <c r="F24" s="20"/>
      <c r="G24" s="20"/>
      <c r="H24" s="20"/>
      <c r="I24" s="20"/>
      <c r="J24" s="20"/>
      <c r="K24" s="20"/>
      <c r="L24" s="20"/>
      <c r="M24" s="20"/>
      <c r="N24" s="20"/>
      <c r="O24" s="20"/>
      <c r="P24" s="20"/>
      <c r="Q24" s="20"/>
      <c r="R24" s="20"/>
      <c r="S24" s="20"/>
    </row>
    <row r="25" spans="1:19" x14ac:dyDescent="0.25">
      <c r="A25" s="97" t="s">
        <v>318</v>
      </c>
      <c r="B25" s="20">
        <v>8.2295999999999996</v>
      </c>
      <c r="C25" s="20">
        <v>8.0958000000000006</v>
      </c>
      <c r="D25" s="20">
        <v>2.3026</v>
      </c>
      <c r="E25" s="20">
        <v>4.9427000000000003</v>
      </c>
      <c r="F25" s="20">
        <v>7.6040999999999999</v>
      </c>
      <c r="G25" s="20"/>
      <c r="H25" s="20">
        <v>7.7157999999999998</v>
      </c>
      <c r="I25" s="20">
        <v>6.5079000000000002</v>
      </c>
      <c r="J25" s="20">
        <v>3.7378999999999998</v>
      </c>
      <c r="K25" s="20">
        <v>8.3432999999999993</v>
      </c>
      <c r="L25" s="20">
        <v>6.2615999999999996</v>
      </c>
      <c r="M25" s="20">
        <v>8.3432999999999993</v>
      </c>
      <c r="N25" s="20">
        <v>5.8788999999999998</v>
      </c>
      <c r="O25" s="20">
        <v>7.3567</v>
      </c>
      <c r="P25" s="20">
        <v>7.2840999999999996</v>
      </c>
      <c r="Q25" s="20">
        <v>3.7378999999999998</v>
      </c>
      <c r="R25" s="20">
        <v>7.6040999999999999</v>
      </c>
      <c r="S25" s="20">
        <v>103.94629999999999</v>
      </c>
    </row>
    <row r="26" spans="1:19" x14ac:dyDescent="0.25">
      <c r="A26" s="97" t="s">
        <v>340</v>
      </c>
      <c r="B26" s="20"/>
      <c r="C26" s="20"/>
      <c r="D26" s="20"/>
      <c r="E26" s="20"/>
      <c r="F26" s="20"/>
      <c r="G26" s="20">
        <v>7.1193999999999997</v>
      </c>
      <c r="H26" s="20"/>
      <c r="I26" s="20"/>
      <c r="J26" s="20"/>
      <c r="K26" s="20"/>
      <c r="L26" s="20"/>
      <c r="M26" s="20"/>
      <c r="N26" s="20"/>
      <c r="O26" s="20"/>
      <c r="P26" s="20"/>
      <c r="Q26" s="20"/>
      <c r="R26" s="20"/>
      <c r="S26" s="20">
        <v>7.1193999999999997</v>
      </c>
    </row>
    <row r="27" spans="1:19" x14ac:dyDescent="0.25">
      <c r="A27" s="5" t="s">
        <v>64</v>
      </c>
      <c r="B27" s="20"/>
      <c r="C27" s="20"/>
      <c r="D27" s="20"/>
      <c r="E27" s="20"/>
      <c r="F27" s="20"/>
      <c r="G27" s="20"/>
      <c r="H27" s="20"/>
      <c r="I27" s="20"/>
      <c r="J27" s="20"/>
      <c r="K27" s="20"/>
      <c r="L27" s="20"/>
      <c r="M27" s="20"/>
      <c r="N27" s="20"/>
      <c r="O27" s="20"/>
      <c r="P27" s="20"/>
      <c r="Q27" s="20"/>
      <c r="R27" s="20"/>
      <c r="S27" s="20"/>
    </row>
    <row r="28" spans="1:19" x14ac:dyDescent="0.25">
      <c r="A28" s="97" t="s">
        <v>155</v>
      </c>
      <c r="B28" s="20">
        <v>10</v>
      </c>
      <c r="C28" s="20">
        <v>9.11</v>
      </c>
      <c r="D28" s="20">
        <v>8.9700000000000006</v>
      </c>
      <c r="E28" s="20">
        <v>8.33</v>
      </c>
      <c r="F28" s="20">
        <v>8.7799999999999994</v>
      </c>
      <c r="G28" s="20"/>
      <c r="H28" s="20">
        <v>7.82</v>
      </c>
      <c r="I28" s="20">
        <v>7.75</v>
      </c>
      <c r="J28" s="20">
        <v>8.64</v>
      </c>
      <c r="K28" s="20">
        <v>8.9600000000000009</v>
      </c>
      <c r="L28" s="20">
        <v>8.1199999999999992</v>
      </c>
      <c r="M28" s="20">
        <v>9.49</v>
      </c>
      <c r="N28" s="20">
        <v>8.9499999999999993</v>
      </c>
      <c r="O28" s="20">
        <v>8.94</v>
      </c>
      <c r="P28" s="20">
        <v>7.84</v>
      </c>
      <c r="Q28" s="20">
        <v>9.25</v>
      </c>
      <c r="R28" s="20">
        <v>8.2899999999999991</v>
      </c>
      <c r="S28" s="20">
        <v>139.24</v>
      </c>
    </row>
    <row r="29" spans="1:19" x14ac:dyDescent="0.25">
      <c r="A29" s="97" t="s">
        <v>286</v>
      </c>
      <c r="B29" s="20"/>
      <c r="C29" s="20"/>
      <c r="D29" s="20"/>
      <c r="E29" s="20"/>
      <c r="F29" s="20"/>
      <c r="G29" s="20">
        <v>8.16</v>
      </c>
      <c r="H29" s="20"/>
      <c r="I29" s="20"/>
      <c r="J29" s="20"/>
      <c r="K29" s="20"/>
      <c r="L29" s="20"/>
      <c r="M29" s="20"/>
      <c r="N29" s="20"/>
      <c r="O29" s="20"/>
      <c r="P29" s="20"/>
      <c r="Q29" s="20"/>
      <c r="R29" s="20"/>
      <c r="S29" s="20">
        <v>8.16</v>
      </c>
    </row>
    <row r="30" spans="1:19" x14ac:dyDescent="0.25">
      <c r="A30" s="5" t="s">
        <v>97</v>
      </c>
      <c r="B30" s="20">
        <v>107.37960000000001</v>
      </c>
      <c r="C30" s="20">
        <v>98.635800000000003</v>
      </c>
      <c r="D30" s="20">
        <v>89.292599999999993</v>
      </c>
      <c r="E30" s="20">
        <v>96.052700000000016</v>
      </c>
      <c r="F30" s="20">
        <v>109.1341</v>
      </c>
      <c r="G30" s="20">
        <v>99.539400000000001</v>
      </c>
      <c r="H30" s="20">
        <v>95.615800000000007</v>
      </c>
      <c r="I30" s="20">
        <v>96.757900000000006</v>
      </c>
      <c r="J30" s="20">
        <v>79.907899999999998</v>
      </c>
      <c r="K30" s="20">
        <v>106.17330000000001</v>
      </c>
      <c r="L30" s="20">
        <v>101.49160000000001</v>
      </c>
      <c r="M30" s="20">
        <v>102.36330000000001</v>
      </c>
      <c r="N30" s="20">
        <v>96.788900000000012</v>
      </c>
      <c r="O30" s="20">
        <v>101.4267</v>
      </c>
      <c r="P30" s="20">
        <v>101.4641</v>
      </c>
      <c r="Q30" s="20">
        <v>95.447900000000004</v>
      </c>
      <c r="R30" s="20">
        <v>93.324099999999987</v>
      </c>
      <c r="S30" s="20">
        <v>1670.7957000000004</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M42"/>
  <sheetViews>
    <sheetView topLeftCell="I1" zoomScale="70" zoomScaleNormal="70" workbookViewId="0">
      <selection activeCell="BM1" sqref="BM1"/>
    </sheetView>
  </sheetViews>
  <sheetFormatPr defaultRowHeight="15" x14ac:dyDescent="0.25"/>
  <cols>
    <col min="1" max="8" width="9.140625" hidden="1" customWidth="1"/>
    <col min="9" max="9" width="9.140625" customWidth="1"/>
    <col min="10" max="10" width="14.85546875" bestFit="1" customWidth="1"/>
    <col min="11" max="11" width="13.42578125" bestFit="1" customWidth="1"/>
    <col min="12" max="12" width="9.7109375" bestFit="1" customWidth="1"/>
    <col min="13" max="13" width="4.28515625" customWidth="1"/>
    <col min="14" max="22" width="9.140625" hidden="1" customWidth="1"/>
    <col min="23" max="23" width="14.85546875" bestFit="1" customWidth="1"/>
    <col min="24" max="24" width="13.42578125" bestFit="1" customWidth="1"/>
    <col min="25" max="25" width="9.7109375" bestFit="1" customWidth="1"/>
    <col min="26" max="26" width="4.28515625" customWidth="1"/>
    <col min="27" max="35" width="9.140625" hidden="1" customWidth="1"/>
    <col min="36" max="36" width="14.85546875" bestFit="1" customWidth="1"/>
    <col min="37" max="37" width="13.42578125" bestFit="1" customWidth="1"/>
    <col min="38" max="38" width="9.7109375" bestFit="1" customWidth="1"/>
    <col min="39" max="39" width="4.28515625" customWidth="1"/>
    <col min="40" max="48" width="9.140625" hidden="1" customWidth="1"/>
    <col min="49" max="49" width="14.85546875" bestFit="1" customWidth="1"/>
    <col min="50" max="50" width="13.42578125" bestFit="1" customWidth="1"/>
    <col min="51" max="51" width="9.7109375" bestFit="1" customWidth="1"/>
    <col min="52" max="52" width="4.28515625" customWidth="1"/>
    <col min="53" max="61" width="9.140625" hidden="1" customWidth="1"/>
    <col min="62" max="62" width="14.85546875" bestFit="1" customWidth="1"/>
    <col min="63" max="63" width="13.42578125" customWidth="1"/>
    <col min="64" max="64" width="9.7109375" bestFit="1" customWidth="1"/>
    <col min="67" max="67" width="14.85546875" bestFit="1" customWidth="1"/>
  </cols>
  <sheetData>
    <row r="1" spans="1:65" ht="21" x14ac:dyDescent="0.35">
      <c r="A1" s="10"/>
      <c r="B1" s="10"/>
      <c r="C1" s="10"/>
      <c r="D1" s="10"/>
      <c r="E1" s="10"/>
      <c r="F1" s="10"/>
      <c r="G1" s="10"/>
      <c r="H1" s="10"/>
      <c r="I1" s="10"/>
      <c r="J1" s="98" t="str">
        <f>C3</f>
        <v>andrew</v>
      </c>
      <c r="K1" s="98"/>
      <c r="L1" s="98"/>
      <c r="M1" s="10"/>
      <c r="N1" s="10"/>
      <c r="O1" s="10"/>
      <c r="P1" s="10"/>
      <c r="Q1" s="10"/>
      <c r="R1" s="10"/>
      <c r="S1" s="10"/>
      <c r="T1" s="10"/>
      <c r="U1" s="10"/>
      <c r="V1" s="10"/>
      <c r="W1" s="98" t="str">
        <f>P3</f>
        <v>breanna</v>
      </c>
      <c r="X1" s="98"/>
      <c r="Y1" s="98"/>
      <c r="Z1" s="10"/>
      <c r="AA1" s="10"/>
      <c r="AB1" s="10"/>
      <c r="AC1" s="10"/>
      <c r="AD1" s="10"/>
      <c r="AE1" s="10"/>
      <c r="AF1" s="10"/>
      <c r="AG1" s="10"/>
      <c r="AH1" s="10"/>
      <c r="AI1" s="10"/>
      <c r="AJ1" s="98" t="str">
        <f>AC3</f>
        <v>alyssa</v>
      </c>
      <c r="AK1" s="98"/>
      <c r="AL1" s="98"/>
      <c r="AM1" s="10"/>
      <c r="AN1" s="10"/>
      <c r="AO1" s="10"/>
      <c r="AP1" s="10"/>
      <c r="AQ1" s="10"/>
      <c r="AR1" s="10"/>
      <c r="AS1" s="10"/>
      <c r="AT1" s="10"/>
      <c r="AU1" s="10"/>
      <c r="AV1" s="10"/>
      <c r="AW1" s="98" t="str">
        <f>AP3</f>
        <v>jordan</v>
      </c>
      <c r="AX1" s="98"/>
      <c r="AY1" s="98"/>
      <c r="AZ1" s="10"/>
      <c r="BA1" s="10"/>
      <c r="BB1" s="10"/>
      <c r="BC1" s="10"/>
      <c r="BD1" s="10"/>
      <c r="BE1" s="10"/>
      <c r="BF1" s="10"/>
      <c r="BG1" s="10"/>
      <c r="BH1" s="10"/>
      <c r="BI1" s="10"/>
      <c r="BJ1" s="98" t="str">
        <f>BC3</f>
        <v>colin</v>
      </c>
      <c r="BK1" s="98"/>
      <c r="BL1" s="98"/>
      <c r="BM1" s="10"/>
    </row>
    <row r="2" spans="1:65" x14ac:dyDescent="0.25">
      <c r="A2" s="10" t="s">
        <v>99</v>
      </c>
      <c r="B2" s="10" t="s">
        <v>102</v>
      </c>
      <c r="C2" s="10" t="s">
        <v>103</v>
      </c>
      <c r="D2" s="10" t="s">
        <v>104</v>
      </c>
      <c r="E2" s="10" t="s">
        <v>105</v>
      </c>
      <c r="F2" s="10" t="s">
        <v>101</v>
      </c>
      <c r="G2" s="10" t="s">
        <v>107</v>
      </c>
      <c r="H2" s="10" t="s">
        <v>109</v>
      </c>
      <c r="I2" s="10"/>
      <c r="J2" s="8" t="s">
        <v>110</v>
      </c>
      <c r="K2" s="8" t="s">
        <v>111</v>
      </c>
      <c r="L2" s="7" t="s">
        <v>108</v>
      </c>
      <c r="M2" s="10"/>
      <c r="N2" s="10" t="s">
        <v>99</v>
      </c>
      <c r="O2" s="10" t="s">
        <v>102</v>
      </c>
      <c r="P2" s="10" t="s">
        <v>103</v>
      </c>
      <c r="Q2" s="10" t="s">
        <v>104</v>
      </c>
      <c r="R2" s="10" t="s">
        <v>105</v>
      </c>
      <c r="S2" s="10" t="s">
        <v>101</v>
      </c>
      <c r="T2" s="10" t="s">
        <v>107</v>
      </c>
      <c r="U2" s="10" t="s">
        <v>109</v>
      </c>
      <c r="V2" s="10"/>
      <c r="W2" s="8" t="s">
        <v>110</v>
      </c>
      <c r="X2" s="8" t="s">
        <v>111</v>
      </c>
      <c r="Y2" s="7" t="s">
        <v>108</v>
      </c>
      <c r="Z2" s="10"/>
      <c r="AA2" s="10" t="s">
        <v>99</v>
      </c>
      <c r="AB2" s="10" t="s">
        <v>102</v>
      </c>
      <c r="AC2" s="10" t="s">
        <v>103</v>
      </c>
      <c r="AD2" s="10" t="s">
        <v>104</v>
      </c>
      <c r="AE2" s="10" t="s">
        <v>105</v>
      </c>
      <c r="AF2" s="10" t="s">
        <v>101</v>
      </c>
      <c r="AG2" s="10" t="s">
        <v>107</v>
      </c>
      <c r="AH2" s="10" t="s">
        <v>109</v>
      </c>
      <c r="AI2" s="10"/>
      <c r="AJ2" s="8" t="s">
        <v>110</v>
      </c>
      <c r="AK2" s="8" t="s">
        <v>111</v>
      </c>
      <c r="AL2" s="7" t="s">
        <v>108</v>
      </c>
      <c r="AM2" s="10"/>
      <c r="AN2" s="10" t="s">
        <v>99</v>
      </c>
      <c r="AO2" s="10" t="s">
        <v>102</v>
      </c>
      <c r="AP2" s="10" t="s">
        <v>103</v>
      </c>
      <c r="AQ2" s="10" t="s">
        <v>104</v>
      </c>
      <c r="AR2" s="10" t="s">
        <v>105</v>
      </c>
      <c r="AS2" s="10" t="s">
        <v>101</v>
      </c>
      <c r="AT2" s="10" t="s">
        <v>107</v>
      </c>
      <c r="AU2" s="10" t="s">
        <v>109</v>
      </c>
      <c r="AV2" s="10"/>
      <c r="AW2" s="8" t="s">
        <v>110</v>
      </c>
      <c r="AX2" s="8" t="s">
        <v>111</v>
      </c>
      <c r="AY2" s="7" t="s">
        <v>108</v>
      </c>
      <c r="AZ2" s="10"/>
      <c r="BA2" s="10" t="s">
        <v>99</v>
      </c>
      <c r="BB2" s="10" t="s">
        <v>102</v>
      </c>
      <c r="BC2" s="10" t="s">
        <v>103</v>
      </c>
      <c r="BD2" s="10" t="s">
        <v>104</v>
      </c>
      <c r="BE2" s="10" t="s">
        <v>105</v>
      </c>
      <c r="BF2" s="10" t="s">
        <v>101</v>
      </c>
      <c r="BG2" s="10" t="s">
        <v>107</v>
      </c>
      <c r="BH2" s="10" t="s">
        <v>109</v>
      </c>
      <c r="BI2" s="10"/>
      <c r="BJ2" s="8" t="s">
        <v>110</v>
      </c>
      <c r="BK2" s="8" t="s">
        <v>111</v>
      </c>
      <c r="BL2" s="7" t="s">
        <v>108</v>
      </c>
      <c r="BM2" s="10"/>
    </row>
    <row r="3" spans="1:65" x14ac:dyDescent="0.25">
      <c r="A3" s="10">
        <v>1</v>
      </c>
      <c r="B3" s="10">
        <v>1</v>
      </c>
      <c r="C3" s="10" t="str">
        <f>INDEX('Data Import'!$O$2:$O$11,B3)</f>
        <v>andrew</v>
      </c>
      <c r="D3" s="13">
        <f ca="1">SUMIF('Data Import'!$K$2:$K$1701,C3&amp;A3,'Data Import'!$I$2:$I$1531)</f>
        <v>100.5127</v>
      </c>
      <c r="E3" s="10">
        <f>INDEX('Data Import'!$AT$2:$AT$131,MATCH(A3&amp;"-"&amp;B3,'Data Import'!$AU$2:$AU$131,0))</f>
        <v>5</v>
      </c>
      <c r="F3" s="10" t="str">
        <f>INDEX('Data Import'!$O$2:$O$11,E3)</f>
        <v>alyssa</v>
      </c>
      <c r="G3" s="13">
        <f ca="1">SUMIF('Data Import'!$K$2:$K$1701,F3&amp;A3,'Data Import'!$I$2:$I$1531)</f>
        <v>103.6204</v>
      </c>
      <c r="H3" s="14">
        <f>INDEX('Data Import'!$P$15:$W$24,B3,A3)</f>
        <v>1</v>
      </c>
      <c r="I3" s="10"/>
      <c r="J3" s="7" t="str">
        <f>"Wk "&amp;A3&amp;" - "&amp;F3</f>
        <v>Wk 1 - alyssa</v>
      </c>
      <c r="K3" s="8" t="str">
        <f ca="1">TEXT(D3,"0.0")&amp;" - "&amp;TEXT(G3,"0.0")</f>
        <v>100.5 - 103.6</v>
      </c>
      <c r="L3" s="9">
        <f>H3</f>
        <v>1</v>
      </c>
      <c r="M3" s="10"/>
      <c r="N3" s="10">
        <v>1</v>
      </c>
      <c r="O3" s="10">
        <f>B3+2</f>
        <v>3</v>
      </c>
      <c r="P3" s="10" t="str">
        <f>INDEX('Data Import'!$O$2:$O$11,O3)</f>
        <v>breanna</v>
      </c>
      <c r="Q3" s="13">
        <f ca="1">SUMIF('Data Import'!$K$2:$K$1701,P3&amp;N3,'Data Import'!$I$2:$I$1531)</f>
        <v>98.875900000000001</v>
      </c>
      <c r="R3" s="10">
        <f>INDEX('Data Import'!$AT$2:$AT$131,MATCH(N3&amp;"-"&amp;O3,'Data Import'!$AU$2:$AU$131,0))</f>
        <v>2</v>
      </c>
      <c r="S3" s="10" t="str">
        <f>INDEX('Data Import'!$O$2:$O$11,R3)</f>
        <v>jake</v>
      </c>
      <c r="T3" s="13">
        <f ca="1">SUMIF('Data Import'!$K$2:$K$1701,S3&amp;N3,'Data Import'!$I$2:$I$1531)</f>
        <v>107.37960000000001</v>
      </c>
      <c r="U3" s="14">
        <f>INDEX('Data Import'!$P$15:$W$24,O3,N3)</f>
        <v>0</v>
      </c>
      <c r="V3" s="10"/>
      <c r="W3" s="7" t="str">
        <f>"Wk "&amp;N3&amp;" - "&amp;S3</f>
        <v>Wk 1 - jake</v>
      </c>
      <c r="X3" s="8" t="str">
        <f ca="1">TEXT(Q3,"0.0")&amp;" - "&amp;TEXT(T3,"0.0")</f>
        <v>98.9 - 107.4</v>
      </c>
      <c r="Y3" s="9">
        <f>U3</f>
        <v>0</v>
      </c>
      <c r="Z3" s="10"/>
      <c r="AA3" s="10">
        <v>1</v>
      </c>
      <c r="AB3" s="10">
        <f>O3+2</f>
        <v>5</v>
      </c>
      <c r="AC3" s="10" t="str">
        <f>INDEX('Data Import'!$O$2:$O$11,AB3)</f>
        <v>alyssa</v>
      </c>
      <c r="AD3" s="13">
        <f ca="1">SUMIF('Data Import'!$K$2:$K$1701,AC3&amp;AA3,'Data Import'!$I$2:$I$1531)</f>
        <v>103.6204</v>
      </c>
      <c r="AE3" s="10">
        <f>INDEX('Data Import'!$AT$2:$AT$131,MATCH(AA3&amp;"-"&amp;AB3,'Data Import'!$AU$2:$AU$131,0))</f>
        <v>1</v>
      </c>
      <c r="AF3" s="10" t="str">
        <f>INDEX('Data Import'!$O$2:$O$11,AE3)</f>
        <v>andrew</v>
      </c>
      <c r="AG3" s="13">
        <f ca="1">SUMIF('Data Import'!$K$2:$K$1701,AF3&amp;AA3,'Data Import'!$I$2:$I$1531)</f>
        <v>100.5127</v>
      </c>
      <c r="AH3" s="14">
        <f>INDEX('Data Import'!$P$15:$W$24,AB3,AA3)</f>
        <v>0</v>
      </c>
      <c r="AI3" s="10"/>
      <c r="AJ3" s="7" t="str">
        <f>"Wk "&amp;AA3&amp;" - "&amp;AF3</f>
        <v>Wk 1 - andrew</v>
      </c>
      <c r="AK3" s="8" t="str">
        <f ca="1">TEXT(AD3,"0.0")&amp;" - "&amp;TEXT(AG3,"0.0")</f>
        <v>103.6 - 100.5</v>
      </c>
      <c r="AL3" s="9">
        <f>AH3</f>
        <v>0</v>
      </c>
      <c r="AM3" s="10"/>
      <c r="AN3" s="10">
        <v>1</v>
      </c>
      <c r="AO3" s="10">
        <f>AB3+2</f>
        <v>7</v>
      </c>
      <c r="AP3" s="10" t="str">
        <f>INDEX('Data Import'!$O$2:$O$11,AO3)</f>
        <v>jordan</v>
      </c>
      <c r="AQ3" s="13">
        <f ca="1">SUMIF('Data Import'!$K$2:$K$1701,AP3&amp;AN3,'Data Import'!$I$2:$I$1531)</f>
        <v>106.45689999999999</v>
      </c>
      <c r="AR3" s="10">
        <f>INDEX('Data Import'!$AT$2:$AT$131,MATCH(AN3&amp;"-"&amp;AO3,'Data Import'!$AU$2:$AU$131,0))</f>
        <v>6</v>
      </c>
      <c r="AS3" s="10" t="str">
        <f>INDEX('Data Import'!$O$2:$O$11,AR3)</f>
        <v>chris</v>
      </c>
      <c r="AT3" s="13">
        <f ca="1">SUMIF('Data Import'!$K$2:$K$1701,AS3&amp;AN3,'Data Import'!$I$2:$I$1531)</f>
        <v>83.828099999999992</v>
      </c>
      <c r="AU3" s="14">
        <f>INDEX('Data Import'!$P$15:$W$24,AO3,AN3)</f>
        <v>1</v>
      </c>
      <c r="AV3" s="10"/>
      <c r="AW3" s="7" t="str">
        <f>"Wk "&amp;AN3&amp;" - "&amp;AS3</f>
        <v>Wk 1 - chris</v>
      </c>
      <c r="AX3" s="8" t="str">
        <f ca="1">TEXT(AQ3,"0.0")&amp;" - "&amp;TEXT(AT3,"0.0")</f>
        <v>106.5 - 83.8</v>
      </c>
      <c r="AY3" s="9">
        <f>AU3</f>
        <v>1</v>
      </c>
      <c r="AZ3" s="10"/>
      <c r="BA3" s="10">
        <v>1</v>
      </c>
      <c r="BB3" s="10">
        <f>AO3+2</f>
        <v>9</v>
      </c>
      <c r="BC3" s="10" t="str">
        <f>INDEX('Data Import'!$O$2:$O$11,BB3)</f>
        <v>colin</v>
      </c>
      <c r="BD3" s="13">
        <f ca="1">SUMIF('Data Import'!$K$2:$K$1701,BC3&amp;BA3,'Data Import'!$I$2:$I$1531)</f>
        <v>99.388300000000001</v>
      </c>
      <c r="BE3" s="10">
        <f>INDEX('Data Import'!$AT$2:$AT$131,MATCH(BA3&amp;"-"&amp;BB3,'Data Import'!$AU$2:$AU$131,0))</f>
        <v>10</v>
      </c>
      <c r="BF3" s="10" t="str">
        <f>INDEX('Data Import'!$O$2:$O$11,BE3)</f>
        <v>paul</v>
      </c>
      <c r="BG3" s="13">
        <f ca="1">SUMIF('Data Import'!$K$2:$K$1701,BF3&amp;BA3,'Data Import'!$I$2:$I$1531)</f>
        <v>102.44130000000001</v>
      </c>
      <c r="BH3" s="14">
        <f>INDEX('Data Import'!$P$15:$W$24,BB3,BA3)</f>
        <v>1</v>
      </c>
      <c r="BI3" s="10"/>
      <c r="BJ3" s="7" t="str">
        <f>"Wk "&amp;BA3&amp;" - "&amp;BF3</f>
        <v>Wk 1 - paul</v>
      </c>
      <c r="BK3" s="8" t="str">
        <f ca="1">TEXT(BD3,"0.0")&amp;" - "&amp;TEXT(BG3,"0.0")</f>
        <v>99.4 - 102.4</v>
      </c>
      <c r="BL3" s="9">
        <f>BH3</f>
        <v>1</v>
      </c>
      <c r="BM3" s="10"/>
    </row>
    <row r="4" spans="1:65" x14ac:dyDescent="0.25">
      <c r="A4" s="10">
        <f>A3+1</f>
        <v>2</v>
      </c>
      <c r="B4" s="10">
        <v>1</v>
      </c>
      <c r="C4" s="10" t="str">
        <f>INDEX('Data Import'!$O$2:$O$11,B4)</f>
        <v>andrew</v>
      </c>
      <c r="D4" s="13">
        <f ca="1">SUMIF('Data Import'!$K$2:$K$1701,C4&amp;A4,'Data Import'!$I$2:$I$1531)</f>
        <v>99.391799999999989</v>
      </c>
      <c r="E4" s="10">
        <f>INDEX('Data Import'!$AT$2:$AT$131,MATCH(A4&amp;"-"&amp;B4,'Data Import'!$AU$2:$AU$131,0))</f>
        <v>2</v>
      </c>
      <c r="F4" s="10" t="str">
        <f>INDEX('Data Import'!$O$2:$O$11,E4)</f>
        <v>jake</v>
      </c>
      <c r="G4" s="13">
        <f ca="1">SUMIF('Data Import'!$K$2:$K$1701,F4&amp;A4,'Data Import'!$I$2:$I$1531)</f>
        <v>101.8458</v>
      </c>
      <c r="H4" s="14">
        <f>INDEX('Data Import'!$P$15:$W$24,B4,A4)</f>
        <v>1</v>
      </c>
      <c r="I4" s="10"/>
      <c r="J4" s="7" t="str">
        <f t="shared" ref="J4:J14" si="0">"Wk "&amp;A4&amp;" - "&amp;F4</f>
        <v>Wk 2 - jake</v>
      </c>
      <c r="K4" s="8" t="str">
        <f t="shared" ref="K4:K14" ca="1" si="1">TEXT(D4,"0.0")&amp;" - "&amp;TEXT(G4,"0.0")</f>
        <v>99.4 - 101.8</v>
      </c>
      <c r="L4" s="9">
        <f t="shared" ref="L4:L14" si="2">H4</f>
        <v>1</v>
      </c>
      <c r="M4" s="10"/>
      <c r="N4" s="10">
        <f>N3+1</f>
        <v>2</v>
      </c>
      <c r="O4" s="10">
        <f t="shared" ref="O4:O19" si="3">B4+2</f>
        <v>3</v>
      </c>
      <c r="P4" s="10" t="str">
        <f>INDEX('Data Import'!$O$2:$O$11,O4)</f>
        <v>breanna</v>
      </c>
      <c r="Q4" s="13">
        <f ca="1">SUMIF('Data Import'!$K$2:$K$1701,P4&amp;N4,'Data Import'!$I$2:$I$1531)</f>
        <v>98.681699999999992</v>
      </c>
      <c r="R4" s="10">
        <f>INDEX('Data Import'!$AT$2:$AT$131,MATCH(N4&amp;"-"&amp;O4,'Data Import'!$AU$2:$AU$131,0))</f>
        <v>7</v>
      </c>
      <c r="S4" s="10" t="str">
        <f>INDEX('Data Import'!$O$2:$O$11,R4)</f>
        <v>jordan</v>
      </c>
      <c r="T4" s="13">
        <f ca="1">SUMIF('Data Import'!$K$2:$K$1701,S4&amp;N4,'Data Import'!$I$2:$I$1531)</f>
        <v>107.5219</v>
      </c>
      <c r="U4" s="14">
        <f>INDEX('Data Import'!$P$15:$W$24,O4,N4)</f>
        <v>0</v>
      </c>
      <c r="V4" s="10"/>
      <c r="W4" s="7" t="str">
        <f t="shared" ref="W4:W14" si="4">"Wk "&amp;N4&amp;" - "&amp;S4</f>
        <v>Wk 2 - jordan</v>
      </c>
      <c r="X4" s="8" t="str">
        <f t="shared" ref="X4:X14" ca="1" si="5">TEXT(Q4,"0.0")&amp;" - "&amp;TEXT(T4,"0.0")</f>
        <v>98.7 - 107.5</v>
      </c>
      <c r="Y4" s="9">
        <f t="shared" ref="Y4:Y14" si="6">U4</f>
        <v>0</v>
      </c>
      <c r="Z4" s="10"/>
      <c r="AA4" s="10">
        <f>AA3+1</f>
        <v>2</v>
      </c>
      <c r="AB4" s="10">
        <f t="shared" ref="AB4:AB19" si="7">O4+2</f>
        <v>5</v>
      </c>
      <c r="AC4" s="10" t="str">
        <f>INDEX('Data Import'!$O$2:$O$11,AB4)</f>
        <v>alyssa</v>
      </c>
      <c r="AD4" s="13">
        <f ca="1">SUMIF('Data Import'!$K$2:$K$1701,AC4&amp;AA4,'Data Import'!$I$2:$I$1531)</f>
        <v>99.139600000000002</v>
      </c>
      <c r="AE4" s="10">
        <f>INDEX('Data Import'!$AT$2:$AT$131,MATCH(AA4&amp;"-"&amp;AB4,'Data Import'!$AU$2:$AU$131,0))</f>
        <v>4</v>
      </c>
      <c r="AF4" s="10" t="str">
        <f>INDEX('Data Import'!$O$2:$O$11,AE4)</f>
        <v>joseph</v>
      </c>
      <c r="AG4" s="13">
        <f ca="1">SUMIF('Data Import'!$K$2:$K$1701,AF4&amp;AA4,'Data Import'!$I$2:$I$1531)</f>
        <v>100.6018</v>
      </c>
      <c r="AH4" s="14">
        <f>INDEX('Data Import'!$P$15:$W$24,AB4,AA4)</f>
        <v>1</v>
      </c>
      <c r="AI4" s="10"/>
      <c r="AJ4" s="7" t="str">
        <f t="shared" ref="AJ4:AJ14" si="8">"Wk "&amp;AA4&amp;" - "&amp;AF4</f>
        <v>Wk 2 - joseph</v>
      </c>
      <c r="AK4" s="8" t="str">
        <f t="shared" ref="AK4:AK14" ca="1" si="9">TEXT(AD4,"0.0")&amp;" - "&amp;TEXT(AG4,"0.0")</f>
        <v>99.1 - 100.6</v>
      </c>
      <c r="AL4" s="9">
        <f t="shared" ref="AL4:AL14" si="10">AH4</f>
        <v>1</v>
      </c>
      <c r="AM4" s="10"/>
      <c r="AN4" s="10">
        <f>AN3+1</f>
        <v>2</v>
      </c>
      <c r="AO4" s="10">
        <f t="shared" ref="AO4:AO19" si="11">AB4+2</f>
        <v>7</v>
      </c>
      <c r="AP4" s="10" t="str">
        <f>INDEX('Data Import'!$O$2:$O$11,AO4)</f>
        <v>jordan</v>
      </c>
      <c r="AQ4" s="13">
        <f ca="1">SUMIF('Data Import'!$K$2:$K$1701,AP4&amp;AN4,'Data Import'!$I$2:$I$1531)</f>
        <v>107.5219</v>
      </c>
      <c r="AR4" s="10">
        <f>INDEX('Data Import'!$AT$2:$AT$131,MATCH(AN4&amp;"-"&amp;AO4,'Data Import'!$AU$2:$AU$131,0))</f>
        <v>3</v>
      </c>
      <c r="AS4" s="10" t="str">
        <f>INDEX('Data Import'!$O$2:$O$11,AR4)</f>
        <v>breanna</v>
      </c>
      <c r="AT4" s="13">
        <f ca="1">SUMIF('Data Import'!$K$2:$K$1701,AS4&amp;AN4,'Data Import'!$I$2:$I$1531)</f>
        <v>98.681699999999992</v>
      </c>
      <c r="AU4" s="14">
        <f>INDEX('Data Import'!$P$15:$W$24,AO4,AN4)</f>
        <v>1</v>
      </c>
      <c r="AV4" s="10"/>
      <c r="AW4" s="7" t="str">
        <f t="shared" ref="AW4:AW14" si="12">"Wk "&amp;AN4&amp;" - "&amp;AS4</f>
        <v>Wk 2 - breanna</v>
      </c>
      <c r="AX4" s="8" t="str">
        <f t="shared" ref="AX4:AX14" ca="1" si="13">TEXT(AQ4,"0.0")&amp;" - "&amp;TEXT(AT4,"0.0")</f>
        <v>107.5 - 98.7</v>
      </c>
      <c r="AY4" s="9">
        <f t="shared" ref="AY4:AY14" si="14">AU4</f>
        <v>1</v>
      </c>
      <c r="AZ4" s="10"/>
      <c r="BA4" s="10">
        <f>BA3+1</f>
        <v>2</v>
      </c>
      <c r="BB4" s="10">
        <f t="shared" ref="BB4:BB19" si="15">AO4+2</f>
        <v>9</v>
      </c>
      <c r="BC4" s="10" t="str">
        <f>INDEX('Data Import'!$O$2:$O$11,BB4)</f>
        <v>colin</v>
      </c>
      <c r="BD4" s="13">
        <f ca="1">SUMIF('Data Import'!$K$2:$K$1701,BC4&amp;BA4,'Data Import'!$I$2:$I$1531)</f>
        <v>97.73769999999999</v>
      </c>
      <c r="BE4" s="10">
        <f>INDEX('Data Import'!$AT$2:$AT$131,MATCH(BA4&amp;"-"&amp;BB4,'Data Import'!$AU$2:$AU$131,0))</f>
        <v>8</v>
      </c>
      <c r="BF4" s="10" t="str">
        <f>INDEX('Data Import'!$O$2:$O$11,BE4)</f>
        <v>alex</v>
      </c>
      <c r="BG4" s="13">
        <f ca="1">SUMIF('Data Import'!$K$2:$K$1701,BF4&amp;BA4,'Data Import'!$I$2:$I$1531)</f>
        <v>98.629099999999994</v>
      </c>
      <c r="BH4" s="14">
        <f>INDEX('Data Import'!$P$15:$W$24,BB4,BA4)</f>
        <v>0</v>
      </c>
      <c r="BI4" s="10"/>
      <c r="BJ4" s="7" t="str">
        <f t="shared" ref="BJ4:BJ14" si="16">"Wk "&amp;BA4&amp;" - "&amp;BF4</f>
        <v>Wk 2 - alex</v>
      </c>
      <c r="BK4" s="8" t="str">
        <f t="shared" ref="BK4:BK14" ca="1" si="17">TEXT(BD4,"0.0")&amp;" - "&amp;TEXT(BG4,"0.0")</f>
        <v>97.7 - 98.6</v>
      </c>
      <c r="BL4" s="9">
        <f t="shared" ref="BL4:BL14" si="18">BH4</f>
        <v>0</v>
      </c>
      <c r="BM4" s="10"/>
    </row>
    <row r="5" spans="1:65" x14ac:dyDescent="0.25">
      <c r="A5" s="10">
        <f t="shared" ref="A5:A14" si="19">A4+1</f>
        <v>3</v>
      </c>
      <c r="B5" s="10">
        <v>1</v>
      </c>
      <c r="C5" s="10" t="str">
        <f>INDEX('Data Import'!$O$2:$O$11,B5)</f>
        <v>andrew</v>
      </c>
      <c r="D5" s="13">
        <f ca="1">SUMIF('Data Import'!$K$2:$K$1701,C5&amp;A5,'Data Import'!$I$2:$I$1531)</f>
        <v>104.94350000000001</v>
      </c>
      <c r="E5" s="10">
        <f>INDEX('Data Import'!$AT$2:$AT$131,MATCH(A5&amp;"-"&amp;B5,'Data Import'!$AU$2:$AU$131,0))</f>
        <v>3</v>
      </c>
      <c r="F5" s="10" t="str">
        <f>INDEX('Data Import'!$O$2:$O$11,E5)</f>
        <v>breanna</v>
      </c>
      <c r="G5" s="13">
        <f ca="1">SUMIF('Data Import'!$K$2:$K$1701,F5&amp;A5,'Data Import'!$I$2:$I$1531)</f>
        <v>98.462800000000001</v>
      </c>
      <c r="H5" s="14">
        <f>INDEX('Data Import'!$P$15:$W$24,B5,A5)</f>
        <v>0.58718000000000004</v>
      </c>
      <c r="I5" s="10"/>
      <c r="J5" s="7" t="str">
        <f t="shared" si="0"/>
        <v>Wk 3 - breanna</v>
      </c>
      <c r="K5" s="8" t="str">
        <f t="shared" ca="1" si="1"/>
        <v>104.9 - 98.5</v>
      </c>
      <c r="L5" s="9">
        <f t="shared" si="2"/>
        <v>0.58718000000000004</v>
      </c>
      <c r="M5" s="10"/>
      <c r="N5" s="10">
        <f t="shared" ref="N5:N14" si="20">N4+1</f>
        <v>3</v>
      </c>
      <c r="O5" s="10">
        <f t="shared" si="3"/>
        <v>3</v>
      </c>
      <c r="P5" s="10" t="str">
        <f>INDEX('Data Import'!$O$2:$O$11,O5)</f>
        <v>breanna</v>
      </c>
      <c r="Q5" s="13">
        <f ca="1">SUMIF('Data Import'!$K$2:$K$1701,P5&amp;N5,'Data Import'!$I$2:$I$1531)</f>
        <v>98.462800000000001</v>
      </c>
      <c r="R5" s="10">
        <f>INDEX('Data Import'!$AT$2:$AT$131,MATCH(N5&amp;"-"&amp;O5,'Data Import'!$AU$2:$AU$131,0))</f>
        <v>1</v>
      </c>
      <c r="S5" s="10" t="str">
        <f>INDEX('Data Import'!$O$2:$O$11,R5)</f>
        <v>andrew</v>
      </c>
      <c r="T5" s="13">
        <f ca="1">SUMIF('Data Import'!$K$2:$K$1701,S5&amp;N5,'Data Import'!$I$2:$I$1531)</f>
        <v>104.94350000000001</v>
      </c>
      <c r="U5" s="14">
        <f>INDEX('Data Import'!$P$15:$W$24,O5,N5)</f>
        <v>0.41282000000000002</v>
      </c>
      <c r="V5" s="10"/>
      <c r="W5" s="7" t="str">
        <f t="shared" si="4"/>
        <v>Wk 3 - andrew</v>
      </c>
      <c r="X5" s="8" t="str">
        <f t="shared" ca="1" si="5"/>
        <v>98.5 - 104.9</v>
      </c>
      <c r="Y5" s="9">
        <f t="shared" si="6"/>
        <v>0.41282000000000002</v>
      </c>
      <c r="Z5" s="10"/>
      <c r="AA5" s="10">
        <f t="shared" ref="AA5:AA14" si="21">AA4+1</f>
        <v>3</v>
      </c>
      <c r="AB5" s="10">
        <f t="shared" si="7"/>
        <v>5</v>
      </c>
      <c r="AC5" s="10" t="str">
        <f>INDEX('Data Import'!$O$2:$O$11,AB5)</f>
        <v>alyssa</v>
      </c>
      <c r="AD5" s="13">
        <f ca="1">SUMIF('Data Import'!$K$2:$K$1701,AC5&amp;AA5,'Data Import'!$I$2:$I$1531)</f>
        <v>103.59769999999999</v>
      </c>
      <c r="AE5" s="10">
        <f>INDEX('Data Import'!$AT$2:$AT$131,MATCH(AA5&amp;"-"&amp;AB5,'Data Import'!$AU$2:$AU$131,0))</f>
        <v>9</v>
      </c>
      <c r="AF5" s="10" t="str">
        <f>INDEX('Data Import'!$O$2:$O$11,AE5)</f>
        <v>colin</v>
      </c>
      <c r="AG5" s="13">
        <f ca="1">SUMIF('Data Import'!$K$2:$K$1701,AF5&amp;AA5,'Data Import'!$I$2:$I$1531)</f>
        <v>93.490500000000011</v>
      </c>
      <c r="AH5" s="14">
        <f>INDEX('Data Import'!$P$15:$W$24,AB5,AA5)</f>
        <v>0.64588000000000001</v>
      </c>
      <c r="AI5" s="10"/>
      <c r="AJ5" s="7" t="str">
        <f t="shared" si="8"/>
        <v>Wk 3 - colin</v>
      </c>
      <c r="AK5" s="8" t="str">
        <f t="shared" ca="1" si="9"/>
        <v>103.6 - 93.5</v>
      </c>
      <c r="AL5" s="9">
        <f t="shared" si="10"/>
        <v>0.64588000000000001</v>
      </c>
      <c r="AM5" s="10"/>
      <c r="AN5" s="10">
        <f t="shared" ref="AN5:AN14" si="22">AN4+1</f>
        <v>3</v>
      </c>
      <c r="AO5" s="10">
        <f t="shared" si="11"/>
        <v>7</v>
      </c>
      <c r="AP5" s="10" t="str">
        <f>INDEX('Data Import'!$O$2:$O$11,AO5)</f>
        <v>jordan</v>
      </c>
      <c r="AQ5" s="13">
        <f ca="1">SUMIF('Data Import'!$K$2:$K$1701,AP5&amp;AN5,'Data Import'!$I$2:$I$1531)</f>
        <v>101.62739999999999</v>
      </c>
      <c r="AR5" s="10">
        <f>INDEX('Data Import'!$AT$2:$AT$131,MATCH(AN5&amp;"-"&amp;AO5,'Data Import'!$AU$2:$AU$131,0))</f>
        <v>10</v>
      </c>
      <c r="AS5" s="10" t="str">
        <f>INDEX('Data Import'!$O$2:$O$11,AR5)</f>
        <v>paul</v>
      </c>
      <c r="AT5" s="13">
        <f ca="1">SUMIF('Data Import'!$K$2:$K$1701,AS5&amp;AN5,'Data Import'!$I$2:$I$1531)</f>
        <v>104.92000000000002</v>
      </c>
      <c r="AU5" s="14">
        <f>INDEX('Data Import'!$P$15:$W$24,AO5,AN5)</f>
        <v>0.46607999999999999</v>
      </c>
      <c r="AV5" s="10"/>
      <c r="AW5" s="7" t="str">
        <f t="shared" si="12"/>
        <v>Wk 3 - paul</v>
      </c>
      <c r="AX5" s="8" t="str">
        <f t="shared" ca="1" si="13"/>
        <v>101.6 - 104.9</v>
      </c>
      <c r="AY5" s="9">
        <f t="shared" si="14"/>
        <v>0.46607999999999999</v>
      </c>
      <c r="AZ5" s="10"/>
      <c r="BA5" s="10">
        <f t="shared" ref="BA5:BA14" si="23">BA4+1</f>
        <v>3</v>
      </c>
      <c r="BB5" s="10">
        <f t="shared" si="15"/>
        <v>9</v>
      </c>
      <c r="BC5" s="10" t="str">
        <f>INDEX('Data Import'!$O$2:$O$11,BB5)</f>
        <v>colin</v>
      </c>
      <c r="BD5" s="13">
        <f ca="1">SUMIF('Data Import'!$K$2:$K$1701,BC5&amp;BA5,'Data Import'!$I$2:$I$1531)</f>
        <v>93.490500000000011</v>
      </c>
      <c r="BE5" s="10">
        <f>INDEX('Data Import'!$AT$2:$AT$131,MATCH(BA5&amp;"-"&amp;BB5,'Data Import'!$AU$2:$AU$131,0))</f>
        <v>5</v>
      </c>
      <c r="BF5" s="10" t="str">
        <f>INDEX('Data Import'!$O$2:$O$11,BE5)</f>
        <v>alyssa</v>
      </c>
      <c r="BG5" s="13">
        <f ca="1">SUMIF('Data Import'!$K$2:$K$1701,BF5&amp;BA5,'Data Import'!$I$2:$I$1531)</f>
        <v>103.59769999999999</v>
      </c>
      <c r="BH5" s="14">
        <f>INDEX('Data Import'!$P$15:$W$24,BB5,BA5)</f>
        <v>0.35411999999999999</v>
      </c>
      <c r="BI5" s="10"/>
      <c r="BJ5" s="7" t="str">
        <f t="shared" si="16"/>
        <v>Wk 3 - alyssa</v>
      </c>
      <c r="BK5" s="8" t="str">
        <f t="shared" ca="1" si="17"/>
        <v>93.5 - 103.6</v>
      </c>
      <c r="BL5" s="9">
        <f t="shared" si="18"/>
        <v>0.35411999999999999</v>
      </c>
      <c r="BM5" s="10"/>
    </row>
    <row r="6" spans="1:65" x14ac:dyDescent="0.25">
      <c r="A6" s="10">
        <f t="shared" si="19"/>
        <v>4</v>
      </c>
      <c r="B6" s="10">
        <v>1</v>
      </c>
      <c r="C6" s="10" t="str">
        <f>INDEX('Data Import'!$O$2:$O$11,B6)</f>
        <v>andrew</v>
      </c>
      <c r="D6" s="13">
        <f ca="1">SUMIF('Data Import'!$K$2:$K$1701,C6&amp;A6,'Data Import'!$I$2:$I$1531)</f>
        <v>99.797399999999996</v>
      </c>
      <c r="E6" s="10">
        <f>INDEX('Data Import'!$AT$2:$AT$131,MATCH(A6&amp;"-"&amp;B6,'Data Import'!$AU$2:$AU$131,0))</f>
        <v>10</v>
      </c>
      <c r="F6" s="10" t="str">
        <f>INDEX('Data Import'!$O$2:$O$11,E6)</f>
        <v>paul</v>
      </c>
      <c r="G6" s="13">
        <f ca="1">SUMIF('Data Import'!$K$2:$K$1701,F6&amp;A6,'Data Import'!$I$2:$I$1531)</f>
        <v>94.072500000000005</v>
      </c>
      <c r="H6" s="14">
        <f>INDEX('Data Import'!$P$15:$W$24,B6,A6)</f>
        <v>0.58521999999999996</v>
      </c>
      <c r="I6" s="10"/>
      <c r="J6" s="7" t="str">
        <f t="shared" si="0"/>
        <v>Wk 4 - paul</v>
      </c>
      <c r="K6" s="8" t="str">
        <f t="shared" ca="1" si="1"/>
        <v>99.8 - 94.1</v>
      </c>
      <c r="L6" s="9">
        <f t="shared" si="2"/>
        <v>0.58521999999999996</v>
      </c>
      <c r="M6" s="10"/>
      <c r="N6" s="10">
        <f t="shared" si="20"/>
        <v>4</v>
      </c>
      <c r="O6" s="10">
        <f t="shared" si="3"/>
        <v>3</v>
      </c>
      <c r="P6" s="10" t="str">
        <f>INDEX('Data Import'!$O$2:$O$11,O6)</f>
        <v>breanna</v>
      </c>
      <c r="Q6" s="13">
        <f ca="1">SUMIF('Data Import'!$K$2:$K$1701,P6&amp;N6,'Data Import'!$I$2:$I$1531)</f>
        <v>96.381</v>
      </c>
      <c r="R6" s="10">
        <f>INDEX('Data Import'!$AT$2:$AT$131,MATCH(N6&amp;"-"&amp;O6,'Data Import'!$AU$2:$AU$131,0))</f>
        <v>4</v>
      </c>
      <c r="S6" s="10" t="str">
        <f>INDEX('Data Import'!$O$2:$O$11,R6)</f>
        <v>joseph</v>
      </c>
      <c r="T6" s="13">
        <f ca="1">SUMIF('Data Import'!$K$2:$K$1701,S6&amp;N6,'Data Import'!$I$2:$I$1531)</f>
        <v>103.42289999999998</v>
      </c>
      <c r="U6" s="14">
        <f>INDEX('Data Import'!$P$15:$W$24,O6,N6)</f>
        <v>0.38590000000000002</v>
      </c>
      <c r="V6" s="10"/>
      <c r="W6" s="7" t="str">
        <f t="shared" si="4"/>
        <v>Wk 4 - joseph</v>
      </c>
      <c r="X6" s="8" t="str">
        <f t="shared" ca="1" si="5"/>
        <v>96.4 - 103.4</v>
      </c>
      <c r="Y6" s="9">
        <f t="shared" si="6"/>
        <v>0.38590000000000002</v>
      </c>
      <c r="Z6" s="10"/>
      <c r="AA6" s="10">
        <f t="shared" si="21"/>
        <v>4</v>
      </c>
      <c r="AB6" s="10">
        <f t="shared" si="7"/>
        <v>5</v>
      </c>
      <c r="AC6" s="10" t="str">
        <f>INDEX('Data Import'!$O$2:$O$11,AB6)</f>
        <v>alyssa</v>
      </c>
      <c r="AD6" s="13">
        <f ca="1">SUMIF('Data Import'!$K$2:$K$1701,AC6&amp;AA6,'Data Import'!$I$2:$I$1531)</f>
        <v>100.9349</v>
      </c>
      <c r="AE6" s="10">
        <f>INDEX('Data Import'!$AT$2:$AT$131,MATCH(AA6&amp;"-"&amp;AB6,'Data Import'!$AU$2:$AU$131,0))</f>
        <v>2</v>
      </c>
      <c r="AF6" s="10" t="str">
        <f>INDEX('Data Import'!$O$2:$O$11,AE6)</f>
        <v>jake</v>
      </c>
      <c r="AG6" s="13">
        <f ca="1">SUMIF('Data Import'!$K$2:$K$1701,AF6&amp;AA6,'Data Import'!$I$2:$I$1531)</f>
        <v>96.797200000000004</v>
      </c>
      <c r="AH6" s="14">
        <f>INDEX('Data Import'!$P$15:$W$24,AB6,AA6)</f>
        <v>0.55901999999999996</v>
      </c>
      <c r="AI6" s="10"/>
      <c r="AJ6" s="7" t="str">
        <f t="shared" si="8"/>
        <v>Wk 4 - jake</v>
      </c>
      <c r="AK6" s="8" t="str">
        <f t="shared" ca="1" si="9"/>
        <v>100.9 - 96.8</v>
      </c>
      <c r="AL6" s="9">
        <f t="shared" si="10"/>
        <v>0.55901999999999996</v>
      </c>
      <c r="AM6" s="10"/>
      <c r="AN6" s="10">
        <f t="shared" si="22"/>
        <v>4</v>
      </c>
      <c r="AO6" s="10">
        <f t="shared" si="11"/>
        <v>7</v>
      </c>
      <c r="AP6" s="10" t="str">
        <f>INDEX('Data Import'!$O$2:$O$11,AO6)</f>
        <v>jordan</v>
      </c>
      <c r="AQ6" s="13">
        <f ca="1">SUMIF('Data Import'!$K$2:$K$1701,AP6&amp;AN6,'Data Import'!$I$2:$I$1531)</f>
        <v>99.573900000000009</v>
      </c>
      <c r="AR6" s="10">
        <f>INDEX('Data Import'!$AT$2:$AT$131,MATCH(AN6&amp;"-"&amp;AO6,'Data Import'!$AU$2:$AU$131,0))</f>
        <v>8</v>
      </c>
      <c r="AS6" s="10" t="str">
        <f>INDEX('Data Import'!$O$2:$O$11,AR6)</f>
        <v>alex</v>
      </c>
      <c r="AT6" s="13">
        <f ca="1">SUMIF('Data Import'!$K$2:$K$1701,AS6&amp;AN6,'Data Import'!$I$2:$I$1531)</f>
        <v>106.0779</v>
      </c>
      <c r="AU6" s="14">
        <f>INDEX('Data Import'!$P$15:$W$24,AO6,AN6)</f>
        <v>0.41487000000000002</v>
      </c>
      <c r="AV6" s="10"/>
      <c r="AW6" s="7" t="str">
        <f t="shared" si="12"/>
        <v>Wk 4 - alex</v>
      </c>
      <c r="AX6" s="8" t="str">
        <f t="shared" ca="1" si="13"/>
        <v>99.6 - 106.1</v>
      </c>
      <c r="AY6" s="9">
        <f t="shared" si="14"/>
        <v>0.41487000000000002</v>
      </c>
      <c r="AZ6" s="10"/>
      <c r="BA6" s="10">
        <f t="shared" si="23"/>
        <v>4</v>
      </c>
      <c r="BB6" s="10">
        <f t="shared" si="15"/>
        <v>9</v>
      </c>
      <c r="BC6" s="10" t="str">
        <f>INDEX('Data Import'!$O$2:$O$11,BB6)</f>
        <v>colin</v>
      </c>
      <c r="BD6" s="13">
        <f ca="1">SUMIF('Data Import'!$K$2:$K$1701,BC6&amp;BA6,'Data Import'!$I$2:$I$1531)</f>
        <v>90.526399999999995</v>
      </c>
      <c r="BE6" s="10">
        <f>INDEX('Data Import'!$AT$2:$AT$131,MATCH(BA6&amp;"-"&amp;BB6,'Data Import'!$AU$2:$AU$131,0))</f>
        <v>6</v>
      </c>
      <c r="BF6" s="10" t="str">
        <f>INDEX('Data Import'!$O$2:$O$11,BE6)</f>
        <v>chris</v>
      </c>
      <c r="BG6" s="13">
        <f ca="1">SUMIF('Data Import'!$K$2:$K$1701,BF6&amp;BA6,'Data Import'!$I$2:$I$1531)</f>
        <v>92.487799999999993</v>
      </c>
      <c r="BH6" s="14">
        <f>INDEX('Data Import'!$P$15:$W$24,BB6,BA6)</f>
        <v>0.47398000000000001</v>
      </c>
      <c r="BI6" s="10"/>
      <c r="BJ6" s="7" t="str">
        <f t="shared" si="16"/>
        <v>Wk 4 - chris</v>
      </c>
      <c r="BK6" s="8" t="str">
        <f t="shared" ca="1" si="17"/>
        <v>90.5 - 92.5</v>
      </c>
      <c r="BL6" s="9">
        <f t="shared" si="18"/>
        <v>0.47398000000000001</v>
      </c>
      <c r="BM6" s="10"/>
    </row>
    <row r="7" spans="1:65" x14ac:dyDescent="0.25">
      <c r="A7" s="10">
        <f t="shared" si="19"/>
        <v>5</v>
      </c>
      <c r="B7" s="10">
        <v>1</v>
      </c>
      <c r="C7" s="10" t="str">
        <f>INDEX('Data Import'!$O$2:$O$11,B7)</f>
        <v>andrew</v>
      </c>
      <c r="D7" s="13">
        <f ca="1">SUMIF('Data Import'!$K$2:$K$1701,C7&amp;A7,'Data Import'!$I$2:$I$1531)</f>
        <v>101.67399999999999</v>
      </c>
      <c r="E7" s="10">
        <f>INDEX('Data Import'!$AT$2:$AT$131,MATCH(A7&amp;"-"&amp;B7,'Data Import'!$AU$2:$AU$131,0))</f>
        <v>4</v>
      </c>
      <c r="F7" s="10" t="str">
        <f>INDEX('Data Import'!$O$2:$O$11,E7)</f>
        <v>joseph</v>
      </c>
      <c r="G7" s="13">
        <f ca="1">SUMIF('Data Import'!$K$2:$K$1701,F7&amp;A7,'Data Import'!$I$2:$I$1531)</f>
        <v>97.888000000000005</v>
      </c>
      <c r="H7" s="14">
        <f>INDEX('Data Import'!$P$15:$W$24,B7,A7)</f>
        <v>0.54783999999999999</v>
      </c>
      <c r="I7" s="10"/>
      <c r="J7" s="7" t="str">
        <f t="shared" si="0"/>
        <v>Wk 5 - joseph</v>
      </c>
      <c r="K7" s="8" t="str">
        <f t="shared" ca="1" si="1"/>
        <v>101.7 - 97.9</v>
      </c>
      <c r="L7" s="9">
        <f t="shared" si="2"/>
        <v>0.54783999999999999</v>
      </c>
      <c r="M7" s="10"/>
      <c r="N7" s="10">
        <f t="shared" si="20"/>
        <v>5</v>
      </c>
      <c r="O7" s="10">
        <f t="shared" si="3"/>
        <v>3</v>
      </c>
      <c r="P7" s="10" t="str">
        <f>INDEX('Data Import'!$O$2:$O$11,O7)</f>
        <v>breanna</v>
      </c>
      <c r="Q7" s="13">
        <f ca="1">SUMIF('Data Import'!$K$2:$K$1701,P7&amp;N7,'Data Import'!$I$2:$I$1531)</f>
        <v>97.439800000000005</v>
      </c>
      <c r="R7" s="10">
        <f>INDEX('Data Import'!$AT$2:$AT$131,MATCH(N7&amp;"-"&amp;O7,'Data Import'!$AU$2:$AU$131,0))</f>
        <v>5</v>
      </c>
      <c r="S7" s="10" t="str">
        <f>INDEX('Data Import'!$O$2:$O$11,R7)</f>
        <v>alyssa</v>
      </c>
      <c r="T7" s="13">
        <f ca="1">SUMIF('Data Import'!$K$2:$K$1701,S7&amp;N7,'Data Import'!$I$2:$I$1531)</f>
        <v>100.6617</v>
      </c>
      <c r="U7" s="14">
        <f>INDEX('Data Import'!$P$15:$W$24,O7,N7)</f>
        <v>0.45078000000000001</v>
      </c>
      <c r="V7" s="10"/>
      <c r="W7" s="7" t="str">
        <f t="shared" si="4"/>
        <v>Wk 5 - alyssa</v>
      </c>
      <c r="X7" s="8" t="str">
        <f t="shared" ca="1" si="5"/>
        <v>97.4 - 100.7</v>
      </c>
      <c r="Y7" s="9">
        <f t="shared" si="6"/>
        <v>0.45078000000000001</v>
      </c>
      <c r="Z7" s="10"/>
      <c r="AA7" s="10">
        <f t="shared" si="21"/>
        <v>5</v>
      </c>
      <c r="AB7" s="10">
        <f t="shared" si="7"/>
        <v>5</v>
      </c>
      <c r="AC7" s="10" t="str">
        <f>INDEX('Data Import'!$O$2:$O$11,AB7)</f>
        <v>alyssa</v>
      </c>
      <c r="AD7" s="13">
        <f ca="1">SUMIF('Data Import'!$K$2:$K$1701,AC7&amp;AA7,'Data Import'!$I$2:$I$1531)</f>
        <v>100.6617</v>
      </c>
      <c r="AE7" s="10">
        <f>INDEX('Data Import'!$AT$2:$AT$131,MATCH(AA7&amp;"-"&amp;AB7,'Data Import'!$AU$2:$AU$131,0))</f>
        <v>3</v>
      </c>
      <c r="AF7" s="10" t="str">
        <f>INDEX('Data Import'!$O$2:$O$11,AE7)</f>
        <v>breanna</v>
      </c>
      <c r="AG7" s="13">
        <f ca="1">SUMIF('Data Import'!$K$2:$K$1701,AF7&amp;AA7,'Data Import'!$I$2:$I$1531)</f>
        <v>97.439800000000005</v>
      </c>
      <c r="AH7" s="14">
        <f>INDEX('Data Import'!$P$15:$W$24,AB7,AA7)</f>
        <v>0.54922000000000004</v>
      </c>
      <c r="AI7" s="10"/>
      <c r="AJ7" s="7" t="str">
        <f t="shared" si="8"/>
        <v>Wk 5 - breanna</v>
      </c>
      <c r="AK7" s="8" t="str">
        <f t="shared" ca="1" si="9"/>
        <v>100.7 - 97.4</v>
      </c>
      <c r="AL7" s="9">
        <f t="shared" si="10"/>
        <v>0.54922000000000004</v>
      </c>
      <c r="AM7" s="10"/>
      <c r="AN7" s="10">
        <f t="shared" si="22"/>
        <v>5</v>
      </c>
      <c r="AO7" s="10">
        <f t="shared" si="11"/>
        <v>7</v>
      </c>
      <c r="AP7" s="10" t="str">
        <f>INDEX('Data Import'!$O$2:$O$11,AO7)</f>
        <v>jordan</v>
      </c>
      <c r="AQ7" s="13">
        <f ca="1">SUMIF('Data Import'!$K$2:$K$1701,AP7&amp;AN7,'Data Import'!$I$2:$I$1531)</f>
        <v>107.06309999999999</v>
      </c>
      <c r="AR7" s="10">
        <f>INDEX('Data Import'!$AT$2:$AT$131,MATCH(AN7&amp;"-"&amp;AO7,'Data Import'!$AU$2:$AU$131,0))</f>
        <v>9</v>
      </c>
      <c r="AS7" s="10" t="str">
        <f>INDEX('Data Import'!$O$2:$O$11,AR7)</f>
        <v>colin</v>
      </c>
      <c r="AT7" s="13">
        <f ca="1">SUMIF('Data Import'!$K$2:$K$1701,AS7&amp;AN7,'Data Import'!$I$2:$I$1531)</f>
        <v>90.247</v>
      </c>
      <c r="AU7" s="14">
        <f>INDEX('Data Import'!$P$15:$W$24,AO7,AN7)</f>
        <v>0.73295999999999994</v>
      </c>
      <c r="AV7" s="10"/>
      <c r="AW7" s="7" t="str">
        <f t="shared" si="12"/>
        <v>Wk 5 - colin</v>
      </c>
      <c r="AX7" s="8" t="str">
        <f t="shared" ca="1" si="13"/>
        <v>107.1 - 90.2</v>
      </c>
      <c r="AY7" s="9">
        <f t="shared" si="14"/>
        <v>0.73295999999999994</v>
      </c>
      <c r="AZ7" s="10"/>
      <c r="BA7" s="10">
        <f t="shared" si="23"/>
        <v>5</v>
      </c>
      <c r="BB7" s="10">
        <f t="shared" si="15"/>
        <v>9</v>
      </c>
      <c r="BC7" s="10" t="str">
        <f>INDEX('Data Import'!$O$2:$O$11,BB7)</f>
        <v>colin</v>
      </c>
      <c r="BD7" s="13">
        <f ca="1">SUMIF('Data Import'!$K$2:$K$1701,BC7&amp;BA7,'Data Import'!$I$2:$I$1531)</f>
        <v>90.247</v>
      </c>
      <c r="BE7" s="10">
        <f>INDEX('Data Import'!$AT$2:$AT$131,MATCH(BA7&amp;"-"&amp;BB7,'Data Import'!$AU$2:$AU$131,0))</f>
        <v>7</v>
      </c>
      <c r="BF7" s="10" t="str">
        <f>INDEX('Data Import'!$O$2:$O$11,BE7)</f>
        <v>jordan</v>
      </c>
      <c r="BG7" s="13">
        <f ca="1">SUMIF('Data Import'!$K$2:$K$1701,BF7&amp;BA7,'Data Import'!$I$2:$I$1531)</f>
        <v>107.06309999999999</v>
      </c>
      <c r="BH7" s="14">
        <f>INDEX('Data Import'!$P$15:$W$24,BB7,BA7)</f>
        <v>0.26704</v>
      </c>
      <c r="BI7" s="10"/>
      <c r="BJ7" s="7" t="str">
        <f t="shared" si="16"/>
        <v>Wk 5 - jordan</v>
      </c>
      <c r="BK7" s="8" t="str">
        <f t="shared" ca="1" si="17"/>
        <v>90.2 - 107.1</v>
      </c>
      <c r="BL7" s="9">
        <f t="shared" si="18"/>
        <v>0.26704</v>
      </c>
      <c r="BM7" s="10"/>
    </row>
    <row r="8" spans="1:65" x14ac:dyDescent="0.25">
      <c r="A8" s="10">
        <f t="shared" si="19"/>
        <v>6</v>
      </c>
      <c r="B8" s="10">
        <v>1</v>
      </c>
      <c r="C8" s="10" t="str">
        <f>INDEX('Data Import'!$O$2:$O$11,B8)</f>
        <v>andrew</v>
      </c>
      <c r="D8" s="13">
        <f ca="1">SUMIF('Data Import'!$K$2:$K$1701,C8&amp;A8,'Data Import'!$I$2:$I$1531)</f>
        <v>109.79199999999999</v>
      </c>
      <c r="E8" s="10">
        <f>INDEX('Data Import'!$AT$2:$AT$131,MATCH(A8&amp;"-"&amp;B8,'Data Import'!$AU$2:$AU$131,0))</f>
        <v>9</v>
      </c>
      <c r="F8" s="10" t="str">
        <f>INDEX('Data Import'!$O$2:$O$11,E8)</f>
        <v>colin</v>
      </c>
      <c r="G8" s="13">
        <f ca="1">SUMIF('Data Import'!$K$2:$K$1701,F8&amp;A8,'Data Import'!$I$2:$I$1531)</f>
        <v>82.197399999999988</v>
      </c>
      <c r="H8" s="14">
        <f>INDEX('Data Import'!$P$15:$W$24,B8,A8)</f>
        <v>0.86439999999999995</v>
      </c>
      <c r="I8" s="10"/>
      <c r="J8" s="7" t="str">
        <f t="shared" si="0"/>
        <v>Wk 6 - colin</v>
      </c>
      <c r="K8" s="8" t="str">
        <f t="shared" ca="1" si="1"/>
        <v>109.8 - 82.2</v>
      </c>
      <c r="L8" s="9">
        <f t="shared" si="2"/>
        <v>0.86439999999999995</v>
      </c>
      <c r="M8" s="10"/>
      <c r="N8" s="10">
        <f t="shared" si="20"/>
        <v>6</v>
      </c>
      <c r="O8" s="10">
        <f t="shared" si="3"/>
        <v>3</v>
      </c>
      <c r="P8" s="10" t="str">
        <f>INDEX('Data Import'!$O$2:$O$11,O8)</f>
        <v>breanna</v>
      </c>
      <c r="Q8" s="13">
        <f ca="1">SUMIF('Data Import'!$K$2:$K$1701,P8&amp;N8,'Data Import'!$I$2:$I$1531)</f>
        <v>91.622399999999999</v>
      </c>
      <c r="R8" s="10">
        <f>INDEX('Data Import'!$AT$2:$AT$131,MATCH(N8&amp;"-"&amp;O8,'Data Import'!$AU$2:$AU$131,0))</f>
        <v>8</v>
      </c>
      <c r="S8" s="10" t="str">
        <f>INDEX('Data Import'!$O$2:$O$11,R8)</f>
        <v>alex</v>
      </c>
      <c r="T8" s="13">
        <f ca="1">SUMIF('Data Import'!$K$2:$K$1701,S8&amp;N8,'Data Import'!$I$2:$I$1531)</f>
        <v>108.41860000000001</v>
      </c>
      <c r="U8" s="14">
        <f>INDEX('Data Import'!$P$15:$W$24,O8,N8)</f>
        <v>0.27993000000000001</v>
      </c>
      <c r="V8" s="10"/>
      <c r="W8" s="7" t="str">
        <f t="shared" si="4"/>
        <v>Wk 6 - alex</v>
      </c>
      <c r="X8" s="8" t="str">
        <f t="shared" ca="1" si="5"/>
        <v>91.6 - 108.4</v>
      </c>
      <c r="Y8" s="9">
        <f t="shared" si="6"/>
        <v>0.27993000000000001</v>
      </c>
      <c r="Z8" s="10"/>
      <c r="AA8" s="10">
        <f t="shared" si="21"/>
        <v>6</v>
      </c>
      <c r="AB8" s="10">
        <f t="shared" si="7"/>
        <v>5</v>
      </c>
      <c r="AC8" s="10" t="str">
        <f>INDEX('Data Import'!$O$2:$O$11,AB8)</f>
        <v>alyssa</v>
      </c>
      <c r="AD8" s="13">
        <f ca="1">SUMIF('Data Import'!$K$2:$K$1701,AC8&amp;AA8,'Data Import'!$I$2:$I$1531)</f>
        <v>100.57899999999999</v>
      </c>
      <c r="AE8" s="10">
        <f>INDEX('Data Import'!$AT$2:$AT$131,MATCH(AA8&amp;"-"&amp;AB8,'Data Import'!$AU$2:$AU$131,0))</f>
        <v>7</v>
      </c>
      <c r="AF8" s="10" t="str">
        <f>INDEX('Data Import'!$O$2:$O$11,AE8)</f>
        <v>jordan</v>
      </c>
      <c r="AG8" s="13">
        <f ca="1">SUMIF('Data Import'!$K$2:$K$1701,AF8&amp;AA8,'Data Import'!$I$2:$I$1531)</f>
        <v>99.735500000000002</v>
      </c>
      <c r="AH8" s="14">
        <f>INDEX('Data Import'!$P$15:$W$24,AB8,AA8)</f>
        <v>0.51627000000000001</v>
      </c>
      <c r="AI8" s="10"/>
      <c r="AJ8" s="7" t="str">
        <f t="shared" si="8"/>
        <v>Wk 6 - jordan</v>
      </c>
      <c r="AK8" s="8" t="str">
        <f t="shared" ca="1" si="9"/>
        <v>100.6 - 99.7</v>
      </c>
      <c r="AL8" s="9">
        <f t="shared" si="10"/>
        <v>0.51627000000000001</v>
      </c>
      <c r="AM8" s="10"/>
      <c r="AN8" s="10">
        <f t="shared" si="22"/>
        <v>6</v>
      </c>
      <c r="AO8" s="10">
        <f t="shared" si="11"/>
        <v>7</v>
      </c>
      <c r="AP8" s="10" t="str">
        <f>INDEX('Data Import'!$O$2:$O$11,AO8)</f>
        <v>jordan</v>
      </c>
      <c r="AQ8" s="13">
        <f ca="1">SUMIF('Data Import'!$K$2:$K$1701,AP8&amp;AN8,'Data Import'!$I$2:$I$1531)</f>
        <v>99.735500000000002</v>
      </c>
      <c r="AR8" s="10">
        <f>INDEX('Data Import'!$AT$2:$AT$131,MATCH(AN8&amp;"-"&amp;AO8,'Data Import'!$AU$2:$AU$131,0))</f>
        <v>5</v>
      </c>
      <c r="AS8" s="10" t="str">
        <f>INDEX('Data Import'!$O$2:$O$11,AR8)</f>
        <v>alyssa</v>
      </c>
      <c r="AT8" s="13">
        <f ca="1">SUMIF('Data Import'!$K$2:$K$1701,AS8&amp;AN8,'Data Import'!$I$2:$I$1531)</f>
        <v>100.57899999999999</v>
      </c>
      <c r="AU8" s="14">
        <f>INDEX('Data Import'!$P$15:$W$24,AO8,AN8)</f>
        <v>0.48372999999999999</v>
      </c>
      <c r="AV8" s="10"/>
      <c r="AW8" s="7" t="str">
        <f t="shared" si="12"/>
        <v>Wk 6 - alyssa</v>
      </c>
      <c r="AX8" s="8" t="str">
        <f t="shared" ca="1" si="13"/>
        <v>99.7 - 100.6</v>
      </c>
      <c r="AY8" s="9">
        <f t="shared" si="14"/>
        <v>0.48372999999999999</v>
      </c>
      <c r="AZ8" s="10"/>
      <c r="BA8" s="10">
        <f t="shared" si="23"/>
        <v>6</v>
      </c>
      <c r="BB8" s="10">
        <f t="shared" si="15"/>
        <v>9</v>
      </c>
      <c r="BC8" s="10" t="str">
        <f>INDEX('Data Import'!$O$2:$O$11,BB8)</f>
        <v>colin</v>
      </c>
      <c r="BD8" s="13">
        <f ca="1">SUMIF('Data Import'!$K$2:$K$1701,BC8&amp;BA8,'Data Import'!$I$2:$I$1531)</f>
        <v>82.197399999999988</v>
      </c>
      <c r="BE8" s="10">
        <f>INDEX('Data Import'!$AT$2:$AT$131,MATCH(BA8&amp;"-"&amp;BB8,'Data Import'!$AU$2:$AU$131,0))</f>
        <v>1</v>
      </c>
      <c r="BF8" s="10" t="str">
        <f>INDEX('Data Import'!$O$2:$O$11,BE8)</f>
        <v>andrew</v>
      </c>
      <c r="BG8" s="13">
        <f ca="1">SUMIF('Data Import'!$K$2:$K$1701,BF8&amp;BA8,'Data Import'!$I$2:$I$1531)</f>
        <v>109.79199999999999</v>
      </c>
      <c r="BH8" s="14">
        <f>INDEX('Data Import'!$P$15:$W$24,BB8,BA8)</f>
        <v>0.1356</v>
      </c>
      <c r="BI8" s="10"/>
      <c r="BJ8" s="7" t="str">
        <f t="shared" si="16"/>
        <v>Wk 6 - andrew</v>
      </c>
      <c r="BK8" s="8" t="str">
        <f t="shared" ca="1" si="17"/>
        <v>82.2 - 109.8</v>
      </c>
      <c r="BL8" s="9">
        <f t="shared" si="18"/>
        <v>0.1356</v>
      </c>
      <c r="BM8" s="10"/>
    </row>
    <row r="9" spans="1:65" x14ac:dyDescent="0.25">
      <c r="A9" s="10">
        <f t="shared" si="19"/>
        <v>7</v>
      </c>
      <c r="B9" s="10">
        <v>1</v>
      </c>
      <c r="C9" s="10" t="str">
        <f>INDEX('Data Import'!$O$2:$O$11,B9)</f>
        <v>andrew</v>
      </c>
      <c r="D9" s="13">
        <f ca="1">SUMIF('Data Import'!$K$2:$K$1701,C9&amp;A9,'Data Import'!$I$2:$I$1531)</f>
        <v>85.660799999999995</v>
      </c>
      <c r="E9" s="10">
        <f>INDEX('Data Import'!$AT$2:$AT$131,MATCH(A9&amp;"-"&amp;B9,'Data Import'!$AU$2:$AU$131,0))</f>
        <v>7</v>
      </c>
      <c r="F9" s="10" t="str">
        <f>INDEX('Data Import'!$O$2:$O$11,E9)</f>
        <v>jordan</v>
      </c>
      <c r="G9" s="13">
        <f ca="1">SUMIF('Data Import'!$K$2:$K$1701,F9&amp;A9,'Data Import'!$I$2:$I$1531)</f>
        <v>104.60869999999998</v>
      </c>
      <c r="H9" s="14">
        <f>INDEX('Data Import'!$P$15:$W$24,B9,A9)</f>
        <v>0.23463999999999999</v>
      </c>
      <c r="I9" s="10"/>
      <c r="J9" s="7" t="str">
        <f t="shared" si="0"/>
        <v>Wk 7 - jordan</v>
      </c>
      <c r="K9" s="8" t="str">
        <f t="shared" ca="1" si="1"/>
        <v>85.7 - 104.6</v>
      </c>
      <c r="L9" s="9">
        <f t="shared" si="2"/>
        <v>0.23463999999999999</v>
      </c>
      <c r="M9" s="10"/>
      <c r="N9" s="10">
        <f t="shared" si="20"/>
        <v>7</v>
      </c>
      <c r="O9" s="10">
        <f t="shared" si="3"/>
        <v>3</v>
      </c>
      <c r="P9" s="10" t="str">
        <f>INDEX('Data Import'!$O$2:$O$11,O9)</f>
        <v>breanna</v>
      </c>
      <c r="Q9" s="13">
        <f ca="1">SUMIF('Data Import'!$K$2:$K$1701,P9&amp;N9,'Data Import'!$I$2:$I$1531)</f>
        <v>91.36099999999999</v>
      </c>
      <c r="R9" s="10">
        <f>INDEX('Data Import'!$AT$2:$AT$131,MATCH(N9&amp;"-"&amp;O9,'Data Import'!$AU$2:$AU$131,0))</f>
        <v>6</v>
      </c>
      <c r="S9" s="10" t="str">
        <f>INDEX('Data Import'!$O$2:$O$11,R9)</f>
        <v>chris</v>
      </c>
      <c r="T9" s="13">
        <f ca="1">SUMIF('Data Import'!$K$2:$K$1701,S9&amp;N9,'Data Import'!$I$2:$I$1531)</f>
        <v>89.7697</v>
      </c>
      <c r="U9" s="14">
        <f>INDEX('Data Import'!$P$15:$W$24,O9,N9)</f>
        <v>0.53425</v>
      </c>
      <c r="V9" s="10"/>
      <c r="W9" s="7" t="str">
        <f t="shared" si="4"/>
        <v>Wk 7 - chris</v>
      </c>
      <c r="X9" s="8" t="str">
        <f t="shared" ca="1" si="5"/>
        <v>91.4 - 89.8</v>
      </c>
      <c r="Y9" s="9">
        <f t="shared" si="6"/>
        <v>0.53425</v>
      </c>
      <c r="Z9" s="10"/>
      <c r="AA9" s="10">
        <f t="shared" si="21"/>
        <v>7</v>
      </c>
      <c r="AB9" s="10">
        <f t="shared" si="7"/>
        <v>5</v>
      </c>
      <c r="AC9" s="10" t="str">
        <f>INDEX('Data Import'!$O$2:$O$11,AB9)</f>
        <v>alyssa</v>
      </c>
      <c r="AD9" s="13">
        <f ca="1">SUMIF('Data Import'!$K$2:$K$1701,AC9&amp;AA9,'Data Import'!$I$2:$I$1531)</f>
        <v>99.743800000000007</v>
      </c>
      <c r="AE9" s="10">
        <f>INDEX('Data Import'!$AT$2:$AT$131,MATCH(AA9&amp;"-"&amp;AB9,'Data Import'!$AU$2:$AU$131,0))</f>
        <v>8</v>
      </c>
      <c r="AF9" s="10" t="str">
        <f>INDEX('Data Import'!$O$2:$O$11,AE9)</f>
        <v>alex</v>
      </c>
      <c r="AG9" s="13">
        <f ca="1">SUMIF('Data Import'!$K$2:$K$1701,AF9&amp;AA9,'Data Import'!$I$2:$I$1531)</f>
        <v>100.40809999999999</v>
      </c>
      <c r="AH9" s="14">
        <f>INDEX('Data Import'!$P$15:$W$24,AB9,AA9)</f>
        <v>0.49084</v>
      </c>
      <c r="AI9" s="10"/>
      <c r="AJ9" s="7" t="str">
        <f t="shared" si="8"/>
        <v>Wk 7 - alex</v>
      </c>
      <c r="AK9" s="8" t="str">
        <f t="shared" ca="1" si="9"/>
        <v>99.7 - 100.4</v>
      </c>
      <c r="AL9" s="9">
        <f t="shared" si="10"/>
        <v>0.49084</v>
      </c>
      <c r="AM9" s="10"/>
      <c r="AN9" s="10">
        <f t="shared" si="22"/>
        <v>7</v>
      </c>
      <c r="AO9" s="10">
        <f t="shared" si="11"/>
        <v>7</v>
      </c>
      <c r="AP9" s="10" t="str">
        <f>INDEX('Data Import'!$O$2:$O$11,AO9)</f>
        <v>jordan</v>
      </c>
      <c r="AQ9" s="13">
        <f ca="1">SUMIF('Data Import'!$K$2:$K$1701,AP9&amp;AN9,'Data Import'!$I$2:$I$1531)</f>
        <v>104.60869999999998</v>
      </c>
      <c r="AR9" s="10">
        <f>INDEX('Data Import'!$AT$2:$AT$131,MATCH(AN9&amp;"-"&amp;AO9,'Data Import'!$AU$2:$AU$131,0))</f>
        <v>1</v>
      </c>
      <c r="AS9" s="10" t="str">
        <f>INDEX('Data Import'!$O$2:$O$11,AR9)</f>
        <v>andrew</v>
      </c>
      <c r="AT9" s="13">
        <f ca="1">SUMIF('Data Import'!$K$2:$K$1701,AS9&amp;AN9,'Data Import'!$I$2:$I$1531)</f>
        <v>85.660799999999995</v>
      </c>
      <c r="AU9" s="14">
        <f>INDEX('Data Import'!$P$15:$W$24,AO9,AN9)</f>
        <v>0.76536000000000004</v>
      </c>
      <c r="AV9" s="10"/>
      <c r="AW9" s="7" t="str">
        <f t="shared" si="12"/>
        <v>Wk 7 - andrew</v>
      </c>
      <c r="AX9" s="8" t="str">
        <f t="shared" ca="1" si="13"/>
        <v>104.6 - 85.7</v>
      </c>
      <c r="AY9" s="9">
        <f t="shared" si="14"/>
        <v>0.76536000000000004</v>
      </c>
      <c r="AZ9" s="10"/>
      <c r="BA9" s="10">
        <f t="shared" si="23"/>
        <v>7</v>
      </c>
      <c r="BB9" s="10">
        <f t="shared" si="15"/>
        <v>9</v>
      </c>
      <c r="BC9" s="10" t="str">
        <f>INDEX('Data Import'!$O$2:$O$11,BB9)</f>
        <v>colin</v>
      </c>
      <c r="BD9" s="13">
        <f ca="1">SUMIF('Data Import'!$K$2:$K$1701,BC9&amp;BA9,'Data Import'!$I$2:$I$1531)</f>
        <v>90.000599999999991</v>
      </c>
      <c r="BE9" s="10">
        <f>INDEX('Data Import'!$AT$2:$AT$131,MATCH(BA9&amp;"-"&amp;BB9,'Data Import'!$AU$2:$AU$131,0))</f>
        <v>2</v>
      </c>
      <c r="BF9" s="10" t="str">
        <f>INDEX('Data Import'!$O$2:$O$11,BE9)</f>
        <v>jake</v>
      </c>
      <c r="BG9" s="13">
        <f ca="1">SUMIF('Data Import'!$K$2:$K$1701,BF9&amp;BA9,'Data Import'!$I$2:$I$1531)</f>
        <v>101.63040000000001</v>
      </c>
      <c r="BH9" s="14">
        <f>INDEX('Data Import'!$P$15:$W$24,BB9,BA9)</f>
        <v>0.31370999999999999</v>
      </c>
      <c r="BI9" s="10"/>
      <c r="BJ9" s="7" t="str">
        <f t="shared" si="16"/>
        <v>Wk 7 - jake</v>
      </c>
      <c r="BK9" s="8" t="str">
        <f t="shared" ca="1" si="17"/>
        <v>90.0 - 101.6</v>
      </c>
      <c r="BL9" s="9">
        <f t="shared" si="18"/>
        <v>0.31370999999999999</v>
      </c>
      <c r="BM9" s="10"/>
    </row>
    <row r="10" spans="1:65" x14ac:dyDescent="0.25">
      <c r="A10" s="10">
        <f t="shared" si="19"/>
        <v>8</v>
      </c>
      <c r="B10" s="10">
        <v>1</v>
      </c>
      <c r="C10" s="10" t="str">
        <f>INDEX('Data Import'!$O$2:$O$11,B10)</f>
        <v>andrew</v>
      </c>
      <c r="D10" s="13">
        <f ca="1">SUMIF('Data Import'!$K$2:$K$1701,C10&amp;A10,'Data Import'!$I$2:$I$1531)</f>
        <v>104.90860000000001</v>
      </c>
      <c r="E10" s="10">
        <f>INDEX('Data Import'!$AT$2:$AT$131,MATCH(A10&amp;"-"&amp;B10,'Data Import'!$AU$2:$AU$131,0))</f>
        <v>8</v>
      </c>
      <c r="F10" s="10" t="str">
        <f>INDEX('Data Import'!$O$2:$O$11,E10)</f>
        <v>alex</v>
      </c>
      <c r="G10" s="13">
        <f ca="1">SUMIF('Data Import'!$K$2:$K$1701,F10&amp;A10,'Data Import'!$I$2:$I$1531)</f>
        <v>101.26499999999999</v>
      </c>
      <c r="H10" s="14">
        <f>INDEX('Data Import'!$P$15:$W$24,B10,A10)</f>
        <v>0.55449999999999999</v>
      </c>
      <c r="I10" s="10"/>
      <c r="J10" s="7" t="str">
        <f t="shared" si="0"/>
        <v>Wk 8 - alex</v>
      </c>
      <c r="K10" s="8" t="str">
        <f t="shared" ca="1" si="1"/>
        <v>104.9 - 101.3</v>
      </c>
      <c r="L10" s="9">
        <f t="shared" si="2"/>
        <v>0.55449999999999999</v>
      </c>
      <c r="M10" s="10"/>
      <c r="N10" s="10">
        <f t="shared" si="20"/>
        <v>8</v>
      </c>
      <c r="O10" s="10">
        <f t="shared" si="3"/>
        <v>3</v>
      </c>
      <c r="P10" s="10" t="str">
        <f>INDEX('Data Import'!$O$2:$O$11,O10)</f>
        <v>breanna</v>
      </c>
      <c r="Q10" s="13">
        <f ca="1">SUMIF('Data Import'!$K$2:$K$1701,P10&amp;N10,'Data Import'!$I$2:$I$1531)</f>
        <v>99.287499999999994</v>
      </c>
      <c r="R10" s="10">
        <f>INDEX('Data Import'!$AT$2:$AT$131,MATCH(N10&amp;"-"&amp;O10,'Data Import'!$AU$2:$AU$131,0))</f>
        <v>10</v>
      </c>
      <c r="S10" s="10" t="str">
        <f>INDEX('Data Import'!$O$2:$O$11,R10)</f>
        <v>paul</v>
      </c>
      <c r="T10" s="13">
        <f ca="1">SUMIF('Data Import'!$K$2:$K$1701,S10&amp;N10,'Data Import'!$I$2:$I$1531)</f>
        <v>97.461499999999987</v>
      </c>
      <c r="U10" s="14">
        <f>INDEX('Data Import'!$P$15:$W$24,O10,N10)</f>
        <v>0.53907000000000005</v>
      </c>
      <c r="V10" s="10"/>
      <c r="W10" s="7" t="str">
        <f t="shared" si="4"/>
        <v>Wk 8 - paul</v>
      </c>
      <c r="X10" s="8" t="str">
        <f t="shared" ca="1" si="5"/>
        <v>99.3 - 97.5</v>
      </c>
      <c r="Y10" s="9">
        <f t="shared" si="6"/>
        <v>0.53907000000000005</v>
      </c>
      <c r="Z10" s="10"/>
      <c r="AA10" s="10">
        <f t="shared" si="21"/>
        <v>8</v>
      </c>
      <c r="AB10" s="10">
        <f t="shared" si="7"/>
        <v>5</v>
      </c>
      <c r="AC10" s="10" t="str">
        <f>INDEX('Data Import'!$O$2:$O$11,AB10)</f>
        <v>alyssa</v>
      </c>
      <c r="AD10" s="13">
        <f ca="1">SUMIF('Data Import'!$K$2:$K$1701,AC10&amp;AA10,'Data Import'!$I$2:$I$1531)</f>
        <v>90.3279</v>
      </c>
      <c r="AE10" s="10">
        <f>INDEX('Data Import'!$AT$2:$AT$131,MATCH(AA10&amp;"-"&amp;AB10,'Data Import'!$AU$2:$AU$131,0))</f>
        <v>6</v>
      </c>
      <c r="AF10" s="10" t="str">
        <f>INDEX('Data Import'!$O$2:$O$11,AE10)</f>
        <v>chris</v>
      </c>
      <c r="AG10" s="13">
        <f ca="1">SUMIF('Data Import'!$K$2:$K$1701,AF10&amp;AA10,'Data Import'!$I$2:$I$1531)</f>
        <v>82.972300000000004</v>
      </c>
      <c r="AH10" s="14">
        <f>INDEX('Data Import'!$P$15:$W$24,AB10,AA10)</f>
        <v>0.61955000000000005</v>
      </c>
      <c r="AI10" s="10"/>
      <c r="AJ10" s="7" t="str">
        <f t="shared" si="8"/>
        <v>Wk 8 - chris</v>
      </c>
      <c r="AK10" s="8" t="str">
        <f t="shared" ca="1" si="9"/>
        <v>90.3 - 83.0</v>
      </c>
      <c r="AL10" s="9">
        <f t="shared" si="10"/>
        <v>0.61955000000000005</v>
      </c>
      <c r="AM10" s="10"/>
      <c r="AN10" s="10">
        <f t="shared" si="22"/>
        <v>8</v>
      </c>
      <c r="AO10" s="10">
        <f t="shared" si="11"/>
        <v>7</v>
      </c>
      <c r="AP10" s="10" t="str">
        <f>INDEX('Data Import'!$O$2:$O$11,AO10)</f>
        <v>jordan</v>
      </c>
      <c r="AQ10" s="13">
        <f ca="1">SUMIF('Data Import'!$K$2:$K$1701,AP10&amp;AN10,'Data Import'!$I$2:$I$1531)</f>
        <v>106.0821</v>
      </c>
      <c r="AR10" s="10">
        <f>INDEX('Data Import'!$AT$2:$AT$131,MATCH(AN10&amp;"-"&amp;AO10,'Data Import'!$AU$2:$AU$131,0))</f>
        <v>2</v>
      </c>
      <c r="AS10" s="10" t="str">
        <f>INDEX('Data Import'!$O$2:$O$11,AR10)</f>
        <v>jake</v>
      </c>
      <c r="AT10" s="13">
        <f ca="1">SUMIF('Data Import'!$K$2:$K$1701,AS10&amp;AN10,'Data Import'!$I$2:$I$1531)</f>
        <v>97.111399999999989</v>
      </c>
      <c r="AU10" s="14">
        <f>INDEX('Data Import'!$P$15:$W$24,AO10,AN10)</f>
        <v>0.63856999999999997</v>
      </c>
      <c r="AV10" s="10"/>
      <c r="AW10" s="7" t="str">
        <f t="shared" si="12"/>
        <v>Wk 8 - jake</v>
      </c>
      <c r="AX10" s="8" t="str">
        <f t="shared" ca="1" si="13"/>
        <v>106.1 - 97.1</v>
      </c>
      <c r="AY10" s="9">
        <f t="shared" si="14"/>
        <v>0.63856999999999997</v>
      </c>
      <c r="AZ10" s="10"/>
      <c r="BA10" s="10">
        <f t="shared" si="23"/>
        <v>8</v>
      </c>
      <c r="BB10" s="10">
        <f t="shared" si="15"/>
        <v>9</v>
      </c>
      <c r="BC10" s="10" t="str">
        <f>INDEX('Data Import'!$O$2:$O$11,BB10)</f>
        <v>colin</v>
      </c>
      <c r="BD10" s="13">
        <f ca="1">SUMIF('Data Import'!$K$2:$K$1701,BC10&amp;BA10,'Data Import'!$I$2:$I$1531)</f>
        <v>85.216399999999993</v>
      </c>
      <c r="BE10" s="10">
        <f>INDEX('Data Import'!$AT$2:$AT$131,MATCH(BA10&amp;"-"&amp;BB10,'Data Import'!$AU$2:$AU$131,0))</f>
        <v>4</v>
      </c>
      <c r="BF10" s="10" t="str">
        <f>INDEX('Data Import'!$O$2:$O$11,BE10)</f>
        <v>joseph</v>
      </c>
      <c r="BG10" s="13">
        <f ca="1">SUMIF('Data Import'!$K$2:$K$1701,BF10&amp;BA10,'Data Import'!$I$2:$I$1531)</f>
        <v>105.9465</v>
      </c>
      <c r="BH10" s="14">
        <f>INDEX('Data Import'!$P$15:$W$24,BB10,BA10)</f>
        <v>0.20771000000000001</v>
      </c>
      <c r="BI10" s="10"/>
      <c r="BJ10" s="7" t="str">
        <f t="shared" si="16"/>
        <v>Wk 8 - joseph</v>
      </c>
      <c r="BK10" s="8" t="str">
        <f t="shared" ca="1" si="17"/>
        <v>85.2 - 105.9</v>
      </c>
      <c r="BL10" s="9">
        <f t="shared" si="18"/>
        <v>0.20771000000000001</v>
      </c>
      <c r="BM10" s="10"/>
    </row>
    <row r="11" spans="1:65" x14ac:dyDescent="0.25">
      <c r="A11" s="10">
        <f t="shared" si="19"/>
        <v>9</v>
      </c>
      <c r="B11" s="10">
        <v>1</v>
      </c>
      <c r="C11" s="10" t="str">
        <f>INDEX('Data Import'!$O$2:$O$11,B11)</f>
        <v>andrew</v>
      </c>
      <c r="D11" s="13">
        <f ca="1">SUMIF('Data Import'!$K$2:$K$1701,C11&amp;A11,'Data Import'!$I$2:$I$1531)</f>
        <v>103.6204</v>
      </c>
      <c r="E11" s="10">
        <f>INDEX('Data Import'!$AT$2:$AT$131,MATCH(A11&amp;"-"&amp;B11,'Data Import'!$AU$2:$AU$131,0))</f>
        <v>4</v>
      </c>
      <c r="F11" s="10" t="str">
        <f>INDEX('Data Import'!$O$2:$O$11,E11)</f>
        <v>joseph</v>
      </c>
      <c r="G11" s="13">
        <f ca="1">SUMIF('Data Import'!$K$2:$K$1701,F11&amp;A11,'Data Import'!$I$2:$I$1531)</f>
        <v>97.096699999999998</v>
      </c>
      <c r="H11" s="14" t="e">
        <f>INDEX('Data Import'!$P$15:$W$24,B11,A11)</f>
        <v>#REF!</v>
      </c>
      <c r="I11" s="10"/>
      <c r="J11" s="7" t="str">
        <f t="shared" si="0"/>
        <v>Wk 9 - joseph</v>
      </c>
      <c r="K11" s="8" t="str">
        <f t="shared" ca="1" si="1"/>
        <v>103.6 - 97.1</v>
      </c>
      <c r="L11" s="9" t="e">
        <f t="shared" si="2"/>
        <v>#REF!</v>
      </c>
      <c r="M11" s="10"/>
      <c r="N11" s="10">
        <f t="shared" si="20"/>
        <v>9</v>
      </c>
      <c r="O11" s="10">
        <f t="shared" si="3"/>
        <v>3</v>
      </c>
      <c r="P11" s="10" t="str">
        <f>INDEX('Data Import'!$O$2:$O$11,O11)</f>
        <v>breanna</v>
      </c>
      <c r="Q11" s="13">
        <f ca="1">SUMIF('Data Import'!$K$2:$K$1701,P11&amp;N11,'Data Import'!$I$2:$I$1531)</f>
        <v>96.595699999999994</v>
      </c>
      <c r="R11" s="10">
        <f>INDEX('Data Import'!$AT$2:$AT$131,MATCH(N11&amp;"-"&amp;O11,'Data Import'!$AU$2:$AU$131,0))</f>
        <v>5</v>
      </c>
      <c r="S11" s="10" t="str">
        <f>INDEX('Data Import'!$O$2:$O$11,R11)</f>
        <v>alyssa</v>
      </c>
      <c r="T11" s="13">
        <f ca="1">SUMIF('Data Import'!$K$2:$K$1701,S11&amp;N11,'Data Import'!$I$2:$I$1531)</f>
        <v>99.310599999999994</v>
      </c>
      <c r="U11" s="14" t="e">
        <f>INDEX('Data Import'!$P$15:$W$24,O11,N11)</f>
        <v>#REF!</v>
      </c>
      <c r="V11" s="10"/>
      <c r="W11" s="7" t="str">
        <f t="shared" si="4"/>
        <v>Wk 9 - alyssa</v>
      </c>
      <c r="X11" s="8" t="str">
        <f t="shared" ca="1" si="5"/>
        <v>96.6 - 99.3</v>
      </c>
      <c r="Y11" s="9" t="e">
        <f t="shared" si="6"/>
        <v>#REF!</v>
      </c>
      <c r="Z11" s="10"/>
      <c r="AA11" s="10">
        <f t="shared" si="21"/>
        <v>9</v>
      </c>
      <c r="AB11" s="10">
        <f t="shared" si="7"/>
        <v>5</v>
      </c>
      <c r="AC11" s="10" t="str">
        <f>INDEX('Data Import'!$O$2:$O$11,AB11)</f>
        <v>alyssa</v>
      </c>
      <c r="AD11" s="13">
        <f ca="1">SUMIF('Data Import'!$K$2:$K$1701,AC11&amp;AA11,'Data Import'!$I$2:$I$1531)</f>
        <v>99.310599999999994</v>
      </c>
      <c r="AE11" s="10">
        <f>INDEX('Data Import'!$AT$2:$AT$131,MATCH(AA11&amp;"-"&amp;AB11,'Data Import'!$AU$2:$AU$131,0))</f>
        <v>3</v>
      </c>
      <c r="AF11" s="10" t="str">
        <f>INDEX('Data Import'!$O$2:$O$11,AE11)</f>
        <v>breanna</v>
      </c>
      <c r="AG11" s="13">
        <f ca="1">SUMIF('Data Import'!$K$2:$K$1701,AF11&amp;AA11,'Data Import'!$I$2:$I$1531)</f>
        <v>96.595699999999994</v>
      </c>
      <c r="AH11" s="14" t="e">
        <f>INDEX('Data Import'!$P$15:$W$24,AB11,AA11)</f>
        <v>#REF!</v>
      </c>
      <c r="AI11" s="10"/>
      <c r="AJ11" s="7" t="str">
        <f t="shared" si="8"/>
        <v>Wk 9 - breanna</v>
      </c>
      <c r="AK11" s="8" t="str">
        <f t="shared" ca="1" si="9"/>
        <v>99.3 - 96.6</v>
      </c>
      <c r="AL11" s="9" t="e">
        <f t="shared" si="10"/>
        <v>#REF!</v>
      </c>
      <c r="AM11" s="10"/>
      <c r="AN11" s="10">
        <f t="shared" si="22"/>
        <v>9</v>
      </c>
      <c r="AO11" s="10">
        <f t="shared" si="11"/>
        <v>7</v>
      </c>
      <c r="AP11" s="10" t="str">
        <f>INDEX('Data Import'!$O$2:$O$11,AO11)</f>
        <v>jordan</v>
      </c>
      <c r="AQ11" s="13">
        <f ca="1">SUMIF('Data Import'!$K$2:$K$1701,AP11&amp;AN11,'Data Import'!$I$2:$I$1531)</f>
        <v>106.68339999999999</v>
      </c>
      <c r="AR11" s="10">
        <f>INDEX('Data Import'!$AT$2:$AT$131,MATCH(AN11&amp;"-"&amp;AO11,'Data Import'!$AU$2:$AU$131,0))</f>
        <v>6</v>
      </c>
      <c r="AS11" s="10" t="str">
        <f>INDEX('Data Import'!$O$2:$O$11,AR11)</f>
        <v>chris</v>
      </c>
      <c r="AT11" s="13">
        <f ca="1">SUMIF('Data Import'!$K$2:$K$1701,AS11&amp;AN11,'Data Import'!$I$2:$I$1531)</f>
        <v>86.725400000000008</v>
      </c>
      <c r="AU11" s="14" t="e">
        <f>INDEX('Data Import'!$P$15:$W$24,AO11,AN11)</f>
        <v>#REF!</v>
      </c>
      <c r="AV11" s="10"/>
      <c r="AW11" s="7" t="str">
        <f t="shared" si="12"/>
        <v>Wk 9 - chris</v>
      </c>
      <c r="AX11" s="8" t="str">
        <f t="shared" ca="1" si="13"/>
        <v>106.7 - 86.7</v>
      </c>
      <c r="AY11" s="9" t="e">
        <f t="shared" si="14"/>
        <v>#REF!</v>
      </c>
      <c r="AZ11" s="10"/>
      <c r="BA11" s="10">
        <f t="shared" si="23"/>
        <v>9</v>
      </c>
      <c r="BB11" s="10">
        <f t="shared" si="15"/>
        <v>9</v>
      </c>
      <c r="BC11" s="10" t="str">
        <f>INDEX('Data Import'!$O$2:$O$11,BB11)</f>
        <v>colin</v>
      </c>
      <c r="BD11" s="13">
        <f ca="1">SUMIF('Data Import'!$K$2:$K$1701,BC11&amp;BA11,'Data Import'!$I$2:$I$1531)</f>
        <v>92.375200000000007</v>
      </c>
      <c r="BE11" s="10">
        <f>INDEX('Data Import'!$AT$2:$AT$131,MATCH(BA11&amp;"-"&amp;BB11,'Data Import'!$AU$2:$AU$131,0))</f>
        <v>10</v>
      </c>
      <c r="BF11" s="10" t="str">
        <f>INDEX('Data Import'!$O$2:$O$11,BE11)</f>
        <v>paul</v>
      </c>
      <c r="BG11" s="13">
        <f ca="1">SUMIF('Data Import'!$K$2:$K$1701,BF11&amp;BA11,'Data Import'!$I$2:$I$1531)</f>
        <v>104.77250000000002</v>
      </c>
      <c r="BH11" s="14" t="e">
        <f>INDEX('Data Import'!$P$15:$W$24,BB11,BA11)</f>
        <v>#REF!</v>
      </c>
      <c r="BI11" s="10"/>
      <c r="BJ11" s="7" t="str">
        <f t="shared" si="16"/>
        <v>Wk 9 - paul</v>
      </c>
      <c r="BK11" s="8" t="str">
        <f t="shared" ca="1" si="17"/>
        <v>92.4 - 104.8</v>
      </c>
      <c r="BL11" s="9" t="e">
        <f t="shared" si="18"/>
        <v>#REF!</v>
      </c>
      <c r="BM11" s="10"/>
    </row>
    <row r="12" spans="1:65" x14ac:dyDescent="0.25">
      <c r="A12" s="10">
        <f t="shared" si="19"/>
        <v>10</v>
      </c>
      <c r="B12" s="10">
        <v>1</v>
      </c>
      <c r="C12" s="10" t="str">
        <f>INDEX('Data Import'!$O$2:$O$11,B12)</f>
        <v>andrew</v>
      </c>
      <c r="D12" s="13">
        <f ca="1">SUMIF('Data Import'!$K$2:$K$1701,C12&amp;A12,'Data Import'!$I$2:$I$1531)</f>
        <v>105.31200000000001</v>
      </c>
      <c r="E12" s="10">
        <f>INDEX('Data Import'!$AT$2:$AT$131,MATCH(A12&amp;"-"&amp;B12,'Data Import'!$AU$2:$AU$131,0))</f>
        <v>5</v>
      </c>
      <c r="F12" s="10" t="str">
        <f>INDEX('Data Import'!$O$2:$O$11,E12)</f>
        <v>alyssa</v>
      </c>
      <c r="G12" s="13">
        <f ca="1">SUMIF('Data Import'!$K$2:$K$1701,F12&amp;A12,'Data Import'!$I$2:$I$1531)</f>
        <v>95.281899999999993</v>
      </c>
      <c r="H12" s="14" t="e">
        <f>INDEX('Data Import'!$P$15:$W$24,B12,A12)</f>
        <v>#REF!</v>
      </c>
      <c r="I12" s="10"/>
      <c r="J12" s="7" t="str">
        <f t="shared" si="0"/>
        <v>Wk 10 - alyssa</v>
      </c>
      <c r="K12" s="8" t="str">
        <f t="shared" ca="1" si="1"/>
        <v>105.3 - 95.3</v>
      </c>
      <c r="L12" s="9" t="e">
        <f t="shared" si="2"/>
        <v>#REF!</v>
      </c>
      <c r="M12" s="10"/>
      <c r="N12" s="10">
        <f t="shared" si="20"/>
        <v>10</v>
      </c>
      <c r="O12" s="10">
        <f t="shared" si="3"/>
        <v>3</v>
      </c>
      <c r="P12" s="10" t="str">
        <f>INDEX('Data Import'!$O$2:$O$11,O12)</f>
        <v>breanna</v>
      </c>
      <c r="Q12" s="13">
        <f ca="1">SUMIF('Data Import'!$K$2:$K$1701,P12&amp;N12,'Data Import'!$I$2:$I$1531)</f>
        <v>96.891999999999996</v>
      </c>
      <c r="R12" s="10">
        <f>INDEX('Data Import'!$AT$2:$AT$131,MATCH(N12&amp;"-"&amp;O12,'Data Import'!$AU$2:$AU$131,0))</f>
        <v>2</v>
      </c>
      <c r="S12" s="10" t="str">
        <f>INDEX('Data Import'!$O$2:$O$11,R12)</f>
        <v>jake</v>
      </c>
      <c r="T12" s="13">
        <f ca="1">SUMIF('Data Import'!$K$2:$K$1701,S12&amp;N12,'Data Import'!$I$2:$I$1531)</f>
        <v>104.3887</v>
      </c>
      <c r="U12" s="14" t="e">
        <f>INDEX('Data Import'!$P$15:$W$24,O12,N12)</f>
        <v>#REF!</v>
      </c>
      <c r="V12" s="10"/>
      <c r="W12" s="7" t="str">
        <f t="shared" si="4"/>
        <v>Wk 10 - jake</v>
      </c>
      <c r="X12" s="8" t="str">
        <f t="shared" ca="1" si="5"/>
        <v>96.9 - 104.4</v>
      </c>
      <c r="Y12" s="9" t="e">
        <f t="shared" si="6"/>
        <v>#REF!</v>
      </c>
      <c r="Z12" s="10"/>
      <c r="AA12" s="10">
        <f t="shared" si="21"/>
        <v>10</v>
      </c>
      <c r="AB12" s="10">
        <f t="shared" si="7"/>
        <v>5</v>
      </c>
      <c r="AC12" s="10" t="str">
        <f>INDEX('Data Import'!$O$2:$O$11,AB12)</f>
        <v>alyssa</v>
      </c>
      <c r="AD12" s="13">
        <f ca="1">SUMIF('Data Import'!$K$2:$K$1701,AC12&amp;AA12,'Data Import'!$I$2:$I$1531)</f>
        <v>95.281899999999993</v>
      </c>
      <c r="AE12" s="10">
        <f>INDEX('Data Import'!$AT$2:$AT$131,MATCH(AA12&amp;"-"&amp;AB12,'Data Import'!$AU$2:$AU$131,0))</f>
        <v>1</v>
      </c>
      <c r="AF12" s="10" t="str">
        <f>INDEX('Data Import'!$O$2:$O$11,AE12)</f>
        <v>andrew</v>
      </c>
      <c r="AG12" s="13">
        <f ca="1">SUMIF('Data Import'!$K$2:$K$1701,AF12&amp;AA12,'Data Import'!$I$2:$I$1531)</f>
        <v>105.31200000000001</v>
      </c>
      <c r="AH12" s="14" t="e">
        <f>INDEX('Data Import'!$P$15:$W$24,AB12,AA12)</f>
        <v>#REF!</v>
      </c>
      <c r="AI12" s="10"/>
      <c r="AJ12" s="7" t="str">
        <f t="shared" si="8"/>
        <v>Wk 10 - andrew</v>
      </c>
      <c r="AK12" s="8" t="str">
        <f t="shared" ca="1" si="9"/>
        <v>95.3 - 105.3</v>
      </c>
      <c r="AL12" s="9" t="e">
        <f t="shared" si="10"/>
        <v>#REF!</v>
      </c>
      <c r="AM12" s="10"/>
      <c r="AN12" s="10">
        <f t="shared" si="22"/>
        <v>10</v>
      </c>
      <c r="AO12" s="10">
        <f t="shared" si="11"/>
        <v>7</v>
      </c>
      <c r="AP12" s="10" t="str">
        <f>INDEX('Data Import'!$O$2:$O$11,AO12)</f>
        <v>jordan</v>
      </c>
      <c r="AQ12" s="13">
        <f ca="1">SUMIF('Data Import'!$K$2:$K$1701,AP12&amp;AN12,'Data Import'!$I$2:$I$1531)</f>
        <v>111.2304</v>
      </c>
      <c r="AR12" s="10">
        <f>INDEX('Data Import'!$AT$2:$AT$131,MATCH(AN12&amp;"-"&amp;AO12,'Data Import'!$AU$2:$AU$131,0))</f>
        <v>4</v>
      </c>
      <c r="AS12" s="10" t="str">
        <f>INDEX('Data Import'!$O$2:$O$11,AR12)</f>
        <v>joseph</v>
      </c>
      <c r="AT12" s="13">
        <f ca="1">SUMIF('Data Import'!$K$2:$K$1701,AS12&amp;AN12,'Data Import'!$I$2:$I$1531)</f>
        <v>99.190500000000014</v>
      </c>
      <c r="AU12" s="14" t="e">
        <f>INDEX('Data Import'!$P$15:$W$24,AO12,AN12)</f>
        <v>#REF!</v>
      </c>
      <c r="AV12" s="10"/>
      <c r="AW12" s="7" t="str">
        <f t="shared" si="12"/>
        <v>Wk 10 - joseph</v>
      </c>
      <c r="AX12" s="8" t="str">
        <f t="shared" ca="1" si="13"/>
        <v>111.2 - 99.2</v>
      </c>
      <c r="AY12" s="9" t="e">
        <f t="shared" si="14"/>
        <v>#REF!</v>
      </c>
      <c r="AZ12" s="10"/>
      <c r="BA12" s="10">
        <f t="shared" si="23"/>
        <v>10</v>
      </c>
      <c r="BB12" s="10">
        <f t="shared" si="15"/>
        <v>9</v>
      </c>
      <c r="BC12" s="10" t="str">
        <f>INDEX('Data Import'!$O$2:$O$11,BB12)</f>
        <v>colin</v>
      </c>
      <c r="BD12" s="13">
        <f ca="1">SUMIF('Data Import'!$K$2:$K$1701,BC12&amp;BA12,'Data Import'!$I$2:$I$1531)</f>
        <v>89.691999999999993</v>
      </c>
      <c r="BE12" s="10">
        <f>INDEX('Data Import'!$AT$2:$AT$131,MATCH(BA12&amp;"-"&amp;BB12,'Data Import'!$AU$2:$AU$131,0))</f>
        <v>8</v>
      </c>
      <c r="BF12" s="10" t="str">
        <f>INDEX('Data Import'!$O$2:$O$11,BE12)</f>
        <v>alex</v>
      </c>
      <c r="BG12" s="13">
        <f ca="1">SUMIF('Data Import'!$K$2:$K$1701,BF12&amp;BA12,'Data Import'!$I$2:$I$1531)</f>
        <v>96.670599999999993</v>
      </c>
      <c r="BH12" s="14" t="e">
        <f>INDEX('Data Import'!$P$15:$W$24,BB12,BA12)</f>
        <v>#REF!</v>
      </c>
      <c r="BI12" s="10"/>
      <c r="BJ12" s="7" t="str">
        <f t="shared" si="16"/>
        <v>Wk 10 - alex</v>
      </c>
      <c r="BK12" s="8" t="str">
        <f t="shared" ca="1" si="17"/>
        <v>89.7 - 96.7</v>
      </c>
      <c r="BL12" s="9" t="e">
        <f t="shared" si="18"/>
        <v>#REF!</v>
      </c>
      <c r="BM12" s="10"/>
    </row>
    <row r="13" spans="1:65" x14ac:dyDescent="0.25">
      <c r="A13" s="10">
        <f t="shared" si="19"/>
        <v>11</v>
      </c>
      <c r="B13" s="10">
        <v>1</v>
      </c>
      <c r="C13" s="10" t="str">
        <f>INDEX('Data Import'!$O$2:$O$11,B13)</f>
        <v>andrew</v>
      </c>
      <c r="D13" s="13">
        <f ca="1">SUMIF('Data Import'!$K$2:$K$1701,C13&amp;A13,'Data Import'!$I$2:$I$1531)</f>
        <v>95.715599999999995</v>
      </c>
      <c r="E13" s="10">
        <f>INDEX('Data Import'!$AT$2:$AT$131,MATCH(A13&amp;"-"&amp;B13,'Data Import'!$AU$2:$AU$131,0))</f>
        <v>2</v>
      </c>
      <c r="F13" s="10" t="str">
        <f>INDEX('Data Import'!$O$2:$O$11,E13)</f>
        <v>jake</v>
      </c>
      <c r="G13" s="13">
        <f ca="1">SUMIF('Data Import'!$K$2:$K$1701,F13&amp;A13,'Data Import'!$I$2:$I$1531)</f>
        <v>99.776600000000002</v>
      </c>
      <c r="H13" s="14" t="e">
        <f>INDEX('Data Import'!$P$15:$W$24,B13,A13)</f>
        <v>#REF!</v>
      </c>
      <c r="I13" s="10"/>
      <c r="J13" s="7" t="str">
        <f t="shared" si="0"/>
        <v>Wk 11 - jake</v>
      </c>
      <c r="K13" s="8" t="str">
        <f t="shared" ca="1" si="1"/>
        <v>95.7 - 99.8</v>
      </c>
      <c r="L13" s="9" t="e">
        <f t="shared" si="2"/>
        <v>#REF!</v>
      </c>
      <c r="M13" s="10"/>
      <c r="N13" s="10">
        <f t="shared" si="20"/>
        <v>11</v>
      </c>
      <c r="O13" s="10">
        <f t="shared" si="3"/>
        <v>3</v>
      </c>
      <c r="P13" s="10" t="str">
        <f>INDEX('Data Import'!$O$2:$O$11,O13)</f>
        <v>breanna</v>
      </c>
      <c r="Q13" s="13">
        <f ca="1">SUMIF('Data Import'!$K$2:$K$1701,P13&amp;N13,'Data Import'!$I$2:$I$1531)</f>
        <v>96.912499999999994</v>
      </c>
      <c r="R13" s="10">
        <f>INDEX('Data Import'!$AT$2:$AT$131,MATCH(N13&amp;"-"&amp;O13,'Data Import'!$AU$2:$AU$131,0))</f>
        <v>9</v>
      </c>
      <c r="S13" s="10" t="str">
        <f>INDEX('Data Import'!$O$2:$O$11,R13)</f>
        <v>colin</v>
      </c>
      <c r="T13" s="13">
        <f ca="1">SUMIF('Data Import'!$K$2:$K$1701,S13&amp;N13,'Data Import'!$I$2:$I$1531)</f>
        <v>80.660600000000002</v>
      </c>
      <c r="U13" s="14" t="e">
        <f>INDEX('Data Import'!$P$15:$W$24,O13,N13)</f>
        <v>#REF!</v>
      </c>
      <c r="V13" s="10"/>
      <c r="W13" s="7" t="str">
        <f t="shared" si="4"/>
        <v>Wk 11 - colin</v>
      </c>
      <c r="X13" s="8" t="str">
        <f t="shared" ca="1" si="5"/>
        <v>96.9 - 80.7</v>
      </c>
      <c r="Y13" s="9" t="e">
        <f t="shared" si="6"/>
        <v>#REF!</v>
      </c>
      <c r="Z13" s="10"/>
      <c r="AA13" s="10">
        <f t="shared" si="21"/>
        <v>11</v>
      </c>
      <c r="AB13" s="10">
        <f t="shared" si="7"/>
        <v>5</v>
      </c>
      <c r="AC13" s="10" t="str">
        <f>INDEX('Data Import'!$O$2:$O$11,AB13)</f>
        <v>alyssa</v>
      </c>
      <c r="AD13" s="13">
        <f ca="1">SUMIF('Data Import'!$K$2:$K$1701,AC13&amp;AA13,'Data Import'!$I$2:$I$1531)</f>
        <v>103.00659999999999</v>
      </c>
      <c r="AE13" s="10">
        <f>INDEX('Data Import'!$AT$2:$AT$131,MATCH(AA13&amp;"-"&amp;AB13,'Data Import'!$AU$2:$AU$131,0))</f>
        <v>4</v>
      </c>
      <c r="AF13" s="10" t="str">
        <f>INDEX('Data Import'!$O$2:$O$11,AE13)</f>
        <v>joseph</v>
      </c>
      <c r="AG13" s="13">
        <f ca="1">SUMIF('Data Import'!$K$2:$K$1701,AF13&amp;AA13,'Data Import'!$I$2:$I$1531)</f>
        <v>105.92140000000001</v>
      </c>
      <c r="AH13" s="14" t="e">
        <f>INDEX('Data Import'!$P$15:$W$24,AB13,AA13)</f>
        <v>#REF!</v>
      </c>
      <c r="AI13" s="10"/>
      <c r="AJ13" s="7" t="str">
        <f t="shared" si="8"/>
        <v>Wk 11 - joseph</v>
      </c>
      <c r="AK13" s="8" t="str">
        <f t="shared" ca="1" si="9"/>
        <v>103.0 - 105.9</v>
      </c>
      <c r="AL13" s="9" t="e">
        <f t="shared" si="10"/>
        <v>#REF!</v>
      </c>
      <c r="AM13" s="10"/>
      <c r="AN13" s="10">
        <f t="shared" si="22"/>
        <v>11</v>
      </c>
      <c r="AO13" s="10">
        <f t="shared" si="11"/>
        <v>7</v>
      </c>
      <c r="AP13" s="10" t="str">
        <f>INDEX('Data Import'!$O$2:$O$11,AO13)</f>
        <v>jordan</v>
      </c>
      <c r="AQ13" s="13">
        <f ca="1">SUMIF('Data Import'!$K$2:$K$1701,AP13&amp;AN13,'Data Import'!$I$2:$I$1531)</f>
        <v>99.331299999999999</v>
      </c>
      <c r="AR13" s="10">
        <f>INDEX('Data Import'!$AT$2:$AT$131,MATCH(AN13&amp;"-"&amp;AO13,'Data Import'!$AU$2:$AU$131,0))</f>
        <v>10</v>
      </c>
      <c r="AS13" s="10" t="str">
        <f>INDEX('Data Import'!$O$2:$O$11,AR13)</f>
        <v>paul</v>
      </c>
      <c r="AT13" s="13">
        <f ca="1">SUMIF('Data Import'!$K$2:$K$1701,AS13&amp;AN13,'Data Import'!$I$2:$I$1531)</f>
        <v>99.365499999999997</v>
      </c>
      <c r="AU13" s="14" t="e">
        <f>INDEX('Data Import'!$P$15:$W$24,AO13,AN13)</f>
        <v>#REF!</v>
      </c>
      <c r="AV13" s="10"/>
      <c r="AW13" s="7" t="str">
        <f t="shared" si="12"/>
        <v>Wk 11 - paul</v>
      </c>
      <c r="AX13" s="8" t="str">
        <f t="shared" ca="1" si="13"/>
        <v>99.3 - 99.4</v>
      </c>
      <c r="AY13" s="9" t="e">
        <f t="shared" si="14"/>
        <v>#REF!</v>
      </c>
      <c r="AZ13" s="10"/>
      <c r="BA13" s="10">
        <f t="shared" si="23"/>
        <v>11</v>
      </c>
      <c r="BB13" s="10">
        <f t="shared" si="15"/>
        <v>9</v>
      </c>
      <c r="BC13" s="10" t="str">
        <f>INDEX('Data Import'!$O$2:$O$11,BB13)</f>
        <v>colin</v>
      </c>
      <c r="BD13" s="13">
        <f ca="1">SUMIF('Data Import'!$K$2:$K$1701,BC13&amp;BA13,'Data Import'!$I$2:$I$1531)</f>
        <v>80.660600000000002</v>
      </c>
      <c r="BE13" s="10">
        <f>INDEX('Data Import'!$AT$2:$AT$131,MATCH(BA13&amp;"-"&amp;BB13,'Data Import'!$AU$2:$AU$131,0))</f>
        <v>3</v>
      </c>
      <c r="BF13" s="10" t="str">
        <f>INDEX('Data Import'!$O$2:$O$11,BE13)</f>
        <v>breanna</v>
      </c>
      <c r="BG13" s="13">
        <f ca="1">SUMIF('Data Import'!$K$2:$K$1701,BF13&amp;BA13,'Data Import'!$I$2:$I$1531)</f>
        <v>96.912499999999994</v>
      </c>
      <c r="BH13" s="14" t="e">
        <f>INDEX('Data Import'!$P$15:$W$24,BB13,BA13)</f>
        <v>#REF!</v>
      </c>
      <c r="BI13" s="10"/>
      <c r="BJ13" s="7" t="str">
        <f t="shared" si="16"/>
        <v>Wk 11 - breanna</v>
      </c>
      <c r="BK13" s="8" t="str">
        <f t="shared" ca="1" si="17"/>
        <v>80.7 - 96.9</v>
      </c>
      <c r="BL13" s="9" t="e">
        <f t="shared" si="18"/>
        <v>#REF!</v>
      </c>
      <c r="BM13" s="10"/>
    </row>
    <row r="14" spans="1:65" x14ac:dyDescent="0.25">
      <c r="A14" s="10">
        <f t="shared" si="19"/>
        <v>12</v>
      </c>
      <c r="B14" s="10">
        <v>1</v>
      </c>
      <c r="C14" s="10" t="str">
        <f>INDEX('Data Import'!$O$2:$O$11,B14)</f>
        <v>andrew</v>
      </c>
      <c r="D14" s="13">
        <f ca="1">SUMIF('Data Import'!$K$2:$K$1701,C14&amp;A14,'Data Import'!$I$2:$I$1531)</f>
        <v>103.9786</v>
      </c>
      <c r="E14" s="10">
        <f>INDEX('Data Import'!$AT$2:$AT$131,MATCH(A14&amp;"-"&amp;B14,'Data Import'!$AU$2:$AU$131,0))</f>
        <v>3</v>
      </c>
      <c r="F14" s="10" t="str">
        <f>INDEX('Data Import'!$O$2:$O$11,E14)</f>
        <v>breanna</v>
      </c>
      <c r="G14" s="13">
        <f ca="1">SUMIF('Data Import'!$K$2:$K$1701,F14&amp;A14,'Data Import'!$I$2:$I$1531)</f>
        <v>93.240200000000002</v>
      </c>
      <c r="H14" s="14" t="e">
        <f>INDEX('Data Import'!$P$15:$W$24,B14,A14)</f>
        <v>#REF!</v>
      </c>
      <c r="I14" s="10"/>
      <c r="J14" s="7" t="str">
        <f t="shared" si="0"/>
        <v>Wk 12 - breanna</v>
      </c>
      <c r="K14" s="8" t="str">
        <f t="shared" ca="1" si="1"/>
        <v>104.0 - 93.2</v>
      </c>
      <c r="L14" s="9" t="e">
        <f t="shared" si="2"/>
        <v>#REF!</v>
      </c>
      <c r="M14" s="10"/>
      <c r="N14" s="10">
        <f t="shared" si="20"/>
        <v>12</v>
      </c>
      <c r="O14" s="10">
        <f t="shared" si="3"/>
        <v>3</v>
      </c>
      <c r="P14" s="10" t="str">
        <f>INDEX('Data Import'!$O$2:$O$11,O14)</f>
        <v>breanna</v>
      </c>
      <c r="Q14" s="13">
        <f ca="1">SUMIF('Data Import'!$K$2:$K$1701,P14&amp;N14,'Data Import'!$I$2:$I$1531)</f>
        <v>93.240200000000002</v>
      </c>
      <c r="R14" s="10">
        <f>INDEX('Data Import'!$AT$2:$AT$131,MATCH(N14&amp;"-"&amp;O14,'Data Import'!$AU$2:$AU$131,0))</f>
        <v>1</v>
      </c>
      <c r="S14" s="10" t="str">
        <f>INDEX('Data Import'!$O$2:$O$11,R14)</f>
        <v>andrew</v>
      </c>
      <c r="T14" s="13">
        <f ca="1">SUMIF('Data Import'!$K$2:$K$1701,S14&amp;N14,'Data Import'!$I$2:$I$1531)</f>
        <v>103.9786</v>
      </c>
      <c r="U14" s="14" t="e">
        <f>INDEX('Data Import'!$P$15:$W$24,O14,N14)</f>
        <v>#REF!</v>
      </c>
      <c r="V14" s="10"/>
      <c r="W14" s="7" t="str">
        <f t="shared" si="4"/>
        <v>Wk 12 - andrew</v>
      </c>
      <c r="X14" s="8" t="str">
        <f t="shared" ca="1" si="5"/>
        <v>93.2 - 104.0</v>
      </c>
      <c r="Y14" s="9" t="e">
        <f t="shared" si="6"/>
        <v>#REF!</v>
      </c>
      <c r="Z14" s="10"/>
      <c r="AA14" s="10">
        <f t="shared" si="21"/>
        <v>12</v>
      </c>
      <c r="AB14" s="10">
        <f t="shared" si="7"/>
        <v>5</v>
      </c>
      <c r="AC14" s="10" t="str">
        <f>INDEX('Data Import'!$O$2:$O$11,AB14)</f>
        <v>alyssa</v>
      </c>
      <c r="AD14" s="13">
        <f ca="1">SUMIF('Data Import'!$K$2:$K$1701,AC14&amp;AA14,'Data Import'!$I$2:$I$1531)</f>
        <v>109.7598</v>
      </c>
      <c r="AE14" s="10">
        <f>INDEX('Data Import'!$AT$2:$AT$131,MATCH(AA14&amp;"-"&amp;AB14,'Data Import'!$AU$2:$AU$131,0))</f>
        <v>10</v>
      </c>
      <c r="AF14" s="10" t="str">
        <f>INDEX('Data Import'!$O$2:$O$11,AE14)</f>
        <v>paul</v>
      </c>
      <c r="AG14" s="13">
        <f ca="1">SUMIF('Data Import'!$K$2:$K$1701,AF14&amp;AA14,'Data Import'!$I$2:$I$1531)</f>
        <v>96.778599999999997</v>
      </c>
      <c r="AH14" s="14" t="e">
        <f>INDEX('Data Import'!$P$15:$W$24,AB14,AA14)</f>
        <v>#REF!</v>
      </c>
      <c r="AI14" s="10"/>
      <c r="AJ14" s="7" t="str">
        <f t="shared" si="8"/>
        <v>Wk 12 - paul</v>
      </c>
      <c r="AK14" s="8" t="str">
        <f t="shared" ca="1" si="9"/>
        <v>109.8 - 96.8</v>
      </c>
      <c r="AL14" s="9" t="e">
        <f t="shared" si="10"/>
        <v>#REF!</v>
      </c>
      <c r="AM14" s="10"/>
      <c r="AN14" s="10">
        <f t="shared" si="22"/>
        <v>12</v>
      </c>
      <c r="AO14" s="10">
        <f t="shared" si="11"/>
        <v>7</v>
      </c>
      <c r="AP14" s="10" t="str">
        <f>INDEX('Data Import'!$O$2:$O$11,AO14)</f>
        <v>jordan</v>
      </c>
      <c r="AQ14" s="13">
        <f ca="1">SUMIF('Data Import'!$K$2:$K$1701,AP14&amp;AN14,'Data Import'!$I$2:$I$1531)</f>
        <v>96.542899999999989</v>
      </c>
      <c r="AR14" s="10">
        <f>INDEX('Data Import'!$AT$2:$AT$131,MATCH(AN14&amp;"-"&amp;AO14,'Data Import'!$AU$2:$AU$131,0))</f>
        <v>8</v>
      </c>
      <c r="AS14" s="10" t="str">
        <f>INDEX('Data Import'!$O$2:$O$11,AR14)</f>
        <v>alex</v>
      </c>
      <c r="AT14" s="13">
        <f ca="1">SUMIF('Data Import'!$K$2:$K$1701,AS14&amp;AN14,'Data Import'!$I$2:$I$1531)</f>
        <v>105.46860000000001</v>
      </c>
      <c r="AU14" s="14" t="e">
        <f>INDEX('Data Import'!$P$15:$W$24,AO14,AN14)</f>
        <v>#REF!</v>
      </c>
      <c r="AV14" s="10"/>
      <c r="AW14" s="7" t="str">
        <f t="shared" si="12"/>
        <v>Wk 12 - alex</v>
      </c>
      <c r="AX14" s="8" t="str">
        <f t="shared" ca="1" si="13"/>
        <v>96.5 - 105.5</v>
      </c>
      <c r="AY14" s="9" t="e">
        <f t="shared" si="14"/>
        <v>#REF!</v>
      </c>
      <c r="AZ14" s="10"/>
      <c r="BA14" s="10">
        <f t="shared" si="23"/>
        <v>12</v>
      </c>
      <c r="BB14" s="10">
        <f t="shared" si="15"/>
        <v>9</v>
      </c>
      <c r="BC14" s="10" t="str">
        <f>INDEX('Data Import'!$O$2:$O$11,BB14)</f>
        <v>colin</v>
      </c>
      <c r="BD14" s="13">
        <f ca="1">SUMIF('Data Import'!$K$2:$K$1701,BC14&amp;BA14,'Data Import'!$I$2:$I$1531)</f>
        <v>85.335200000000015</v>
      </c>
      <c r="BE14" s="10">
        <f>INDEX('Data Import'!$AT$2:$AT$131,MATCH(BA14&amp;"-"&amp;BB14,'Data Import'!$AU$2:$AU$131,0))</f>
        <v>6</v>
      </c>
      <c r="BF14" s="10" t="str">
        <f>INDEX('Data Import'!$O$2:$O$11,BE14)</f>
        <v>chris</v>
      </c>
      <c r="BG14" s="13">
        <f ca="1">SUMIF('Data Import'!$K$2:$K$1701,BF14&amp;BA14,'Data Import'!$I$2:$I$1531)</f>
        <v>101.5924</v>
      </c>
      <c r="BH14" s="14" t="e">
        <f>INDEX('Data Import'!$P$15:$W$24,BB14,BA14)</f>
        <v>#REF!</v>
      </c>
      <c r="BI14" s="10"/>
      <c r="BJ14" s="7" t="str">
        <f t="shared" si="16"/>
        <v>Wk 12 - chris</v>
      </c>
      <c r="BK14" s="8" t="str">
        <f t="shared" ca="1" si="17"/>
        <v>85.3 - 101.6</v>
      </c>
      <c r="BL14" s="9" t="e">
        <f t="shared" si="18"/>
        <v>#REF!</v>
      </c>
      <c r="BM14" s="10"/>
    </row>
    <row r="15" spans="1:65" x14ac:dyDescent="0.25">
      <c r="A15" s="10">
        <f>A14+1</f>
        <v>13</v>
      </c>
      <c r="B15" s="10">
        <v>1</v>
      </c>
      <c r="C15" s="10" t="str">
        <f>INDEX('Data Import'!$O$2:$O$11,B15)</f>
        <v>andrew</v>
      </c>
      <c r="D15" s="13">
        <f ca="1">SUMIF('Data Import'!$K$2:$K$1701,C15&amp;A15,'Data Import'!$I$2:$I$1531)</f>
        <v>108.34980000000002</v>
      </c>
      <c r="E15" s="10">
        <f>INDEX('Data Import'!$AT$2:$AT$131,MATCH(A15&amp;"-"&amp;B15,'Data Import'!$AU$2:$AU$131,0))</f>
        <v>6</v>
      </c>
      <c r="F15" s="10" t="str">
        <f>INDEX('Data Import'!$O$2:$O$11,E15)</f>
        <v>chris</v>
      </c>
      <c r="G15" s="13">
        <f ca="1">SUMIF('Data Import'!$K$2:$K$1701,F15&amp;A15,'Data Import'!$I$2:$I$1531)</f>
        <v>103.45369999999998</v>
      </c>
      <c r="H15" s="14" t="e">
        <f>INDEX('Data Import'!$P$15:$W$24,B15,A15)</f>
        <v>#REF!</v>
      </c>
      <c r="I15" s="10"/>
      <c r="J15" s="7" t="str">
        <f>"Wk "&amp;A15&amp;" - "&amp;F15</f>
        <v>Wk 13 - chris</v>
      </c>
      <c r="K15" s="8" t="str">
        <f ca="1">TEXT(D15,"0.0")&amp;" - "&amp;TEXT(G15,"0.0")</f>
        <v>108.3 - 103.5</v>
      </c>
      <c r="L15" s="9" t="e">
        <f>H15</f>
        <v>#REF!</v>
      </c>
      <c r="M15" s="10"/>
      <c r="N15" s="10">
        <f>N14+1</f>
        <v>13</v>
      </c>
      <c r="O15" s="10">
        <f t="shared" si="3"/>
        <v>3</v>
      </c>
      <c r="P15" s="10" t="str">
        <f>INDEX('Data Import'!$O$2:$O$11,O15)</f>
        <v>breanna</v>
      </c>
      <c r="Q15" s="13">
        <f ca="1">SUMIF('Data Import'!$K$2:$K$1701,P15&amp;N15,'Data Import'!$I$2:$I$1531)</f>
        <v>100.38460000000001</v>
      </c>
      <c r="R15" s="10">
        <f>INDEX('Data Import'!$AT$2:$AT$131,MATCH(N15&amp;"-"&amp;O15,'Data Import'!$AU$2:$AU$131,0))</f>
        <v>4</v>
      </c>
      <c r="S15" s="10" t="str">
        <f>INDEX('Data Import'!$O$2:$O$11,R15)</f>
        <v>joseph</v>
      </c>
      <c r="T15" s="13">
        <f ca="1">SUMIF('Data Import'!$K$2:$K$1701,S15&amp;N15,'Data Import'!$I$2:$I$1531)</f>
        <v>104.13669999999999</v>
      </c>
      <c r="U15" s="14" t="e">
        <f>INDEX('Data Import'!$P$15:$W$24,O15,N15)</f>
        <v>#REF!</v>
      </c>
      <c r="V15" s="10"/>
      <c r="W15" s="7" t="str">
        <f>"Wk "&amp;N15&amp;" - "&amp;S15</f>
        <v>Wk 13 - joseph</v>
      </c>
      <c r="X15" s="8" t="str">
        <f ca="1">TEXT(Q15,"0.0")&amp;" - "&amp;TEXT(T15,"0.0")</f>
        <v>100.4 - 104.1</v>
      </c>
      <c r="Y15" s="9" t="e">
        <f>U15</f>
        <v>#REF!</v>
      </c>
      <c r="Z15" s="10"/>
      <c r="AA15" s="10">
        <f>AA14+1</f>
        <v>13</v>
      </c>
      <c r="AB15" s="10">
        <f t="shared" si="7"/>
        <v>5</v>
      </c>
      <c r="AC15" s="10" t="str">
        <f>INDEX('Data Import'!$O$2:$O$11,AB15)</f>
        <v>alyssa</v>
      </c>
      <c r="AD15" s="13">
        <f ca="1">SUMIF('Data Import'!$K$2:$K$1701,AC15&amp;AA15,'Data Import'!$I$2:$I$1531)</f>
        <v>109.83009999999999</v>
      </c>
      <c r="AE15" s="10">
        <f>INDEX('Data Import'!$AT$2:$AT$131,MATCH(AA15&amp;"-"&amp;AB15,'Data Import'!$AU$2:$AU$131,0))</f>
        <v>2</v>
      </c>
      <c r="AF15" s="10" t="str">
        <f>INDEX('Data Import'!$O$2:$O$11,AE15)</f>
        <v>jake</v>
      </c>
      <c r="AG15" s="13">
        <f ca="1">SUMIF('Data Import'!$K$2:$K$1701,AF15&amp;AA15,'Data Import'!$I$2:$I$1531)</f>
        <v>94.126599999999996</v>
      </c>
      <c r="AH15" s="14" t="e">
        <f>INDEX('Data Import'!$P$15:$W$24,AB15,AA15)</f>
        <v>#REF!</v>
      </c>
      <c r="AI15" s="10"/>
      <c r="AJ15" s="7" t="str">
        <f>"Wk "&amp;AA15&amp;" - "&amp;AF15</f>
        <v>Wk 13 - jake</v>
      </c>
      <c r="AK15" s="8" t="str">
        <f ca="1">TEXT(AD15,"0.0")&amp;" - "&amp;TEXT(AG15,"0.0")</f>
        <v>109.8 - 94.1</v>
      </c>
      <c r="AL15" s="9" t="e">
        <f>AH15</f>
        <v>#REF!</v>
      </c>
      <c r="AM15" s="10"/>
      <c r="AN15" s="10">
        <f>AN14+1</f>
        <v>13</v>
      </c>
      <c r="AO15" s="10">
        <f t="shared" si="11"/>
        <v>7</v>
      </c>
      <c r="AP15" s="10" t="str">
        <f>INDEX('Data Import'!$O$2:$O$11,AO15)</f>
        <v>jordan</v>
      </c>
      <c r="AQ15" s="13">
        <f ca="1">SUMIF('Data Import'!$K$2:$K$1701,AP15&amp;AN15,'Data Import'!$I$2:$I$1531)</f>
        <v>109.51179999999999</v>
      </c>
      <c r="AR15" s="10">
        <f>INDEX('Data Import'!$AT$2:$AT$131,MATCH(AN15&amp;"-"&amp;AO15,'Data Import'!$AU$2:$AU$131,0))</f>
        <v>9</v>
      </c>
      <c r="AS15" s="10" t="str">
        <f>INDEX('Data Import'!$O$2:$O$11,AR15)</f>
        <v>colin</v>
      </c>
      <c r="AT15" s="13">
        <f ca="1">SUMIF('Data Import'!$K$2:$K$1701,AS15&amp;AN15,'Data Import'!$I$2:$I$1531)</f>
        <v>89.811500000000009</v>
      </c>
      <c r="AU15" s="14" t="e">
        <f>INDEX('Data Import'!$P$15:$W$24,AO15,AN15)</f>
        <v>#REF!</v>
      </c>
      <c r="AV15" s="10"/>
      <c r="AW15" s="7" t="str">
        <f>"Wk "&amp;AN15&amp;" - "&amp;AS15</f>
        <v>Wk 13 - colin</v>
      </c>
      <c r="AX15" s="8" t="str">
        <f ca="1">TEXT(AQ15,"0.0")&amp;" - "&amp;TEXT(AT15,"0.0")</f>
        <v>109.5 - 89.8</v>
      </c>
      <c r="AY15" s="9" t="e">
        <f>AU15</f>
        <v>#REF!</v>
      </c>
      <c r="AZ15" s="10"/>
      <c r="BA15" s="10">
        <f>BA14+1</f>
        <v>13</v>
      </c>
      <c r="BB15" s="10">
        <f t="shared" si="15"/>
        <v>9</v>
      </c>
      <c r="BC15" s="10" t="str">
        <f>INDEX('Data Import'!$O$2:$O$11,BB15)</f>
        <v>colin</v>
      </c>
      <c r="BD15" s="13">
        <f ca="1">SUMIF('Data Import'!$K$2:$K$1701,BC15&amp;BA15,'Data Import'!$I$2:$I$1531)</f>
        <v>89.811500000000009</v>
      </c>
      <c r="BE15" s="10">
        <f>INDEX('Data Import'!$AT$2:$AT$131,MATCH(BA15&amp;"-"&amp;BB15,'Data Import'!$AU$2:$AU$131,0))</f>
        <v>7</v>
      </c>
      <c r="BF15" s="10" t="str">
        <f>INDEX('Data Import'!$O$2:$O$11,BE15)</f>
        <v>jordan</v>
      </c>
      <c r="BG15" s="13">
        <f ca="1">SUMIF('Data Import'!$K$2:$K$1701,BF15&amp;BA15,'Data Import'!$I$2:$I$1531)</f>
        <v>109.51179999999999</v>
      </c>
      <c r="BH15" s="14" t="e">
        <f>INDEX('Data Import'!$P$15:$W$24,BB15,BA15)</f>
        <v>#REF!</v>
      </c>
      <c r="BI15" s="10"/>
      <c r="BJ15" s="7" t="str">
        <f>"Wk "&amp;BA15&amp;" - "&amp;BF15</f>
        <v>Wk 13 - jordan</v>
      </c>
      <c r="BK15" s="8" t="str">
        <f ca="1">TEXT(BD15,"0.0")&amp;" - "&amp;TEXT(BG15,"0.0")</f>
        <v>89.8 - 109.5</v>
      </c>
      <c r="BL15" s="9" t="e">
        <f>BH15</f>
        <v>#REF!</v>
      </c>
      <c r="BM15" s="10"/>
    </row>
    <row r="16" spans="1:65" x14ac:dyDescent="0.25">
      <c r="A16" s="10">
        <f>A15+1</f>
        <v>14</v>
      </c>
      <c r="B16" s="10">
        <v>1</v>
      </c>
      <c r="C16" s="10" t="str">
        <f>INDEX('Data Import'!$O$2:$O$11,B16)</f>
        <v>andrew</v>
      </c>
      <c r="D16" s="13">
        <f ca="1">SUMIF('Data Import'!$K$2:$K$1701,C16&amp;A16,'Data Import'!$I$2:$I$1531)</f>
        <v>105.352</v>
      </c>
      <c r="E16" s="10" t="e">
        <f>INDEX('Data Import'!$AT$2:$AT$131,MATCH(A16&amp;"-"&amp;B16,'Data Import'!$AU$2:$AU$131,0))</f>
        <v>#N/A</v>
      </c>
      <c r="F16" s="10" t="e">
        <f>INDEX('Data Import'!$O$2:$O$11,E16)</f>
        <v>#N/A</v>
      </c>
      <c r="G16" s="13">
        <f ca="1">SUMIF('Data Import'!$K$2:$K$1701,F16&amp;A16,'Data Import'!$I$2:$I$1531)</f>
        <v>0</v>
      </c>
      <c r="H16" s="14" t="e">
        <f>INDEX('Data Import'!$P$15:$W$24,B16,A16)</f>
        <v>#REF!</v>
      </c>
      <c r="I16" s="10"/>
      <c r="J16" s="7" t="s">
        <v>112</v>
      </c>
      <c r="K16" s="8"/>
      <c r="L16" s="9" t="e">
        <f>H17</f>
        <v>#REF!</v>
      </c>
      <c r="M16" s="10"/>
      <c r="N16" s="10">
        <f>N15+1</f>
        <v>14</v>
      </c>
      <c r="O16" s="10">
        <f t="shared" si="3"/>
        <v>3</v>
      </c>
      <c r="P16" s="10" t="str">
        <f>INDEX('Data Import'!$O$2:$O$11,O16)</f>
        <v>breanna</v>
      </c>
      <c r="Q16" s="13">
        <f ca="1">SUMIF('Data Import'!$K$2:$K$1701,P16&amp;N16,'Data Import'!$I$2:$I$1531)</f>
        <v>103.03099999999999</v>
      </c>
      <c r="R16" s="10" t="e">
        <f>INDEX('Data Import'!$AT$2:$AT$131,MATCH(N16&amp;"-"&amp;O16,'Data Import'!$AU$2:$AU$131,0))</f>
        <v>#N/A</v>
      </c>
      <c r="S16" s="10" t="e">
        <f>INDEX('Data Import'!$O$2:$O$11,R16)</f>
        <v>#N/A</v>
      </c>
      <c r="T16" s="13">
        <f ca="1">SUMIF('Data Import'!$K$2:$K$1701,S16&amp;N16,'Data Import'!$I$2:$I$1531)</f>
        <v>0</v>
      </c>
      <c r="U16" s="14" t="e">
        <f>INDEX('Data Import'!$P$15:$W$24,O16,N16)</f>
        <v>#REF!</v>
      </c>
      <c r="V16" s="10"/>
      <c r="W16" s="7" t="s">
        <v>112</v>
      </c>
      <c r="X16" s="8"/>
      <c r="Y16" s="9" t="e">
        <f>U17</f>
        <v>#REF!</v>
      </c>
      <c r="Z16" s="10"/>
      <c r="AA16" s="10">
        <f>AA15+1</f>
        <v>14</v>
      </c>
      <c r="AB16" s="10">
        <f t="shared" si="7"/>
        <v>5</v>
      </c>
      <c r="AC16" s="10" t="str">
        <f>INDEX('Data Import'!$O$2:$O$11,AB16)</f>
        <v>alyssa</v>
      </c>
      <c r="AD16" s="13">
        <f ca="1">SUMIF('Data Import'!$K$2:$K$1701,AC16&amp;AA16,'Data Import'!$I$2:$I$1531)</f>
        <v>102.9349</v>
      </c>
      <c r="AE16" s="10" t="e">
        <f>INDEX('Data Import'!$AT$2:$AT$131,MATCH(AA16&amp;"-"&amp;AB16,'Data Import'!$AU$2:$AU$131,0))</f>
        <v>#N/A</v>
      </c>
      <c r="AF16" s="10" t="e">
        <f>INDEX('Data Import'!$O$2:$O$11,AE16)</f>
        <v>#N/A</v>
      </c>
      <c r="AG16" s="13">
        <f ca="1">SUMIF('Data Import'!$K$2:$K$1701,AF16&amp;AA16,'Data Import'!$I$2:$I$1531)</f>
        <v>0</v>
      </c>
      <c r="AH16" s="14" t="e">
        <f>INDEX('Data Import'!$P$15:$W$24,AB16,AA16)</f>
        <v>#REF!</v>
      </c>
      <c r="AI16" s="10"/>
      <c r="AJ16" s="7" t="s">
        <v>112</v>
      </c>
      <c r="AK16" s="8"/>
      <c r="AL16" s="9" t="e">
        <f>AH17</f>
        <v>#REF!</v>
      </c>
      <c r="AM16" s="10"/>
      <c r="AN16" s="10">
        <f>AN15+1</f>
        <v>14</v>
      </c>
      <c r="AO16" s="10">
        <f t="shared" si="11"/>
        <v>7</v>
      </c>
      <c r="AP16" s="10" t="str">
        <f>INDEX('Data Import'!$O$2:$O$11,AO16)</f>
        <v>jordan</v>
      </c>
      <c r="AQ16" s="13">
        <f ca="1">SUMIF('Data Import'!$K$2:$K$1701,AP16&amp;AN16,'Data Import'!$I$2:$I$1531)</f>
        <v>109.5752</v>
      </c>
      <c r="AR16" s="10" t="e">
        <f>INDEX('Data Import'!$AT$2:$AT$131,MATCH(AN16&amp;"-"&amp;AO16,'Data Import'!$AU$2:$AU$131,0))</f>
        <v>#N/A</v>
      </c>
      <c r="AS16" s="10" t="e">
        <f>INDEX('Data Import'!$O$2:$O$11,AR16)</f>
        <v>#N/A</v>
      </c>
      <c r="AT16" s="13">
        <f ca="1">SUMIF('Data Import'!$K$2:$K$1701,AS16&amp;AN16,'Data Import'!$I$2:$I$1531)</f>
        <v>0</v>
      </c>
      <c r="AU16" s="14" t="e">
        <f>INDEX('Data Import'!$P$15:$W$24,AO16,AN16)</f>
        <v>#REF!</v>
      </c>
      <c r="AV16" s="10"/>
      <c r="AW16" s="7" t="s">
        <v>112</v>
      </c>
      <c r="AX16" s="8"/>
      <c r="AY16" s="9" t="e">
        <f>AU17</f>
        <v>#REF!</v>
      </c>
      <c r="AZ16" s="10"/>
      <c r="BA16" s="10">
        <f>BA15+1</f>
        <v>14</v>
      </c>
      <c r="BB16" s="10">
        <f t="shared" si="15"/>
        <v>9</v>
      </c>
      <c r="BC16" s="10" t="str">
        <f>INDEX('Data Import'!$O$2:$O$11,BB16)</f>
        <v>colin</v>
      </c>
      <c r="BD16" s="13">
        <f ca="1">SUMIF('Data Import'!$K$2:$K$1701,BC16&amp;BA16,'Data Import'!$I$2:$I$1531)</f>
        <v>89.780599999999993</v>
      </c>
      <c r="BE16" s="10" t="e">
        <f>INDEX('Data Import'!$AT$2:$AT$131,MATCH(BA16&amp;"-"&amp;BB16,'Data Import'!$AU$2:$AU$131,0))</f>
        <v>#N/A</v>
      </c>
      <c r="BF16" s="10" t="e">
        <f>INDEX('Data Import'!$O$2:$O$11,BE16)</f>
        <v>#N/A</v>
      </c>
      <c r="BG16" s="13">
        <f ca="1">SUMIF('Data Import'!$K$2:$K$1701,BF16&amp;BA16,'Data Import'!$I$2:$I$1531)</f>
        <v>0</v>
      </c>
      <c r="BH16" s="14" t="e">
        <f>INDEX('Data Import'!$P$15:$W$24,BB16,BA16)</f>
        <v>#REF!</v>
      </c>
      <c r="BI16" s="10"/>
      <c r="BJ16" s="7" t="s">
        <v>112</v>
      </c>
      <c r="BK16" s="8"/>
      <c r="BL16" s="9" t="e">
        <f>BH17</f>
        <v>#REF!</v>
      </c>
      <c r="BM16" s="10"/>
    </row>
    <row r="17" spans="1:65" ht="15.75" thickBot="1" x14ac:dyDescent="0.3">
      <c r="A17" s="10">
        <f>A16+1</f>
        <v>15</v>
      </c>
      <c r="B17" s="10">
        <v>1</v>
      </c>
      <c r="C17" s="10" t="str">
        <f>INDEX('Data Import'!$O$2:$O$11,B17)</f>
        <v>andrew</v>
      </c>
      <c r="D17" s="13">
        <f ca="1">SUMIF('Data Import'!$K$2:$K$1701,C17&amp;A17,'Data Import'!$I$2:$I$1531)</f>
        <v>103.07040000000001</v>
      </c>
      <c r="E17" s="10" t="e">
        <f>INDEX('Data Import'!$AT$2:$AT$131,MATCH(A17&amp;"-"&amp;B17,'Data Import'!$AU$2:$AU$131,0))</f>
        <v>#N/A</v>
      </c>
      <c r="F17" s="10" t="e">
        <f>INDEX('Data Import'!$O$2:$O$11,E17)</f>
        <v>#N/A</v>
      </c>
      <c r="G17" s="13">
        <f ca="1">SUMIF('Data Import'!$K$2:$K$1701,F17&amp;A17,'Data Import'!$I$2:$I$1531)</f>
        <v>0</v>
      </c>
      <c r="H17" s="14" t="e">
        <f>INDEX('Data Import'!#REF!,B17,1)</f>
        <v>#REF!</v>
      </c>
      <c r="I17" s="10"/>
      <c r="J17" s="7" t="s">
        <v>113</v>
      </c>
      <c r="K17" s="15">
        <f ca="1">SUM(D16:D17)</f>
        <v>208.42240000000001</v>
      </c>
      <c r="L17" s="17" t="e">
        <f>H18</f>
        <v>#REF!</v>
      </c>
      <c r="M17" s="10"/>
      <c r="N17" s="10">
        <f>N16+1</f>
        <v>15</v>
      </c>
      <c r="O17" s="10">
        <f t="shared" si="3"/>
        <v>3</v>
      </c>
      <c r="P17" s="10" t="str">
        <f>INDEX('Data Import'!$O$2:$O$11,O17)</f>
        <v>breanna</v>
      </c>
      <c r="Q17" s="13">
        <f ca="1">SUMIF('Data Import'!$K$2:$K$1701,P17&amp;N17,'Data Import'!$I$2:$I$1531)</f>
        <v>100.92099999999999</v>
      </c>
      <c r="R17" s="10" t="e">
        <f>INDEX('Data Import'!$AT$2:$AT$131,MATCH(N17&amp;"-"&amp;O17,'Data Import'!$AU$2:$AU$131,0))</f>
        <v>#N/A</v>
      </c>
      <c r="S17" s="10" t="e">
        <f>INDEX('Data Import'!$O$2:$O$11,R17)</f>
        <v>#N/A</v>
      </c>
      <c r="T17" s="13">
        <f ca="1">SUMIF('Data Import'!$K$2:$K$1701,S17&amp;N17,'Data Import'!$I$2:$I$1531)</f>
        <v>0</v>
      </c>
      <c r="U17" s="14" t="e">
        <f>INDEX('Data Import'!#REF!,O17,1)</f>
        <v>#REF!</v>
      </c>
      <c r="V17" s="10"/>
      <c r="W17" s="7" t="s">
        <v>113</v>
      </c>
      <c r="X17" s="15">
        <f ca="1">SUM(Q16:Q17)</f>
        <v>203.952</v>
      </c>
      <c r="Y17" s="17" t="e">
        <f>U18</f>
        <v>#REF!</v>
      </c>
      <c r="Z17" s="10"/>
      <c r="AA17" s="10">
        <f>AA16+1</f>
        <v>15</v>
      </c>
      <c r="AB17" s="10">
        <f t="shared" si="7"/>
        <v>5</v>
      </c>
      <c r="AC17" s="10" t="str">
        <f>INDEX('Data Import'!$O$2:$O$11,AB17)</f>
        <v>alyssa</v>
      </c>
      <c r="AD17" s="13">
        <f ca="1">SUMIF('Data Import'!$K$2:$K$1701,AC17&amp;AA17,'Data Import'!$I$2:$I$1531)</f>
        <v>106.91690000000001</v>
      </c>
      <c r="AE17" s="10" t="e">
        <f>INDEX('Data Import'!$AT$2:$AT$131,MATCH(AA17&amp;"-"&amp;AB17,'Data Import'!$AU$2:$AU$131,0))</f>
        <v>#N/A</v>
      </c>
      <c r="AF17" s="10" t="e">
        <f>INDEX('Data Import'!$O$2:$O$11,AE17)</f>
        <v>#N/A</v>
      </c>
      <c r="AG17" s="13">
        <f ca="1">SUMIF('Data Import'!$K$2:$K$1701,AF17&amp;AA17,'Data Import'!$I$2:$I$1531)</f>
        <v>0</v>
      </c>
      <c r="AH17" s="14" t="e">
        <f>INDEX('Data Import'!#REF!,AB17,1)</f>
        <v>#REF!</v>
      </c>
      <c r="AI17" s="10"/>
      <c r="AJ17" s="7" t="s">
        <v>113</v>
      </c>
      <c r="AK17" s="15">
        <f ca="1">SUM(AD16:AD17)</f>
        <v>209.85180000000003</v>
      </c>
      <c r="AL17" s="17" t="e">
        <f>AH18</f>
        <v>#REF!</v>
      </c>
      <c r="AM17" s="10"/>
      <c r="AN17" s="10">
        <f>AN16+1</f>
        <v>15</v>
      </c>
      <c r="AO17" s="10">
        <f t="shared" si="11"/>
        <v>7</v>
      </c>
      <c r="AP17" s="10" t="str">
        <f>INDEX('Data Import'!$O$2:$O$11,AO17)</f>
        <v>jordan</v>
      </c>
      <c r="AQ17" s="13">
        <f ca="1">SUMIF('Data Import'!$K$2:$K$1701,AP17&amp;AN17,'Data Import'!$I$2:$I$1531)</f>
        <v>105.0675</v>
      </c>
      <c r="AR17" s="10" t="e">
        <f>INDEX('Data Import'!$AT$2:$AT$131,MATCH(AN17&amp;"-"&amp;AO17,'Data Import'!$AU$2:$AU$131,0))</f>
        <v>#N/A</v>
      </c>
      <c r="AS17" s="10" t="e">
        <f>INDEX('Data Import'!$O$2:$O$11,AR17)</f>
        <v>#N/A</v>
      </c>
      <c r="AT17" s="13">
        <f ca="1">SUMIF('Data Import'!$K$2:$K$1701,AS17&amp;AN17,'Data Import'!$I$2:$I$1531)</f>
        <v>0</v>
      </c>
      <c r="AU17" s="14" t="e">
        <f>INDEX('Data Import'!#REF!,AO17,1)</f>
        <v>#REF!</v>
      </c>
      <c r="AV17" s="10"/>
      <c r="AW17" s="7" t="s">
        <v>113</v>
      </c>
      <c r="AX17" s="15">
        <f ca="1">SUM(AQ16:AQ17)</f>
        <v>214.64269999999999</v>
      </c>
      <c r="AY17" s="17" t="e">
        <f>AU18</f>
        <v>#REF!</v>
      </c>
      <c r="AZ17" s="10"/>
      <c r="BA17" s="10">
        <f>BA16+1</f>
        <v>15</v>
      </c>
      <c r="BB17" s="10">
        <f t="shared" si="15"/>
        <v>9</v>
      </c>
      <c r="BC17" s="10" t="str">
        <f>INDEX('Data Import'!$O$2:$O$11,BB17)</f>
        <v>colin</v>
      </c>
      <c r="BD17" s="13">
        <f ca="1">SUMIF('Data Import'!$K$2:$K$1701,BC17&amp;BA17,'Data Import'!$I$2:$I$1531)</f>
        <v>91.011300000000006</v>
      </c>
      <c r="BE17" s="10" t="e">
        <f>INDEX('Data Import'!$AT$2:$AT$131,MATCH(BA17&amp;"-"&amp;BB17,'Data Import'!$AU$2:$AU$131,0))</f>
        <v>#N/A</v>
      </c>
      <c r="BF17" s="10" t="e">
        <f>INDEX('Data Import'!$O$2:$O$11,BE17)</f>
        <v>#N/A</v>
      </c>
      <c r="BG17" s="13">
        <f ca="1">SUMIF('Data Import'!$K$2:$K$1701,BF17&amp;BA17,'Data Import'!$I$2:$I$1531)</f>
        <v>0</v>
      </c>
      <c r="BH17" s="14" t="e">
        <f>INDEX('Data Import'!#REF!,BB17,1)</f>
        <v>#REF!</v>
      </c>
      <c r="BI17" s="10"/>
      <c r="BJ17" s="7" t="s">
        <v>113</v>
      </c>
      <c r="BK17" s="15">
        <f ca="1">SUM(BD16:BD17)</f>
        <v>180.7919</v>
      </c>
      <c r="BL17" s="17" t="e">
        <f>BH18</f>
        <v>#REF!</v>
      </c>
      <c r="BM17" s="10"/>
    </row>
    <row r="18" spans="1:65" ht="15.75" thickBot="1" x14ac:dyDescent="0.3">
      <c r="A18" s="10">
        <f>A17+1</f>
        <v>16</v>
      </c>
      <c r="B18" s="10">
        <v>1</v>
      </c>
      <c r="C18" s="10" t="str">
        <f>INDEX('Data Import'!$O$2:$O$11,B18)</f>
        <v>andrew</v>
      </c>
      <c r="D18" s="13">
        <f ca="1">SUMIF('Data Import'!$K$2:$K$1701,C18&amp;A18,'Data Import'!$I$2:$I$1531)</f>
        <v>99.747399999999985</v>
      </c>
      <c r="E18" s="10" t="e">
        <f>INDEX('Data Import'!$AT$2:$AT$131,MATCH(A18&amp;"-"&amp;B18,'Data Import'!$AU$2:$AU$131,0))</f>
        <v>#N/A</v>
      </c>
      <c r="F18" s="10" t="e">
        <f>INDEX('Data Import'!$O$2:$O$11,E18)</f>
        <v>#N/A</v>
      </c>
      <c r="G18" s="13">
        <f ca="1">SUMIF('Data Import'!$K$2:$K$1701,F18&amp;A18,'Data Import'!$I$2:$I$1531)</f>
        <v>0</v>
      </c>
      <c r="H18" s="14" t="e">
        <f>INDEX('Data Import'!#REF!,B18,3)</f>
        <v>#REF!</v>
      </c>
      <c r="I18" s="10"/>
      <c r="J18" s="7" t="s">
        <v>114</v>
      </c>
      <c r="K18" s="16">
        <f ca="1">SUM(D18:D19)</f>
        <v>195.96299999999999</v>
      </c>
      <c r="L18" s="18" t="e">
        <f>H19</f>
        <v>#REF!</v>
      </c>
      <c r="M18" s="10"/>
      <c r="N18" s="10">
        <f>N17+1</f>
        <v>16</v>
      </c>
      <c r="O18" s="10">
        <f t="shared" si="3"/>
        <v>3</v>
      </c>
      <c r="P18" s="10" t="str">
        <f>INDEX('Data Import'!$O$2:$O$11,O18)</f>
        <v>breanna</v>
      </c>
      <c r="Q18" s="13">
        <f ca="1">SUMIF('Data Import'!$K$2:$K$1701,P18&amp;N18,'Data Import'!$I$2:$I$1531)</f>
        <v>99.657499999999999</v>
      </c>
      <c r="R18" s="10" t="e">
        <f>INDEX('Data Import'!$AT$2:$AT$131,MATCH(N18&amp;"-"&amp;O18,'Data Import'!$AU$2:$AU$131,0))</f>
        <v>#N/A</v>
      </c>
      <c r="S18" s="10" t="e">
        <f>INDEX('Data Import'!$O$2:$O$11,R18)</f>
        <v>#N/A</v>
      </c>
      <c r="T18" s="13">
        <f ca="1">SUMIF('Data Import'!$K$2:$K$1701,S18&amp;N18,'Data Import'!$I$2:$I$1531)</f>
        <v>0</v>
      </c>
      <c r="U18" s="14" t="e">
        <f>INDEX('Data Import'!#REF!,O18,3)</f>
        <v>#REF!</v>
      </c>
      <c r="V18" s="10"/>
      <c r="W18" s="7" t="s">
        <v>114</v>
      </c>
      <c r="X18" s="16">
        <f ca="1">SUM(Q18:Q19)</f>
        <v>202.0977</v>
      </c>
      <c r="Y18" s="18" t="e">
        <f>U19</f>
        <v>#REF!</v>
      </c>
      <c r="Z18" s="10"/>
      <c r="AA18" s="10">
        <f>AA17+1</f>
        <v>16</v>
      </c>
      <c r="AB18" s="10">
        <f t="shared" si="7"/>
        <v>5</v>
      </c>
      <c r="AC18" s="10" t="str">
        <f>INDEX('Data Import'!$O$2:$O$11,AB18)</f>
        <v>alyssa</v>
      </c>
      <c r="AD18" s="13">
        <f ca="1">SUMIF('Data Import'!$K$2:$K$1701,AC18&amp;AA18,'Data Import'!$I$2:$I$1531)</f>
        <v>103.68979999999999</v>
      </c>
      <c r="AE18" s="10" t="e">
        <f>INDEX('Data Import'!$AT$2:$AT$131,MATCH(AA18&amp;"-"&amp;AB18,'Data Import'!$AU$2:$AU$131,0))</f>
        <v>#N/A</v>
      </c>
      <c r="AF18" s="10" t="e">
        <f>INDEX('Data Import'!$O$2:$O$11,AE18)</f>
        <v>#N/A</v>
      </c>
      <c r="AG18" s="13">
        <f ca="1">SUMIF('Data Import'!$K$2:$K$1701,AF18&amp;AA18,'Data Import'!$I$2:$I$1531)</f>
        <v>0</v>
      </c>
      <c r="AH18" s="14" t="e">
        <f>INDEX('Data Import'!#REF!,AB18,3)</f>
        <v>#REF!</v>
      </c>
      <c r="AI18" s="10"/>
      <c r="AJ18" s="7" t="s">
        <v>114</v>
      </c>
      <c r="AK18" s="16">
        <f ca="1">SUM(AD18:AD19)</f>
        <v>210.29149999999998</v>
      </c>
      <c r="AL18" s="18" t="e">
        <f>AH19</f>
        <v>#REF!</v>
      </c>
      <c r="AM18" s="10"/>
      <c r="AN18" s="10">
        <f>AN17+1</f>
        <v>16</v>
      </c>
      <c r="AO18" s="10">
        <f t="shared" si="11"/>
        <v>7</v>
      </c>
      <c r="AP18" s="10" t="str">
        <f>INDEX('Data Import'!$O$2:$O$11,AO18)</f>
        <v>jordan</v>
      </c>
      <c r="AQ18" s="13">
        <f ca="1">SUMIF('Data Import'!$K$2:$K$1701,AP18&amp;AN18,'Data Import'!$I$2:$I$1531)</f>
        <v>114.2371</v>
      </c>
      <c r="AR18" s="10" t="e">
        <f>INDEX('Data Import'!$AT$2:$AT$131,MATCH(AN18&amp;"-"&amp;AO18,'Data Import'!$AU$2:$AU$131,0))</f>
        <v>#N/A</v>
      </c>
      <c r="AS18" s="10" t="e">
        <f>INDEX('Data Import'!$O$2:$O$11,AR18)</f>
        <v>#N/A</v>
      </c>
      <c r="AT18" s="13">
        <f ca="1">SUMIF('Data Import'!$K$2:$K$1701,AS18&amp;AN18,'Data Import'!$I$2:$I$1531)</f>
        <v>0</v>
      </c>
      <c r="AU18" s="14" t="e">
        <f>INDEX('Data Import'!#REF!,AO18,3)</f>
        <v>#REF!</v>
      </c>
      <c r="AV18" s="10"/>
      <c r="AW18" s="7" t="s">
        <v>114</v>
      </c>
      <c r="AX18" s="16">
        <f ca="1">SUM(AQ18:AQ19)</f>
        <v>224.69579999999999</v>
      </c>
      <c r="AY18" s="18" t="e">
        <f>AU19</f>
        <v>#REF!</v>
      </c>
      <c r="AZ18" s="10"/>
      <c r="BA18" s="10">
        <f>BA17+1</f>
        <v>16</v>
      </c>
      <c r="BB18" s="10">
        <f t="shared" si="15"/>
        <v>9</v>
      </c>
      <c r="BC18" s="10" t="str">
        <f>INDEX('Data Import'!$O$2:$O$11,BB18)</f>
        <v>colin</v>
      </c>
      <c r="BD18" s="13">
        <f ca="1">SUMIF('Data Import'!$K$2:$K$1701,BC18&amp;BA18,'Data Import'!$I$2:$I$1531)</f>
        <v>92.820599999999999</v>
      </c>
      <c r="BE18" s="10" t="e">
        <f>INDEX('Data Import'!$AT$2:$AT$131,MATCH(BA18&amp;"-"&amp;BB18,'Data Import'!$AU$2:$AU$131,0))</f>
        <v>#N/A</v>
      </c>
      <c r="BF18" s="10" t="e">
        <f>INDEX('Data Import'!$O$2:$O$11,BE18)</f>
        <v>#N/A</v>
      </c>
      <c r="BG18" s="13">
        <f ca="1">SUMIF('Data Import'!$K$2:$K$1701,BF18&amp;BA18,'Data Import'!$I$2:$I$1531)</f>
        <v>0</v>
      </c>
      <c r="BH18" s="14" t="e">
        <f>INDEX('Data Import'!#REF!,BB18,3)</f>
        <v>#REF!</v>
      </c>
      <c r="BI18" s="10"/>
      <c r="BJ18" s="7" t="s">
        <v>114</v>
      </c>
      <c r="BK18" s="16">
        <f ca="1">SUM(BD18:BD19)</f>
        <v>178.88120000000001</v>
      </c>
      <c r="BL18" s="18" t="e">
        <f>BH19</f>
        <v>#REF!</v>
      </c>
      <c r="BM18" s="10"/>
    </row>
    <row r="19" spans="1:65" x14ac:dyDescent="0.25">
      <c r="A19" s="10">
        <f>A18+1</f>
        <v>17</v>
      </c>
      <c r="B19" s="10">
        <v>1</v>
      </c>
      <c r="C19" s="10" t="str">
        <f>INDEX('Data Import'!$O$2:$O$11,B19)</f>
        <v>andrew</v>
      </c>
      <c r="D19" s="13">
        <f ca="1">SUMIF('Data Import'!$K$2:$K$1701,C19&amp;A19,'Data Import'!$I$2:$I$1531)</f>
        <v>96.215600000000009</v>
      </c>
      <c r="E19" s="10" t="e">
        <f>INDEX('Data Import'!$AT$2:$AT$131,MATCH(A19&amp;"-"&amp;B19,'Data Import'!$AU$2:$AU$131,0))</f>
        <v>#N/A</v>
      </c>
      <c r="F19" s="10" t="e">
        <f>INDEX('Data Import'!$O$2:$O$11,E19)</f>
        <v>#N/A</v>
      </c>
      <c r="G19" s="13">
        <f ca="1">SUMIF('Data Import'!$K$2:$K$1701,F19&amp;A19,'Data Import'!$I$2:$I$1531)</f>
        <v>0</v>
      </c>
      <c r="H19" s="14" t="e">
        <f>INDEX('Data Import'!#REF!,B19,4)</f>
        <v>#REF!</v>
      </c>
      <c r="I19" s="10"/>
      <c r="J19" s="10"/>
      <c r="K19" s="11"/>
      <c r="L19" s="12"/>
      <c r="M19" s="10"/>
      <c r="N19" s="10">
        <f>N18+1</f>
        <v>17</v>
      </c>
      <c r="O19" s="10">
        <f t="shared" si="3"/>
        <v>3</v>
      </c>
      <c r="P19" s="10" t="str">
        <f>INDEX('Data Import'!$O$2:$O$11,O19)</f>
        <v>breanna</v>
      </c>
      <c r="Q19" s="13">
        <f ca="1">SUMIF('Data Import'!$K$2:$K$1701,P19&amp;N19,'Data Import'!$I$2:$I$1531)</f>
        <v>102.4402</v>
      </c>
      <c r="R19" s="10" t="e">
        <f>INDEX('Data Import'!$AT$2:$AT$131,MATCH(N19&amp;"-"&amp;O19,'Data Import'!$AU$2:$AU$131,0))</f>
        <v>#N/A</v>
      </c>
      <c r="S19" s="10" t="e">
        <f>INDEX('Data Import'!$O$2:$O$11,R19)</f>
        <v>#N/A</v>
      </c>
      <c r="T19" s="13">
        <f ca="1">SUMIF('Data Import'!$K$2:$K$1701,S19&amp;N19,'Data Import'!$I$2:$I$1531)</f>
        <v>0</v>
      </c>
      <c r="U19" s="14" t="e">
        <f>INDEX('Data Import'!#REF!,O19,4)</f>
        <v>#REF!</v>
      </c>
      <c r="V19" s="10"/>
      <c r="W19" s="10"/>
      <c r="X19" s="11"/>
      <c r="Y19" s="12"/>
      <c r="Z19" s="10"/>
      <c r="AA19" s="10">
        <f>AA18+1</f>
        <v>17</v>
      </c>
      <c r="AB19" s="10">
        <f t="shared" si="7"/>
        <v>5</v>
      </c>
      <c r="AC19" s="10" t="str">
        <f>INDEX('Data Import'!$O$2:$O$11,AB19)</f>
        <v>alyssa</v>
      </c>
      <c r="AD19" s="13">
        <f ca="1">SUMIF('Data Import'!$K$2:$K$1701,AC19&amp;AA19,'Data Import'!$I$2:$I$1531)</f>
        <v>106.60170000000001</v>
      </c>
      <c r="AE19" s="10" t="e">
        <f>INDEX('Data Import'!$AT$2:$AT$131,MATCH(AA19&amp;"-"&amp;AB19,'Data Import'!$AU$2:$AU$131,0))</f>
        <v>#N/A</v>
      </c>
      <c r="AF19" s="10" t="e">
        <f>INDEX('Data Import'!$O$2:$O$11,AE19)</f>
        <v>#N/A</v>
      </c>
      <c r="AG19" s="13">
        <f ca="1">SUMIF('Data Import'!$K$2:$K$1701,AF19&amp;AA19,'Data Import'!$I$2:$I$1531)</f>
        <v>0</v>
      </c>
      <c r="AH19" s="14" t="e">
        <f>INDEX('Data Import'!#REF!,AB19,4)</f>
        <v>#REF!</v>
      </c>
      <c r="AI19" s="10"/>
      <c r="AJ19" s="10"/>
      <c r="AK19" s="11"/>
      <c r="AL19" s="12"/>
      <c r="AM19" s="10"/>
      <c r="AN19" s="10">
        <f>AN18+1</f>
        <v>17</v>
      </c>
      <c r="AO19" s="10">
        <f t="shared" si="11"/>
        <v>7</v>
      </c>
      <c r="AP19" s="10" t="str">
        <f>INDEX('Data Import'!$O$2:$O$11,AO19)</f>
        <v>jordan</v>
      </c>
      <c r="AQ19" s="13">
        <f ca="1">SUMIF('Data Import'!$K$2:$K$1701,AP19&amp;AN19,'Data Import'!$I$2:$I$1531)</f>
        <v>110.45869999999999</v>
      </c>
      <c r="AR19" s="10" t="e">
        <f>INDEX('Data Import'!$AT$2:$AT$131,MATCH(AN19&amp;"-"&amp;AO19,'Data Import'!$AU$2:$AU$131,0))</f>
        <v>#N/A</v>
      </c>
      <c r="AS19" s="10" t="e">
        <f>INDEX('Data Import'!$O$2:$O$11,AR19)</f>
        <v>#N/A</v>
      </c>
      <c r="AT19" s="13">
        <f ca="1">SUMIF('Data Import'!$K$2:$K$1701,AS19&amp;AN19,'Data Import'!$I$2:$I$1531)</f>
        <v>0</v>
      </c>
      <c r="AU19" s="14" t="e">
        <f>INDEX('Data Import'!#REF!,AO19,4)</f>
        <v>#REF!</v>
      </c>
      <c r="AV19" s="10"/>
      <c r="AW19" s="10"/>
      <c r="AX19" s="11"/>
      <c r="AY19" s="12"/>
      <c r="AZ19" s="10"/>
      <c r="BA19" s="10">
        <f>BA18+1</f>
        <v>17</v>
      </c>
      <c r="BB19" s="10">
        <f t="shared" si="15"/>
        <v>9</v>
      </c>
      <c r="BC19" s="10" t="str">
        <f>INDEX('Data Import'!$O$2:$O$11,BB19)</f>
        <v>colin</v>
      </c>
      <c r="BD19" s="13">
        <f ca="1">SUMIF('Data Import'!$K$2:$K$1701,BC19&amp;BA19,'Data Import'!$I$2:$I$1531)</f>
        <v>86.060600000000008</v>
      </c>
      <c r="BE19" s="10" t="e">
        <f>INDEX('Data Import'!$AT$2:$AT$131,MATCH(BA19&amp;"-"&amp;BB19,'Data Import'!$AU$2:$AU$131,0))</f>
        <v>#N/A</v>
      </c>
      <c r="BF19" s="10" t="e">
        <f>INDEX('Data Import'!$O$2:$O$11,BE19)</f>
        <v>#N/A</v>
      </c>
      <c r="BG19" s="13">
        <f ca="1">SUMIF('Data Import'!$K$2:$K$1701,BF19&amp;BA19,'Data Import'!$I$2:$I$1531)</f>
        <v>0</v>
      </c>
      <c r="BH19" s="14" t="e">
        <f>INDEX('Data Import'!#REF!,BB19,4)</f>
        <v>#REF!</v>
      </c>
      <c r="BI19" s="10"/>
      <c r="BJ19" s="10"/>
      <c r="BK19" s="11"/>
      <c r="BL19" s="12"/>
      <c r="BM19" s="10"/>
    </row>
    <row r="20" spans="1:65"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row>
    <row r="21" spans="1:65" ht="21" x14ac:dyDescent="0.35">
      <c r="A21" s="10"/>
      <c r="B21" s="10"/>
      <c r="C21" s="10"/>
      <c r="D21" s="10"/>
      <c r="E21" s="10"/>
      <c r="F21" s="10"/>
      <c r="G21" s="10"/>
      <c r="H21" s="10"/>
      <c r="I21" s="10"/>
      <c r="J21" s="98" t="str">
        <f>C23</f>
        <v>jake</v>
      </c>
      <c r="K21" s="98"/>
      <c r="L21" s="98"/>
      <c r="M21" s="10"/>
      <c r="N21" s="10"/>
      <c r="O21" s="10"/>
      <c r="P21" s="10"/>
      <c r="Q21" s="10"/>
      <c r="R21" s="10"/>
      <c r="S21" s="10"/>
      <c r="T21" s="10"/>
      <c r="U21" s="10"/>
      <c r="V21" s="10"/>
      <c r="W21" s="98" t="str">
        <f>P23</f>
        <v>joseph</v>
      </c>
      <c r="X21" s="98"/>
      <c r="Y21" s="98"/>
      <c r="Z21" s="10"/>
      <c r="AA21" s="10"/>
      <c r="AB21" s="10"/>
      <c r="AC21" s="10"/>
      <c r="AD21" s="10"/>
      <c r="AE21" s="10"/>
      <c r="AF21" s="10"/>
      <c r="AG21" s="10"/>
      <c r="AH21" s="10"/>
      <c r="AI21" s="10"/>
      <c r="AJ21" s="98" t="str">
        <f>AC23</f>
        <v>chris</v>
      </c>
      <c r="AK21" s="98"/>
      <c r="AL21" s="98"/>
      <c r="AM21" s="10"/>
      <c r="AN21" s="10"/>
      <c r="AO21" s="10"/>
      <c r="AP21" s="10"/>
      <c r="AQ21" s="10"/>
      <c r="AR21" s="10"/>
      <c r="AS21" s="10"/>
      <c r="AT21" s="10"/>
      <c r="AU21" s="10"/>
      <c r="AV21" s="10"/>
      <c r="AW21" s="98" t="str">
        <f>AP23</f>
        <v>alex</v>
      </c>
      <c r="AX21" s="98"/>
      <c r="AY21" s="98"/>
      <c r="AZ21" s="10"/>
      <c r="BA21" s="10"/>
      <c r="BB21" s="10"/>
      <c r="BC21" s="10"/>
      <c r="BD21" s="10"/>
      <c r="BE21" s="10"/>
      <c r="BF21" s="10"/>
      <c r="BG21" s="10"/>
      <c r="BH21" s="10"/>
      <c r="BI21" s="10"/>
      <c r="BJ21" s="98" t="str">
        <f>BC23</f>
        <v>paul</v>
      </c>
      <c r="BK21" s="98"/>
      <c r="BL21" s="98"/>
      <c r="BM21" s="10"/>
    </row>
    <row r="22" spans="1:65" x14ac:dyDescent="0.25">
      <c r="A22" s="10" t="s">
        <v>99</v>
      </c>
      <c r="B22" s="10" t="s">
        <v>102</v>
      </c>
      <c r="C22" s="10" t="s">
        <v>103</v>
      </c>
      <c r="D22" s="10" t="s">
        <v>104</v>
      </c>
      <c r="E22" s="10" t="s">
        <v>105</v>
      </c>
      <c r="F22" s="10" t="s">
        <v>101</v>
      </c>
      <c r="G22" s="10" t="s">
        <v>107</v>
      </c>
      <c r="H22" s="10" t="s">
        <v>109</v>
      </c>
      <c r="I22" s="10"/>
      <c r="J22" s="8" t="s">
        <v>110</v>
      </c>
      <c r="K22" s="8" t="s">
        <v>111</v>
      </c>
      <c r="L22" s="7" t="s">
        <v>108</v>
      </c>
      <c r="M22" s="10"/>
      <c r="N22" s="10" t="s">
        <v>99</v>
      </c>
      <c r="O22" s="10" t="s">
        <v>102</v>
      </c>
      <c r="P22" s="10" t="s">
        <v>103</v>
      </c>
      <c r="Q22" s="10" t="s">
        <v>104</v>
      </c>
      <c r="R22" s="10" t="s">
        <v>105</v>
      </c>
      <c r="S22" s="10" t="s">
        <v>101</v>
      </c>
      <c r="T22" s="10" t="s">
        <v>107</v>
      </c>
      <c r="U22" s="10" t="s">
        <v>109</v>
      </c>
      <c r="V22" s="10"/>
      <c r="W22" s="8" t="s">
        <v>110</v>
      </c>
      <c r="X22" s="8" t="s">
        <v>111</v>
      </c>
      <c r="Y22" s="7" t="s">
        <v>108</v>
      </c>
      <c r="Z22" s="10"/>
      <c r="AA22" s="10" t="s">
        <v>99</v>
      </c>
      <c r="AB22" s="10" t="s">
        <v>102</v>
      </c>
      <c r="AC22" s="10" t="s">
        <v>103</v>
      </c>
      <c r="AD22" s="10" t="s">
        <v>104</v>
      </c>
      <c r="AE22" s="10" t="s">
        <v>105</v>
      </c>
      <c r="AF22" s="10" t="s">
        <v>101</v>
      </c>
      <c r="AG22" s="10" t="s">
        <v>107</v>
      </c>
      <c r="AH22" s="10" t="s">
        <v>109</v>
      </c>
      <c r="AI22" s="10"/>
      <c r="AJ22" s="8" t="s">
        <v>110</v>
      </c>
      <c r="AK22" s="8" t="s">
        <v>111</v>
      </c>
      <c r="AL22" s="7" t="s">
        <v>108</v>
      </c>
      <c r="AM22" s="10"/>
      <c r="AN22" s="10" t="s">
        <v>99</v>
      </c>
      <c r="AO22" s="10" t="s">
        <v>102</v>
      </c>
      <c r="AP22" s="10" t="s">
        <v>103</v>
      </c>
      <c r="AQ22" s="10" t="s">
        <v>104</v>
      </c>
      <c r="AR22" s="10" t="s">
        <v>105</v>
      </c>
      <c r="AS22" s="10" t="s">
        <v>101</v>
      </c>
      <c r="AT22" s="10" t="s">
        <v>107</v>
      </c>
      <c r="AU22" s="10" t="s">
        <v>109</v>
      </c>
      <c r="AV22" s="10"/>
      <c r="AW22" s="8" t="s">
        <v>110</v>
      </c>
      <c r="AX22" s="8" t="s">
        <v>111</v>
      </c>
      <c r="AY22" s="7" t="s">
        <v>108</v>
      </c>
      <c r="AZ22" s="10"/>
      <c r="BA22" s="10" t="s">
        <v>99</v>
      </c>
      <c r="BB22" s="10" t="s">
        <v>102</v>
      </c>
      <c r="BC22" s="10" t="s">
        <v>103</v>
      </c>
      <c r="BD22" s="10" t="s">
        <v>104</v>
      </c>
      <c r="BE22" s="10" t="s">
        <v>105</v>
      </c>
      <c r="BF22" s="10" t="s">
        <v>101</v>
      </c>
      <c r="BG22" s="10" t="s">
        <v>107</v>
      </c>
      <c r="BH22" s="10" t="s">
        <v>109</v>
      </c>
      <c r="BI22" s="10"/>
      <c r="BJ22" s="8" t="s">
        <v>110</v>
      </c>
      <c r="BK22" s="8" t="s">
        <v>111</v>
      </c>
      <c r="BL22" s="7" t="s">
        <v>108</v>
      </c>
      <c r="BM22" s="10"/>
    </row>
    <row r="23" spans="1:65" x14ac:dyDescent="0.25">
      <c r="A23" s="10">
        <v>1</v>
      </c>
      <c r="B23" s="10">
        <v>2</v>
      </c>
      <c r="C23" s="10" t="str">
        <f>INDEX('Data Import'!$O$2:$O$11,B23)</f>
        <v>jake</v>
      </c>
      <c r="D23" s="13">
        <f ca="1">SUMIF('Data Import'!$K$2:$K$1701,C23&amp;A23,'Data Import'!$I$2:$I$1531)</f>
        <v>107.37960000000001</v>
      </c>
      <c r="E23" s="10">
        <f>INDEX('Data Import'!$AT$2:$AT$131,MATCH(A23&amp;"-"&amp;B23,'Data Import'!$AU$2:$AU$131,0))</f>
        <v>3</v>
      </c>
      <c r="F23" s="10" t="str">
        <f>INDEX('Data Import'!$O$2:$O$11,E23)</f>
        <v>breanna</v>
      </c>
      <c r="G23" s="13">
        <f ca="1">SUMIF('Data Import'!$K$2:$K$1701,F23&amp;A23,'Data Import'!$I$2:$I$1531)</f>
        <v>98.875900000000001</v>
      </c>
      <c r="H23" s="14">
        <f>INDEX('Data Import'!$P$15:$W$24,B23,A23)</f>
        <v>1</v>
      </c>
      <c r="I23" s="10"/>
      <c r="J23" s="7" t="str">
        <f>"Wk "&amp;A23&amp;" - "&amp;F23</f>
        <v>Wk 1 - breanna</v>
      </c>
      <c r="K23" s="8" t="str">
        <f ca="1">TEXT(D23,"0.0")&amp;" - "&amp;TEXT(G23,"0.0")</f>
        <v>107.4 - 98.9</v>
      </c>
      <c r="L23" s="9">
        <f>H23</f>
        <v>1</v>
      </c>
      <c r="M23" s="10"/>
      <c r="N23" s="10">
        <v>1</v>
      </c>
      <c r="O23" s="10">
        <f>B23+2</f>
        <v>4</v>
      </c>
      <c r="P23" s="10" t="str">
        <f>INDEX('Data Import'!$O$2:$O$11,O23)</f>
        <v>joseph</v>
      </c>
      <c r="Q23" s="13">
        <f ca="1">SUMIF('Data Import'!$K$2:$K$1701,P23&amp;N23,'Data Import'!$I$2:$I$1531)</f>
        <v>103.50240000000001</v>
      </c>
      <c r="R23" s="10">
        <f>INDEX('Data Import'!$AT$2:$AT$131,MATCH(N23&amp;"-"&amp;O23,'Data Import'!$AU$2:$AU$131,0))</f>
        <v>8</v>
      </c>
      <c r="S23" s="10" t="str">
        <f>INDEX('Data Import'!$O$2:$O$11,R23)</f>
        <v>alex</v>
      </c>
      <c r="T23" s="13">
        <f ca="1">SUMIF('Data Import'!$K$2:$K$1701,S23&amp;N23,'Data Import'!$I$2:$I$1531)</f>
        <v>92.403699999999986</v>
      </c>
      <c r="U23" s="14">
        <f>INDEX('Data Import'!$P$15:$W$24,O23,N23)</f>
        <v>0</v>
      </c>
      <c r="V23" s="10"/>
      <c r="W23" s="7" t="str">
        <f>"Wk "&amp;N23&amp;" - "&amp;S23</f>
        <v>Wk 1 - alex</v>
      </c>
      <c r="X23" s="8" t="str">
        <f ca="1">TEXT(Q23,"0.0")&amp;" - "&amp;TEXT(T23,"0.0")</f>
        <v>103.5 - 92.4</v>
      </c>
      <c r="Y23" s="9">
        <f>U23</f>
        <v>0</v>
      </c>
      <c r="Z23" s="10"/>
      <c r="AA23" s="10">
        <v>1</v>
      </c>
      <c r="AB23" s="10">
        <f>O23+2</f>
        <v>6</v>
      </c>
      <c r="AC23" s="10" t="str">
        <f>INDEX('Data Import'!$O$2:$O$11,AB23)</f>
        <v>chris</v>
      </c>
      <c r="AD23" s="13">
        <f ca="1">SUMIF('Data Import'!$K$2:$K$1701,AC23&amp;AA23,'Data Import'!$I$2:$I$1531)</f>
        <v>83.828099999999992</v>
      </c>
      <c r="AE23" s="10">
        <f>INDEX('Data Import'!$AT$2:$AT$131,MATCH(AA23&amp;"-"&amp;AB23,'Data Import'!$AU$2:$AU$131,0))</f>
        <v>7</v>
      </c>
      <c r="AF23" s="10" t="str">
        <f>INDEX('Data Import'!$O$2:$O$11,AE23)</f>
        <v>jordan</v>
      </c>
      <c r="AG23" s="13">
        <f ca="1">SUMIF('Data Import'!$K$2:$K$1701,AF23&amp;AA23,'Data Import'!$I$2:$I$1531)</f>
        <v>106.45689999999999</v>
      </c>
      <c r="AH23" s="14">
        <f>INDEX('Data Import'!$P$15:$W$24,AB23,AA23)</f>
        <v>0</v>
      </c>
      <c r="AI23" s="10"/>
      <c r="AJ23" s="7" t="str">
        <f>"Wk "&amp;AA23&amp;" - "&amp;AF23</f>
        <v>Wk 1 - jordan</v>
      </c>
      <c r="AK23" s="8" t="str">
        <f ca="1">TEXT(AD23,"0.0")&amp;" - "&amp;TEXT(AG23,"0.0")</f>
        <v>83.8 - 106.5</v>
      </c>
      <c r="AL23" s="9">
        <f>AH23</f>
        <v>0</v>
      </c>
      <c r="AM23" s="10"/>
      <c r="AN23" s="10">
        <v>1</v>
      </c>
      <c r="AO23" s="10">
        <f>AB23+2</f>
        <v>8</v>
      </c>
      <c r="AP23" s="10" t="str">
        <f>INDEX('Data Import'!$O$2:$O$11,AO23)</f>
        <v>alex</v>
      </c>
      <c r="AQ23" s="13">
        <f ca="1">SUMIF('Data Import'!$K$2:$K$1701,AP23&amp;AN23,'Data Import'!$I$2:$I$1531)</f>
        <v>92.403699999999986</v>
      </c>
      <c r="AR23" s="10">
        <f>INDEX('Data Import'!$AT$2:$AT$131,MATCH(AN23&amp;"-"&amp;AO23,'Data Import'!$AU$2:$AU$131,0))</f>
        <v>4</v>
      </c>
      <c r="AS23" s="10" t="str">
        <f>INDEX('Data Import'!$O$2:$O$11,AR23)</f>
        <v>joseph</v>
      </c>
      <c r="AT23" s="13">
        <f ca="1">SUMIF('Data Import'!$K$2:$K$1701,AS23&amp;AN23,'Data Import'!$I$2:$I$1531)</f>
        <v>103.50240000000001</v>
      </c>
      <c r="AU23" s="14">
        <f>INDEX('Data Import'!$P$15:$W$24,AO23,AN23)</f>
        <v>1</v>
      </c>
      <c r="AV23" s="10"/>
      <c r="AW23" s="7" t="str">
        <f>"Wk "&amp;AN23&amp;" - "&amp;AS23</f>
        <v>Wk 1 - joseph</v>
      </c>
      <c r="AX23" s="8" t="str">
        <f ca="1">TEXT(AQ23,"0.0")&amp;" - "&amp;TEXT(AT23,"0.0")</f>
        <v>92.4 - 103.5</v>
      </c>
      <c r="AY23" s="9">
        <f>AU23</f>
        <v>1</v>
      </c>
      <c r="AZ23" s="10"/>
      <c r="BA23" s="10">
        <v>1</v>
      </c>
      <c r="BB23" s="10">
        <f>AO23+2</f>
        <v>10</v>
      </c>
      <c r="BC23" s="10" t="str">
        <f>INDEX('Data Import'!$O$2:$O$11,BB23)</f>
        <v>paul</v>
      </c>
      <c r="BD23" s="13">
        <f ca="1">SUMIF('Data Import'!$K$2:$K$1701,BC23&amp;BA23,'Data Import'!$I$2:$I$1531)</f>
        <v>102.44130000000001</v>
      </c>
      <c r="BE23" s="10">
        <f>INDEX('Data Import'!$AT$2:$AT$131,MATCH(BA23&amp;"-"&amp;BB23,'Data Import'!$AU$2:$AU$131,0))</f>
        <v>9</v>
      </c>
      <c r="BF23" s="10" t="str">
        <f>INDEX('Data Import'!$O$2:$O$11,BE23)</f>
        <v>colin</v>
      </c>
      <c r="BG23" s="13">
        <f ca="1">SUMIF('Data Import'!$K$2:$K$1701,BF23&amp;BA23,'Data Import'!$I$2:$I$1531)</f>
        <v>99.388300000000001</v>
      </c>
      <c r="BH23" s="14">
        <f>INDEX('Data Import'!$P$15:$W$24,BB23,BA23)</f>
        <v>0</v>
      </c>
      <c r="BI23" s="10"/>
      <c r="BJ23" s="7" t="str">
        <f>"Wk "&amp;BA23&amp;" - "&amp;BF23</f>
        <v>Wk 1 - colin</v>
      </c>
      <c r="BK23" s="8" t="str">
        <f ca="1">TEXT(BD23,"0.0")&amp;" - "&amp;TEXT(BG23,"0.0")</f>
        <v>102.4 - 99.4</v>
      </c>
      <c r="BL23" s="9">
        <f>BH23</f>
        <v>0</v>
      </c>
      <c r="BM23" s="10"/>
    </row>
    <row r="24" spans="1:65" x14ac:dyDescent="0.25">
      <c r="A24" s="10">
        <f>A23+1</f>
        <v>2</v>
      </c>
      <c r="B24" s="10">
        <v>2</v>
      </c>
      <c r="C24" s="10" t="str">
        <f>INDEX('Data Import'!$O$2:$O$11,B24)</f>
        <v>jake</v>
      </c>
      <c r="D24" s="13">
        <f ca="1">SUMIF('Data Import'!$K$2:$K$1701,C24&amp;A24,'Data Import'!$I$2:$I$1531)</f>
        <v>101.8458</v>
      </c>
      <c r="E24" s="10">
        <f>INDEX('Data Import'!$AT$2:$AT$131,MATCH(A24&amp;"-"&amp;B24,'Data Import'!$AU$2:$AU$131,0))</f>
        <v>1</v>
      </c>
      <c r="F24" s="10" t="str">
        <f>INDEX('Data Import'!$O$2:$O$11,E24)</f>
        <v>andrew</v>
      </c>
      <c r="G24" s="13">
        <f ca="1">SUMIF('Data Import'!$K$2:$K$1701,F24&amp;A24,'Data Import'!$I$2:$I$1531)</f>
        <v>99.391799999999989</v>
      </c>
      <c r="H24" s="14">
        <f>INDEX('Data Import'!$P$15:$W$24,B24,A24)</f>
        <v>0</v>
      </c>
      <c r="I24" s="10"/>
      <c r="J24" s="7" t="str">
        <f t="shared" ref="J24:J34" si="24">"Wk "&amp;A24&amp;" - "&amp;F24</f>
        <v>Wk 2 - andrew</v>
      </c>
      <c r="K24" s="8" t="str">
        <f t="shared" ref="K24:K34" ca="1" si="25">TEXT(D24,"0.0")&amp;" - "&amp;TEXT(G24,"0.0")</f>
        <v>101.8 - 99.4</v>
      </c>
      <c r="L24" s="9">
        <f t="shared" ref="L24:L34" si="26">H24</f>
        <v>0</v>
      </c>
      <c r="M24" s="10"/>
      <c r="N24" s="10">
        <f>N23+1</f>
        <v>2</v>
      </c>
      <c r="O24" s="10">
        <f t="shared" ref="O24:O38" si="27">B24+2</f>
        <v>4</v>
      </c>
      <c r="P24" s="10" t="str">
        <f>INDEX('Data Import'!$O$2:$O$11,O24)</f>
        <v>joseph</v>
      </c>
      <c r="Q24" s="13">
        <f ca="1">SUMIF('Data Import'!$K$2:$K$1701,P24&amp;N24,'Data Import'!$I$2:$I$1531)</f>
        <v>100.6018</v>
      </c>
      <c r="R24" s="10">
        <f>INDEX('Data Import'!$AT$2:$AT$131,MATCH(N24&amp;"-"&amp;O24,'Data Import'!$AU$2:$AU$131,0))</f>
        <v>5</v>
      </c>
      <c r="S24" s="10" t="str">
        <f>INDEX('Data Import'!$O$2:$O$11,R24)</f>
        <v>alyssa</v>
      </c>
      <c r="T24" s="13">
        <f ca="1">SUMIF('Data Import'!$K$2:$K$1701,S24&amp;N24,'Data Import'!$I$2:$I$1531)</f>
        <v>99.139600000000002</v>
      </c>
      <c r="U24" s="14">
        <f>INDEX('Data Import'!$P$15:$W$24,O24,N24)</f>
        <v>0</v>
      </c>
      <c r="V24" s="10"/>
      <c r="W24" s="7" t="str">
        <f t="shared" ref="W24:W34" si="28">"Wk "&amp;N24&amp;" - "&amp;S24</f>
        <v>Wk 2 - alyssa</v>
      </c>
      <c r="X24" s="8" t="str">
        <f t="shared" ref="X24:X34" ca="1" si="29">TEXT(Q24,"0.0")&amp;" - "&amp;TEXT(T24,"0.0")</f>
        <v>100.6 - 99.1</v>
      </c>
      <c r="Y24" s="9">
        <f t="shared" ref="Y24:Y34" si="30">U24</f>
        <v>0</v>
      </c>
      <c r="Z24" s="10"/>
      <c r="AA24" s="10">
        <f>AA23+1</f>
        <v>2</v>
      </c>
      <c r="AB24" s="10">
        <f t="shared" ref="AB24:AB38" si="31">O24+2</f>
        <v>6</v>
      </c>
      <c r="AC24" s="10" t="str">
        <f>INDEX('Data Import'!$O$2:$O$11,AB24)</f>
        <v>chris</v>
      </c>
      <c r="AD24" s="13">
        <f ca="1">SUMIF('Data Import'!$K$2:$K$1701,AC24&amp;AA24,'Data Import'!$I$2:$I$1531)</f>
        <v>80.594300000000004</v>
      </c>
      <c r="AE24" s="10">
        <f>INDEX('Data Import'!$AT$2:$AT$131,MATCH(AA24&amp;"-"&amp;AB24,'Data Import'!$AU$2:$AU$131,0))</f>
        <v>10</v>
      </c>
      <c r="AF24" s="10" t="str">
        <f>INDEX('Data Import'!$O$2:$O$11,AE24)</f>
        <v>paul</v>
      </c>
      <c r="AG24" s="13">
        <f ca="1">SUMIF('Data Import'!$K$2:$K$1701,AF24&amp;AA24,'Data Import'!$I$2:$I$1531)</f>
        <v>98.564599999999984</v>
      </c>
      <c r="AH24" s="14">
        <f>INDEX('Data Import'!$P$15:$W$24,AB24,AA24)</f>
        <v>1</v>
      </c>
      <c r="AI24" s="10"/>
      <c r="AJ24" s="7" t="str">
        <f t="shared" ref="AJ24:AJ34" si="32">"Wk "&amp;AA24&amp;" - "&amp;AF24</f>
        <v>Wk 2 - paul</v>
      </c>
      <c r="AK24" s="8" t="str">
        <f t="shared" ref="AK24:AK34" ca="1" si="33">TEXT(AD24,"0.0")&amp;" - "&amp;TEXT(AG24,"0.0")</f>
        <v>80.6 - 98.6</v>
      </c>
      <c r="AL24" s="9">
        <f t="shared" ref="AL24:AL34" si="34">AH24</f>
        <v>1</v>
      </c>
      <c r="AM24" s="10"/>
      <c r="AN24" s="10">
        <f>AN23+1</f>
        <v>2</v>
      </c>
      <c r="AO24" s="10">
        <f t="shared" ref="AO24:AO38" si="35">AB24+2</f>
        <v>8</v>
      </c>
      <c r="AP24" s="10" t="str">
        <f>INDEX('Data Import'!$O$2:$O$11,AO24)</f>
        <v>alex</v>
      </c>
      <c r="AQ24" s="13">
        <f ca="1">SUMIF('Data Import'!$K$2:$K$1701,AP24&amp;AN24,'Data Import'!$I$2:$I$1531)</f>
        <v>98.629099999999994</v>
      </c>
      <c r="AR24" s="10">
        <f>INDEX('Data Import'!$AT$2:$AT$131,MATCH(AN24&amp;"-"&amp;AO24,'Data Import'!$AU$2:$AU$131,0))</f>
        <v>9</v>
      </c>
      <c r="AS24" s="10" t="str">
        <f>INDEX('Data Import'!$O$2:$O$11,AR24)</f>
        <v>colin</v>
      </c>
      <c r="AT24" s="13">
        <f ca="1">SUMIF('Data Import'!$K$2:$K$1701,AS24&amp;AN24,'Data Import'!$I$2:$I$1531)</f>
        <v>97.73769999999999</v>
      </c>
      <c r="AU24" s="14">
        <f>INDEX('Data Import'!$P$15:$W$24,AO24,AN24)</f>
        <v>1</v>
      </c>
      <c r="AV24" s="10"/>
      <c r="AW24" s="7" t="str">
        <f t="shared" ref="AW24:AW34" si="36">"Wk "&amp;AN24&amp;" - "&amp;AS24</f>
        <v>Wk 2 - colin</v>
      </c>
      <c r="AX24" s="8" t="str">
        <f t="shared" ref="AX24:AX34" ca="1" si="37">TEXT(AQ24,"0.0")&amp;" - "&amp;TEXT(AT24,"0.0")</f>
        <v>98.6 - 97.7</v>
      </c>
      <c r="AY24" s="9">
        <f t="shared" ref="AY24:AY34" si="38">AU24</f>
        <v>1</v>
      </c>
      <c r="AZ24" s="10"/>
      <c r="BA24" s="10">
        <f>BA23+1</f>
        <v>2</v>
      </c>
      <c r="BB24" s="10">
        <f t="shared" ref="BB24:BB38" si="39">AO24+2</f>
        <v>10</v>
      </c>
      <c r="BC24" s="10" t="str">
        <f>INDEX('Data Import'!$O$2:$O$11,BB24)</f>
        <v>paul</v>
      </c>
      <c r="BD24" s="13">
        <f ca="1">SUMIF('Data Import'!$K$2:$K$1701,BC24&amp;BA24,'Data Import'!$I$2:$I$1531)</f>
        <v>98.564599999999984</v>
      </c>
      <c r="BE24" s="10">
        <f>INDEX('Data Import'!$AT$2:$AT$131,MATCH(BA24&amp;"-"&amp;BB24,'Data Import'!$AU$2:$AU$131,0))</f>
        <v>6</v>
      </c>
      <c r="BF24" s="10" t="str">
        <f>INDEX('Data Import'!$O$2:$O$11,BE24)</f>
        <v>chris</v>
      </c>
      <c r="BG24" s="13">
        <f ca="1">SUMIF('Data Import'!$K$2:$K$1701,BF24&amp;BA24,'Data Import'!$I$2:$I$1531)</f>
        <v>80.594300000000004</v>
      </c>
      <c r="BH24" s="14">
        <f>INDEX('Data Import'!$P$15:$W$24,BB24,BA24)</f>
        <v>0</v>
      </c>
      <c r="BI24" s="10"/>
      <c r="BJ24" s="7" t="str">
        <f t="shared" ref="BJ24:BJ34" si="40">"Wk "&amp;BA24&amp;" - "&amp;BF24</f>
        <v>Wk 2 - chris</v>
      </c>
      <c r="BK24" s="8" t="str">
        <f t="shared" ref="BK24:BK34" ca="1" si="41">TEXT(BD24,"0.0")&amp;" - "&amp;TEXT(BG24,"0.0")</f>
        <v>98.6 - 80.6</v>
      </c>
      <c r="BL24" s="9">
        <f t="shared" ref="BL24:BL34" si="42">BH24</f>
        <v>0</v>
      </c>
      <c r="BM24" s="10"/>
    </row>
    <row r="25" spans="1:65" x14ac:dyDescent="0.25">
      <c r="A25" s="10">
        <f t="shared" ref="A25:A34" si="43">A24+1</f>
        <v>3</v>
      </c>
      <c r="B25" s="10">
        <v>2</v>
      </c>
      <c r="C25" s="10" t="str">
        <f>INDEX('Data Import'!$O$2:$O$11,B25)</f>
        <v>jake</v>
      </c>
      <c r="D25" s="13">
        <f ca="1">SUMIF('Data Import'!$K$2:$K$1701,C25&amp;A25,'Data Import'!$I$2:$I$1531)</f>
        <v>89.028100000000009</v>
      </c>
      <c r="E25" s="10">
        <f>INDEX('Data Import'!$AT$2:$AT$131,MATCH(A25&amp;"-"&amp;B25,'Data Import'!$AU$2:$AU$131,0))</f>
        <v>4</v>
      </c>
      <c r="F25" s="10" t="str">
        <f>INDEX('Data Import'!$O$2:$O$11,E25)</f>
        <v>joseph</v>
      </c>
      <c r="G25" s="13">
        <f ca="1">SUMIF('Data Import'!$K$2:$K$1701,F25&amp;A25,'Data Import'!$I$2:$I$1531)</f>
        <v>113.5214</v>
      </c>
      <c r="H25" s="14">
        <f>INDEX('Data Import'!$P$15:$W$24,B25,A25)</f>
        <v>0.18856000000000001</v>
      </c>
      <c r="I25" s="10"/>
      <c r="J25" s="7" t="str">
        <f t="shared" si="24"/>
        <v>Wk 3 - joseph</v>
      </c>
      <c r="K25" s="8" t="str">
        <f t="shared" ca="1" si="25"/>
        <v>89.0 - 113.5</v>
      </c>
      <c r="L25" s="9">
        <f t="shared" si="26"/>
        <v>0.18856000000000001</v>
      </c>
      <c r="M25" s="10"/>
      <c r="N25" s="10">
        <f t="shared" ref="N25:N34" si="44">N24+1</f>
        <v>3</v>
      </c>
      <c r="O25" s="10">
        <f t="shared" si="27"/>
        <v>4</v>
      </c>
      <c r="P25" s="10" t="str">
        <f>INDEX('Data Import'!$O$2:$O$11,O25)</f>
        <v>joseph</v>
      </c>
      <c r="Q25" s="13">
        <f ca="1">SUMIF('Data Import'!$K$2:$K$1701,P25&amp;N25,'Data Import'!$I$2:$I$1531)</f>
        <v>113.5214</v>
      </c>
      <c r="R25" s="10">
        <f>INDEX('Data Import'!$AT$2:$AT$131,MATCH(N25&amp;"-"&amp;O25,'Data Import'!$AU$2:$AU$131,0))</f>
        <v>2</v>
      </c>
      <c r="S25" s="10" t="str">
        <f>INDEX('Data Import'!$O$2:$O$11,R25)</f>
        <v>jake</v>
      </c>
      <c r="T25" s="13">
        <f ca="1">SUMIF('Data Import'!$K$2:$K$1701,S25&amp;N25,'Data Import'!$I$2:$I$1531)</f>
        <v>89.028100000000009</v>
      </c>
      <c r="U25" s="14">
        <f>INDEX('Data Import'!$P$15:$W$24,O25,N25)</f>
        <v>0.81144000000000005</v>
      </c>
      <c r="V25" s="10"/>
      <c r="W25" s="7" t="str">
        <f t="shared" si="28"/>
        <v>Wk 3 - jake</v>
      </c>
      <c r="X25" s="8" t="str">
        <f t="shared" ca="1" si="29"/>
        <v>113.5 - 89.0</v>
      </c>
      <c r="Y25" s="9">
        <f t="shared" si="30"/>
        <v>0.81144000000000005</v>
      </c>
      <c r="Z25" s="10"/>
      <c r="AA25" s="10">
        <f t="shared" ref="AA25:AA34" si="45">AA24+1</f>
        <v>3</v>
      </c>
      <c r="AB25" s="10">
        <f t="shared" si="31"/>
        <v>6</v>
      </c>
      <c r="AC25" s="10" t="str">
        <f>INDEX('Data Import'!$O$2:$O$11,AB25)</f>
        <v>chris</v>
      </c>
      <c r="AD25" s="13">
        <f ca="1">SUMIF('Data Import'!$K$2:$K$1701,AC25&amp;AA25,'Data Import'!$I$2:$I$1531)</f>
        <v>91.558400000000006</v>
      </c>
      <c r="AE25" s="10">
        <f>INDEX('Data Import'!$AT$2:$AT$131,MATCH(AA25&amp;"-"&amp;AB25,'Data Import'!$AU$2:$AU$131,0))</f>
        <v>8</v>
      </c>
      <c r="AF25" s="10" t="str">
        <f>INDEX('Data Import'!$O$2:$O$11,AE25)</f>
        <v>alex</v>
      </c>
      <c r="AG25" s="13">
        <f ca="1">SUMIF('Data Import'!$K$2:$K$1701,AF25&amp;AA25,'Data Import'!$I$2:$I$1531)</f>
        <v>108.61420000000001</v>
      </c>
      <c r="AH25" s="14">
        <f>INDEX('Data Import'!$P$15:$W$24,AB25,AA25)</f>
        <v>0.25779000000000002</v>
      </c>
      <c r="AI25" s="10"/>
      <c r="AJ25" s="7" t="str">
        <f t="shared" si="32"/>
        <v>Wk 3 - alex</v>
      </c>
      <c r="AK25" s="8" t="str">
        <f t="shared" ca="1" si="33"/>
        <v>91.6 - 108.6</v>
      </c>
      <c r="AL25" s="9">
        <f t="shared" si="34"/>
        <v>0.25779000000000002</v>
      </c>
      <c r="AM25" s="10"/>
      <c r="AN25" s="10">
        <f t="shared" ref="AN25:AN34" si="46">AN24+1</f>
        <v>3</v>
      </c>
      <c r="AO25" s="10">
        <f t="shared" si="35"/>
        <v>8</v>
      </c>
      <c r="AP25" s="10" t="str">
        <f>INDEX('Data Import'!$O$2:$O$11,AO25)</f>
        <v>alex</v>
      </c>
      <c r="AQ25" s="13">
        <f ca="1">SUMIF('Data Import'!$K$2:$K$1701,AP25&amp;AN25,'Data Import'!$I$2:$I$1531)</f>
        <v>108.61420000000001</v>
      </c>
      <c r="AR25" s="10">
        <f>INDEX('Data Import'!$AT$2:$AT$131,MATCH(AN25&amp;"-"&amp;AO25,'Data Import'!$AU$2:$AU$131,0))</f>
        <v>6</v>
      </c>
      <c r="AS25" s="10" t="str">
        <f>INDEX('Data Import'!$O$2:$O$11,AR25)</f>
        <v>chris</v>
      </c>
      <c r="AT25" s="13">
        <f ca="1">SUMIF('Data Import'!$K$2:$K$1701,AS25&amp;AN25,'Data Import'!$I$2:$I$1531)</f>
        <v>91.558400000000006</v>
      </c>
      <c r="AU25" s="14">
        <f>INDEX('Data Import'!$P$15:$W$24,AO25,AN25)</f>
        <v>0.74221000000000004</v>
      </c>
      <c r="AV25" s="10"/>
      <c r="AW25" s="7" t="str">
        <f t="shared" si="36"/>
        <v>Wk 3 - chris</v>
      </c>
      <c r="AX25" s="8" t="str">
        <f t="shared" ca="1" si="37"/>
        <v>108.6 - 91.6</v>
      </c>
      <c r="AY25" s="9">
        <f t="shared" si="38"/>
        <v>0.74221000000000004</v>
      </c>
      <c r="AZ25" s="10"/>
      <c r="BA25" s="10">
        <f t="shared" ref="BA25:BA34" si="47">BA24+1</f>
        <v>3</v>
      </c>
      <c r="BB25" s="10">
        <f t="shared" si="39"/>
        <v>10</v>
      </c>
      <c r="BC25" s="10" t="str">
        <f>INDEX('Data Import'!$O$2:$O$11,BB25)</f>
        <v>paul</v>
      </c>
      <c r="BD25" s="13">
        <f ca="1">SUMIF('Data Import'!$K$2:$K$1701,BC25&amp;BA25,'Data Import'!$I$2:$I$1531)</f>
        <v>104.92000000000002</v>
      </c>
      <c r="BE25" s="10">
        <f>INDEX('Data Import'!$AT$2:$AT$131,MATCH(BA25&amp;"-"&amp;BB25,'Data Import'!$AU$2:$AU$131,0))</f>
        <v>7</v>
      </c>
      <c r="BF25" s="10" t="str">
        <f>INDEX('Data Import'!$O$2:$O$11,BE25)</f>
        <v>jordan</v>
      </c>
      <c r="BG25" s="13">
        <f ca="1">SUMIF('Data Import'!$K$2:$K$1701,BF25&amp;BA25,'Data Import'!$I$2:$I$1531)</f>
        <v>101.62739999999999</v>
      </c>
      <c r="BH25" s="14">
        <f>INDEX('Data Import'!$P$15:$W$24,BB25,BA25)</f>
        <v>0.53391999999999995</v>
      </c>
      <c r="BI25" s="10"/>
      <c r="BJ25" s="7" t="str">
        <f t="shared" si="40"/>
        <v>Wk 3 - jordan</v>
      </c>
      <c r="BK25" s="8" t="str">
        <f t="shared" ca="1" si="41"/>
        <v>104.9 - 101.6</v>
      </c>
      <c r="BL25" s="9">
        <f t="shared" si="42"/>
        <v>0.53391999999999995</v>
      </c>
      <c r="BM25" s="10"/>
    </row>
    <row r="26" spans="1:65" x14ac:dyDescent="0.25">
      <c r="A26" s="10">
        <f t="shared" si="43"/>
        <v>4</v>
      </c>
      <c r="B26" s="10">
        <v>2</v>
      </c>
      <c r="C26" s="10" t="str">
        <f>INDEX('Data Import'!$O$2:$O$11,B26)</f>
        <v>jake</v>
      </c>
      <c r="D26" s="13">
        <f ca="1">SUMIF('Data Import'!$K$2:$K$1701,C26&amp;A26,'Data Import'!$I$2:$I$1531)</f>
        <v>96.797200000000004</v>
      </c>
      <c r="E26" s="10">
        <f>INDEX('Data Import'!$AT$2:$AT$131,MATCH(A26&amp;"-"&amp;B26,'Data Import'!$AU$2:$AU$131,0))</f>
        <v>5</v>
      </c>
      <c r="F26" s="10" t="str">
        <f>INDEX('Data Import'!$O$2:$O$11,E26)</f>
        <v>alyssa</v>
      </c>
      <c r="G26" s="13">
        <f ca="1">SUMIF('Data Import'!$K$2:$K$1701,F26&amp;A26,'Data Import'!$I$2:$I$1531)</f>
        <v>100.9349</v>
      </c>
      <c r="H26" s="14">
        <f>INDEX('Data Import'!$P$15:$W$24,B26,A26)</f>
        <v>0.44097999999999998</v>
      </c>
      <c r="I26" s="10"/>
      <c r="J26" s="7" t="str">
        <f t="shared" si="24"/>
        <v>Wk 4 - alyssa</v>
      </c>
      <c r="K26" s="8" t="str">
        <f t="shared" ca="1" si="25"/>
        <v>96.8 - 100.9</v>
      </c>
      <c r="L26" s="9">
        <f t="shared" si="26"/>
        <v>0.44097999999999998</v>
      </c>
      <c r="M26" s="10"/>
      <c r="N26" s="10">
        <f t="shared" si="44"/>
        <v>4</v>
      </c>
      <c r="O26" s="10">
        <f t="shared" si="27"/>
        <v>4</v>
      </c>
      <c r="P26" s="10" t="str">
        <f>INDEX('Data Import'!$O$2:$O$11,O26)</f>
        <v>joseph</v>
      </c>
      <c r="Q26" s="13">
        <f ca="1">SUMIF('Data Import'!$K$2:$K$1701,P26&amp;N26,'Data Import'!$I$2:$I$1531)</f>
        <v>103.42289999999998</v>
      </c>
      <c r="R26" s="10">
        <f>INDEX('Data Import'!$AT$2:$AT$131,MATCH(N26&amp;"-"&amp;O26,'Data Import'!$AU$2:$AU$131,0))</f>
        <v>3</v>
      </c>
      <c r="S26" s="10" t="str">
        <f>INDEX('Data Import'!$O$2:$O$11,R26)</f>
        <v>breanna</v>
      </c>
      <c r="T26" s="13">
        <f ca="1">SUMIF('Data Import'!$K$2:$K$1701,S26&amp;N26,'Data Import'!$I$2:$I$1531)</f>
        <v>96.381</v>
      </c>
      <c r="U26" s="14">
        <f>INDEX('Data Import'!$P$15:$W$24,O26,N26)</f>
        <v>0.61409999999999998</v>
      </c>
      <c r="V26" s="10"/>
      <c r="W26" s="7" t="str">
        <f t="shared" si="28"/>
        <v>Wk 4 - breanna</v>
      </c>
      <c r="X26" s="8" t="str">
        <f t="shared" ca="1" si="29"/>
        <v>103.4 - 96.4</v>
      </c>
      <c r="Y26" s="9">
        <f t="shared" si="30"/>
        <v>0.61409999999999998</v>
      </c>
      <c r="Z26" s="10"/>
      <c r="AA26" s="10">
        <f t="shared" si="45"/>
        <v>4</v>
      </c>
      <c r="AB26" s="10">
        <f t="shared" si="31"/>
        <v>6</v>
      </c>
      <c r="AC26" s="10" t="str">
        <f>INDEX('Data Import'!$O$2:$O$11,AB26)</f>
        <v>chris</v>
      </c>
      <c r="AD26" s="13">
        <f ca="1">SUMIF('Data Import'!$K$2:$K$1701,AC26&amp;AA26,'Data Import'!$I$2:$I$1531)</f>
        <v>92.487799999999993</v>
      </c>
      <c r="AE26" s="10">
        <f>INDEX('Data Import'!$AT$2:$AT$131,MATCH(AA26&amp;"-"&amp;AB26,'Data Import'!$AU$2:$AU$131,0))</f>
        <v>9</v>
      </c>
      <c r="AF26" s="10" t="str">
        <f>INDEX('Data Import'!$O$2:$O$11,AE26)</f>
        <v>colin</v>
      </c>
      <c r="AG26" s="13">
        <f ca="1">SUMIF('Data Import'!$K$2:$K$1701,AF26&amp;AA26,'Data Import'!$I$2:$I$1531)</f>
        <v>90.526399999999995</v>
      </c>
      <c r="AH26" s="14">
        <f>INDEX('Data Import'!$P$15:$W$24,AB26,AA26)</f>
        <v>0.52602000000000004</v>
      </c>
      <c r="AI26" s="10"/>
      <c r="AJ26" s="7" t="str">
        <f t="shared" si="32"/>
        <v>Wk 4 - colin</v>
      </c>
      <c r="AK26" s="8" t="str">
        <f t="shared" ca="1" si="33"/>
        <v>92.5 - 90.5</v>
      </c>
      <c r="AL26" s="9">
        <f t="shared" si="34"/>
        <v>0.52602000000000004</v>
      </c>
      <c r="AM26" s="10"/>
      <c r="AN26" s="10">
        <f t="shared" si="46"/>
        <v>4</v>
      </c>
      <c r="AO26" s="10">
        <f t="shared" si="35"/>
        <v>8</v>
      </c>
      <c r="AP26" s="10" t="str">
        <f>INDEX('Data Import'!$O$2:$O$11,AO26)</f>
        <v>alex</v>
      </c>
      <c r="AQ26" s="13">
        <f ca="1">SUMIF('Data Import'!$K$2:$K$1701,AP26&amp;AN26,'Data Import'!$I$2:$I$1531)</f>
        <v>106.0779</v>
      </c>
      <c r="AR26" s="10">
        <f>INDEX('Data Import'!$AT$2:$AT$131,MATCH(AN26&amp;"-"&amp;AO26,'Data Import'!$AU$2:$AU$131,0))</f>
        <v>7</v>
      </c>
      <c r="AS26" s="10" t="str">
        <f>INDEX('Data Import'!$O$2:$O$11,AR26)</f>
        <v>jordan</v>
      </c>
      <c r="AT26" s="13">
        <f ca="1">SUMIF('Data Import'!$K$2:$K$1701,AS26&amp;AN26,'Data Import'!$I$2:$I$1531)</f>
        <v>99.573900000000009</v>
      </c>
      <c r="AU26" s="14">
        <f>INDEX('Data Import'!$P$15:$W$24,AO26,AN26)</f>
        <v>0.58513000000000004</v>
      </c>
      <c r="AV26" s="10"/>
      <c r="AW26" s="7" t="str">
        <f t="shared" si="36"/>
        <v>Wk 4 - jordan</v>
      </c>
      <c r="AX26" s="8" t="str">
        <f t="shared" ca="1" si="37"/>
        <v>106.1 - 99.6</v>
      </c>
      <c r="AY26" s="9">
        <f t="shared" si="38"/>
        <v>0.58513000000000004</v>
      </c>
      <c r="AZ26" s="10"/>
      <c r="BA26" s="10">
        <f t="shared" si="47"/>
        <v>4</v>
      </c>
      <c r="BB26" s="10">
        <f t="shared" si="39"/>
        <v>10</v>
      </c>
      <c r="BC26" s="10" t="str">
        <f>INDEX('Data Import'!$O$2:$O$11,BB26)</f>
        <v>paul</v>
      </c>
      <c r="BD26" s="13">
        <f ca="1">SUMIF('Data Import'!$K$2:$K$1701,BC26&amp;BA26,'Data Import'!$I$2:$I$1531)</f>
        <v>94.072500000000005</v>
      </c>
      <c r="BE26" s="10">
        <f>INDEX('Data Import'!$AT$2:$AT$131,MATCH(BA26&amp;"-"&amp;BB26,'Data Import'!$AU$2:$AU$131,0))</f>
        <v>1</v>
      </c>
      <c r="BF26" s="10" t="str">
        <f>INDEX('Data Import'!$O$2:$O$11,BE26)</f>
        <v>andrew</v>
      </c>
      <c r="BG26" s="13">
        <f ca="1">SUMIF('Data Import'!$K$2:$K$1701,BF26&amp;BA26,'Data Import'!$I$2:$I$1531)</f>
        <v>99.797399999999996</v>
      </c>
      <c r="BH26" s="14">
        <f>INDEX('Data Import'!$P$15:$W$24,BB26,BA26)</f>
        <v>0.41477999999999998</v>
      </c>
      <c r="BI26" s="10"/>
      <c r="BJ26" s="7" t="str">
        <f t="shared" si="40"/>
        <v>Wk 4 - andrew</v>
      </c>
      <c r="BK26" s="8" t="str">
        <f t="shared" ca="1" si="41"/>
        <v>94.1 - 99.8</v>
      </c>
      <c r="BL26" s="9">
        <f t="shared" si="42"/>
        <v>0.41477999999999998</v>
      </c>
      <c r="BM26" s="10"/>
    </row>
    <row r="27" spans="1:65" x14ac:dyDescent="0.25">
      <c r="A27" s="10">
        <f t="shared" si="43"/>
        <v>5</v>
      </c>
      <c r="B27" s="10">
        <v>2</v>
      </c>
      <c r="C27" s="10" t="str">
        <f>INDEX('Data Import'!$O$2:$O$11,B27)</f>
        <v>jake</v>
      </c>
      <c r="D27" s="13">
        <f ca="1">SUMIF('Data Import'!$K$2:$K$1701,C27&amp;A27,'Data Import'!$I$2:$I$1531)</f>
        <v>99.001199999999997</v>
      </c>
      <c r="E27" s="10">
        <f>INDEX('Data Import'!$AT$2:$AT$131,MATCH(A27&amp;"-"&amp;B27,'Data Import'!$AU$2:$AU$131,0))</f>
        <v>6</v>
      </c>
      <c r="F27" s="10" t="str">
        <f>INDEX('Data Import'!$O$2:$O$11,E27)</f>
        <v>chris</v>
      </c>
      <c r="G27" s="13">
        <f ca="1">SUMIF('Data Import'!$K$2:$K$1701,F27&amp;A27,'Data Import'!$I$2:$I$1531)</f>
        <v>91.690399999999997</v>
      </c>
      <c r="H27" s="14">
        <f>INDEX('Data Import'!$P$15:$W$24,B27,A27)</f>
        <v>0.62710999999999995</v>
      </c>
      <c r="I27" s="10"/>
      <c r="J27" s="7" t="str">
        <f t="shared" si="24"/>
        <v>Wk 5 - chris</v>
      </c>
      <c r="K27" s="8" t="str">
        <f t="shared" ca="1" si="25"/>
        <v>99.0 - 91.7</v>
      </c>
      <c r="L27" s="9">
        <f t="shared" si="26"/>
        <v>0.62710999999999995</v>
      </c>
      <c r="M27" s="10"/>
      <c r="N27" s="10">
        <f t="shared" si="44"/>
        <v>5</v>
      </c>
      <c r="O27" s="10">
        <f t="shared" si="27"/>
        <v>4</v>
      </c>
      <c r="P27" s="10" t="str">
        <f>INDEX('Data Import'!$O$2:$O$11,O27)</f>
        <v>joseph</v>
      </c>
      <c r="Q27" s="13">
        <f ca="1">SUMIF('Data Import'!$K$2:$K$1701,P27&amp;N27,'Data Import'!$I$2:$I$1531)</f>
        <v>97.888000000000005</v>
      </c>
      <c r="R27" s="10">
        <f>INDEX('Data Import'!$AT$2:$AT$131,MATCH(N27&amp;"-"&amp;O27,'Data Import'!$AU$2:$AU$131,0))</f>
        <v>1</v>
      </c>
      <c r="S27" s="10" t="str">
        <f>INDEX('Data Import'!$O$2:$O$11,R27)</f>
        <v>andrew</v>
      </c>
      <c r="T27" s="13">
        <f ca="1">SUMIF('Data Import'!$K$2:$K$1701,S27&amp;N27,'Data Import'!$I$2:$I$1531)</f>
        <v>101.67399999999999</v>
      </c>
      <c r="U27" s="14">
        <f>INDEX('Data Import'!$P$15:$W$24,O27,N27)</f>
        <v>0.45216000000000001</v>
      </c>
      <c r="V27" s="10"/>
      <c r="W27" s="7" t="str">
        <f t="shared" si="28"/>
        <v>Wk 5 - andrew</v>
      </c>
      <c r="X27" s="8" t="str">
        <f t="shared" ca="1" si="29"/>
        <v>97.9 - 101.7</v>
      </c>
      <c r="Y27" s="9">
        <f t="shared" si="30"/>
        <v>0.45216000000000001</v>
      </c>
      <c r="Z27" s="10"/>
      <c r="AA27" s="10">
        <f t="shared" si="45"/>
        <v>5</v>
      </c>
      <c r="AB27" s="10">
        <f t="shared" si="31"/>
        <v>6</v>
      </c>
      <c r="AC27" s="10" t="str">
        <f>INDEX('Data Import'!$O$2:$O$11,AB27)</f>
        <v>chris</v>
      </c>
      <c r="AD27" s="13">
        <f ca="1">SUMIF('Data Import'!$K$2:$K$1701,AC27&amp;AA27,'Data Import'!$I$2:$I$1531)</f>
        <v>91.690399999999997</v>
      </c>
      <c r="AE27" s="10">
        <f>INDEX('Data Import'!$AT$2:$AT$131,MATCH(AA27&amp;"-"&amp;AB27,'Data Import'!$AU$2:$AU$131,0))</f>
        <v>2</v>
      </c>
      <c r="AF27" s="10" t="str">
        <f>INDEX('Data Import'!$O$2:$O$11,AE27)</f>
        <v>jake</v>
      </c>
      <c r="AG27" s="13">
        <f ca="1">SUMIF('Data Import'!$K$2:$K$1701,AF27&amp;AA27,'Data Import'!$I$2:$I$1531)</f>
        <v>99.001199999999997</v>
      </c>
      <c r="AH27" s="14">
        <f>INDEX('Data Import'!$P$15:$W$24,AB27,AA27)</f>
        <v>0.37289</v>
      </c>
      <c r="AI27" s="10"/>
      <c r="AJ27" s="7" t="str">
        <f t="shared" si="32"/>
        <v>Wk 5 - jake</v>
      </c>
      <c r="AK27" s="8" t="str">
        <f t="shared" ca="1" si="33"/>
        <v>91.7 - 99.0</v>
      </c>
      <c r="AL27" s="9">
        <f t="shared" si="34"/>
        <v>0.37289</v>
      </c>
      <c r="AM27" s="10"/>
      <c r="AN27" s="10">
        <f t="shared" si="46"/>
        <v>5</v>
      </c>
      <c r="AO27" s="10">
        <f t="shared" si="35"/>
        <v>8</v>
      </c>
      <c r="AP27" s="10" t="str">
        <f>INDEX('Data Import'!$O$2:$O$11,AO27)</f>
        <v>alex</v>
      </c>
      <c r="AQ27" s="13">
        <f ca="1">SUMIF('Data Import'!$K$2:$K$1701,AP27&amp;AN27,'Data Import'!$I$2:$I$1531)</f>
        <v>89.521100000000004</v>
      </c>
      <c r="AR27" s="10">
        <f>INDEX('Data Import'!$AT$2:$AT$131,MATCH(AN27&amp;"-"&amp;AO27,'Data Import'!$AU$2:$AU$131,0))</f>
        <v>10</v>
      </c>
      <c r="AS27" s="10" t="str">
        <f>INDEX('Data Import'!$O$2:$O$11,AR27)</f>
        <v>paul</v>
      </c>
      <c r="AT27" s="13">
        <f ca="1">SUMIF('Data Import'!$K$2:$K$1701,AS27&amp;AN27,'Data Import'!$I$2:$I$1531)</f>
        <v>109.5926</v>
      </c>
      <c r="AU27" s="14">
        <f>INDEX('Data Import'!$P$15:$W$24,AO27,AN27)</f>
        <v>0.21987999999999999</v>
      </c>
      <c r="AV27" s="10"/>
      <c r="AW27" s="7" t="str">
        <f t="shared" si="36"/>
        <v>Wk 5 - paul</v>
      </c>
      <c r="AX27" s="8" t="str">
        <f t="shared" ca="1" si="37"/>
        <v>89.5 - 109.6</v>
      </c>
      <c r="AY27" s="9">
        <f t="shared" si="38"/>
        <v>0.21987999999999999</v>
      </c>
      <c r="AZ27" s="10"/>
      <c r="BA27" s="10">
        <f t="shared" si="47"/>
        <v>5</v>
      </c>
      <c r="BB27" s="10">
        <f t="shared" si="39"/>
        <v>10</v>
      </c>
      <c r="BC27" s="10" t="str">
        <f>INDEX('Data Import'!$O$2:$O$11,BB27)</f>
        <v>paul</v>
      </c>
      <c r="BD27" s="13">
        <f ca="1">SUMIF('Data Import'!$K$2:$K$1701,BC27&amp;BA27,'Data Import'!$I$2:$I$1531)</f>
        <v>109.5926</v>
      </c>
      <c r="BE27" s="10">
        <f>INDEX('Data Import'!$AT$2:$AT$131,MATCH(BA27&amp;"-"&amp;BB27,'Data Import'!$AU$2:$AU$131,0))</f>
        <v>8</v>
      </c>
      <c r="BF27" s="10" t="str">
        <f>INDEX('Data Import'!$O$2:$O$11,BE27)</f>
        <v>alex</v>
      </c>
      <c r="BG27" s="13">
        <f ca="1">SUMIF('Data Import'!$K$2:$K$1701,BF27&amp;BA27,'Data Import'!$I$2:$I$1531)</f>
        <v>89.521100000000004</v>
      </c>
      <c r="BH27" s="14">
        <f>INDEX('Data Import'!$P$15:$W$24,BB27,BA27)</f>
        <v>0.78012000000000004</v>
      </c>
      <c r="BI27" s="10"/>
      <c r="BJ27" s="7" t="str">
        <f t="shared" si="40"/>
        <v>Wk 5 - alex</v>
      </c>
      <c r="BK27" s="8" t="str">
        <f t="shared" ca="1" si="41"/>
        <v>109.6 - 89.5</v>
      </c>
      <c r="BL27" s="9">
        <f t="shared" si="42"/>
        <v>0.78012000000000004</v>
      </c>
      <c r="BM27" s="10"/>
    </row>
    <row r="28" spans="1:65" x14ac:dyDescent="0.25">
      <c r="A28" s="10">
        <f t="shared" si="43"/>
        <v>6</v>
      </c>
      <c r="B28" s="10">
        <v>2</v>
      </c>
      <c r="C28" s="10" t="str">
        <f>INDEX('Data Import'!$O$2:$O$11,B28)</f>
        <v>jake</v>
      </c>
      <c r="D28" s="13">
        <f ca="1">SUMIF('Data Import'!$K$2:$K$1701,C28&amp;A28,'Data Import'!$I$2:$I$1531)</f>
        <v>96.762399999999985</v>
      </c>
      <c r="E28" s="10">
        <f>INDEX('Data Import'!$AT$2:$AT$131,MATCH(A28&amp;"-"&amp;B28,'Data Import'!$AU$2:$AU$131,0))</f>
        <v>10</v>
      </c>
      <c r="F28" s="10" t="str">
        <f>INDEX('Data Import'!$O$2:$O$11,E28)</f>
        <v>paul</v>
      </c>
      <c r="G28" s="13">
        <f ca="1">SUMIF('Data Import'!$K$2:$K$1701,F28&amp;A28,'Data Import'!$I$2:$I$1531)</f>
        <v>109.06379999999999</v>
      </c>
      <c r="H28" s="14">
        <f>INDEX('Data Import'!$P$15:$W$24,B28,A28)</f>
        <v>0.32917000000000002</v>
      </c>
      <c r="I28" s="10"/>
      <c r="J28" s="7" t="str">
        <f t="shared" si="24"/>
        <v>Wk 6 - paul</v>
      </c>
      <c r="K28" s="8" t="str">
        <f t="shared" ca="1" si="25"/>
        <v>96.8 - 109.1</v>
      </c>
      <c r="L28" s="9">
        <f t="shared" si="26"/>
        <v>0.32917000000000002</v>
      </c>
      <c r="M28" s="10"/>
      <c r="N28" s="10">
        <f t="shared" si="44"/>
        <v>6</v>
      </c>
      <c r="O28" s="10">
        <f t="shared" si="27"/>
        <v>4</v>
      </c>
      <c r="P28" s="10" t="str">
        <f>INDEX('Data Import'!$O$2:$O$11,O28)</f>
        <v>joseph</v>
      </c>
      <c r="Q28" s="13">
        <f ca="1">SUMIF('Data Import'!$K$2:$K$1701,P28&amp;N28,'Data Import'!$I$2:$I$1531)</f>
        <v>107.7396</v>
      </c>
      <c r="R28" s="10">
        <f>INDEX('Data Import'!$AT$2:$AT$131,MATCH(N28&amp;"-"&amp;O28,'Data Import'!$AU$2:$AU$131,0))</f>
        <v>6</v>
      </c>
      <c r="S28" s="10" t="str">
        <f>INDEX('Data Import'!$O$2:$O$11,R28)</f>
        <v>chris</v>
      </c>
      <c r="T28" s="13">
        <f ca="1">SUMIF('Data Import'!$K$2:$K$1701,S28&amp;N28,'Data Import'!$I$2:$I$1531)</f>
        <v>87.972700000000003</v>
      </c>
      <c r="U28" s="14">
        <f>INDEX('Data Import'!$P$15:$W$24,O28,N28)</f>
        <v>0.79042999999999997</v>
      </c>
      <c r="V28" s="10"/>
      <c r="W28" s="7" t="str">
        <f t="shared" si="28"/>
        <v>Wk 6 - chris</v>
      </c>
      <c r="X28" s="8" t="str">
        <f t="shared" ca="1" si="29"/>
        <v>107.7 - 88.0</v>
      </c>
      <c r="Y28" s="9">
        <f t="shared" si="30"/>
        <v>0.79042999999999997</v>
      </c>
      <c r="Z28" s="10"/>
      <c r="AA28" s="10">
        <f t="shared" si="45"/>
        <v>6</v>
      </c>
      <c r="AB28" s="10">
        <f t="shared" si="31"/>
        <v>6</v>
      </c>
      <c r="AC28" s="10" t="str">
        <f>INDEX('Data Import'!$O$2:$O$11,AB28)</f>
        <v>chris</v>
      </c>
      <c r="AD28" s="13">
        <f ca="1">SUMIF('Data Import'!$K$2:$K$1701,AC28&amp;AA28,'Data Import'!$I$2:$I$1531)</f>
        <v>87.972700000000003</v>
      </c>
      <c r="AE28" s="10">
        <f>INDEX('Data Import'!$AT$2:$AT$131,MATCH(AA28&amp;"-"&amp;AB28,'Data Import'!$AU$2:$AU$131,0))</f>
        <v>4</v>
      </c>
      <c r="AF28" s="10" t="str">
        <f>INDEX('Data Import'!$O$2:$O$11,AE28)</f>
        <v>joseph</v>
      </c>
      <c r="AG28" s="13">
        <f ca="1">SUMIF('Data Import'!$K$2:$K$1701,AF28&amp;AA28,'Data Import'!$I$2:$I$1531)</f>
        <v>107.7396</v>
      </c>
      <c r="AH28" s="14">
        <f>INDEX('Data Import'!$P$15:$W$24,AB28,AA28)</f>
        <v>0.20957000000000001</v>
      </c>
      <c r="AI28" s="10"/>
      <c r="AJ28" s="7" t="str">
        <f t="shared" si="32"/>
        <v>Wk 6 - joseph</v>
      </c>
      <c r="AK28" s="8" t="str">
        <f t="shared" ca="1" si="33"/>
        <v>88.0 - 107.7</v>
      </c>
      <c r="AL28" s="9">
        <f t="shared" si="34"/>
        <v>0.20957000000000001</v>
      </c>
      <c r="AM28" s="10"/>
      <c r="AN28" s="10">
        <f t="shared" si="46"/>
        <v>6</v>
      </c>
      <c r="AO28" s="10">
        <f t="shared" si="35"/>
        <v>8</v>
      </c>
      <c r="AP28" s="10" t="str">
        <f>INDEX('Data Import'!$O$2:$O$11,AO28)</f>
        <v>alex</v>
      </c>
      <c r="AQ28" s="13">
        <f ca="1">SUMIF('Data Import'!$K$2:$K$1701,AP28&amp;AN28,'Data Import'!$I$2:$I$1531)</f>
        <v>108.41860000000001</v>
      </c>
      <c r="AR28" s="10">
        <f>INDEX('Data Import'!$AT$2:$AT$131,MATCH(AN28&amp;"-"&amp;AO28,'Data Import'!$AU$2:$AU$131,0))</f>
        <v>3</v>
      </c>
      <c r="AS28" s="10" t="str">
        <f>INDEX('Data Import'!$O$2:$O$11,AR28)</f>
        <v>breanna</v>
      </c>
      <c r="AT28" s="13">
        <f ca="1">SUMIF('Data Import'!$K$2:$K$1701,AS28&amp;AN28,'Data Import'!$I$2:$I$1531)</f>
        <v>91.622399999999999</v>
      </c>
      <c r="AU28" s="14">
        <f>INDEX('Data Import'!$P$15:$W$24,AO28,AN28)</f>
        <v>0.72006999999999999</v>
      </c>
      <c r="AV28" s="10"/>
      <c r="AW28" s="7" t="str">
        <f t="shared" si="36"/>
        <v>Wk 6 - breanna</v>
      </c>
      <c r="AX28" s="8" t="str">
        <f t="shared" ca="1" si="37"/>
        <v>108.4 - 91.6</v>
      </c>
      <c r="AY28" s="9">
        <f t="shared" si="38"/>
        <v>0.72006999999999999</v>
      </c>
      <c r="AZ28" s="10"/>
      <c r="BA28" s="10">
        <f t="shared" si="47"/>
        <v>6</v>
      </c>
      <c r="BB28" s="10">
        <f t="shared" si="39"/>
        <v>10</v>
      </c>
      <c r="BC28" s="10" t="str">
        <f>INDEX('Data Import'!$O$2:$O$11,BB28)</f>
        <v>paul</v>
      </c>
      <c r="BD28" s="13">
        <f ca="1">SUMIF('Data Import'!$K$2:$K$1701,BC28&amp;BA28,'Data Import'!$I$2:$I$1531)</f>
        <v>109.06379999999999</v>
      </c>
      <c r="BE28" s="10">
        <f>INDEX('Data Import'!$AT$2:$AT$131,MATCH(BA28&amp;"-"&amp;BB28,'Data Import'!$AU$2:$AU$131,0))</f>
        <v>2</v>
      </c>
      <c r="BF28" s="10" t="str">
        <f>INDEX('Data Import'!$O$2:$O$11,BE28)</f>
        <v>jake</v>
      </c>
      <c r="BG28" s="13">
        <f ca="1">SUMIF('Data Import'!$K$2:$K$1701,BF28&amp;BA28,'Data Import'!$I$2:$I$1531)</f>
        <v>96.762399999999985</v>
      </c>
      <c r="BH28" s="14">
        <f>INDEX('Data Import'!$P$15:$W$24,BB28,BA28)</f>
        <v>0.67083000000000004</v>
      </c>
      <c r="BI28" s="10"/>
      <c r="BJ28" s="7" t="str">
        <f t="shared" si="40"/>
        <v>Wk 6 - jake</v>
      </c>
      <c r="BK28" s="8" t="str">
        <f t="shared" ca="1" si="41"/>
        <v>109.1 - 96.8</v>
      </c>
      <c r="BL28" s="9">
        <f t="shared" si="42"/>
        <v>0.67083000000000004</v>
      </c>
      <c r="BM28" s="10"/>
    </row>
    <row r="29" spans="1:65" x14ac:dyDescent="0.25">
      <c r="A29" s="10">
        <f t="shared" si="43"/>
        <v>7</v>
      </c>
      <c r="B29" s="10">
        <v>2</v>
      </c>
      <c r="C29" s="10" t="str">
        <f>INDEX('Data Import'!$O$2:$O$11,B29)</f>
        <v>jake</v>
      </c>
      <c r="D29" s="13">
        <f ca="1">SUMIF('Data Import'!$K$2:$K$1701,C29&amp;A29,'Data Import'!$I$2:$I$1531)</f>
        <v>101.63040000000001</v>
      </c>
      <c r="E29" s="10">
        <f>INDEX('Data Import'!$AT$2:$AT$131,MATCH(A29&amp;"-"&amp;B29,'Data Import'!$AU$2:$AU$131,0))</f>
        <v>9</v>
      </c>
      <c r="F29" s="10" t="str">
        <f>INDEX('Data Import'!$O$2:$O$11,E29)</f>
        <v>colin</v>
      </c>
      <c r="G29" s="13">
        <f ca="1">SUMIF('Data Import'!$K$2:$K$1701,F29&amp;A29,'Data Import'!$I$2:$I$1531)</f>
        <v>90.000599999999991</v>
      </c>
      <c r="H29" s="14">
        <f>INDEX('Data Import'!$P$15:$W$24,B29,A29)</f>
        <v>0.68628999999999996</v>
      </c>
      <c r="I29" s="10"/>
      <c r="J29" s="7" t="str">
        <f t="shared" si="24"/>
        <v>Wk 7 - colin</v>
      </c>
      <c r="K29" s="8" t="str">
        <f t="shared" ca="1" si="25"/>
        <v>101.6 - 90.0</v>
      </c>
      <c r="L29" s="9">
        <f t="shared" si="26"/>
        <v>0.68628999999999996</v>
      </c>
      <c r="M29" s="10"/>
      <c r="N29" s="10">
        <f t="shared" si="44"/>
        <v>7</v>
      </c>
      <c r="O29" s="10">
        <f t="shared" si="27"/>
        <v>4</v>
      </c>
      <c r="P29" s="10" t="str">
        <f>INDEX('Data Import'!$O$2:$O$11,O29)</f>
        <v>joseph</v>
      </c>
      <c r="Q29" s="13">
        <f ca="1">SUMIF('Data Import'!$K$2:$K$1701,P29&amp;N29,'Data Import'!$I$2:$I$1531)</f>
        <v>94.125099999999989</v>
      </c>
      <c r="R29" s="10">
        <f>INDEX('Data Import'!$AT$2:$AT$131,MATCH(N29&amp;"-"&amp;O29,'Data Import'!$AU$2:$AU$131,0))</f>
        <v>10</v>
      </c>
      <c r="S29" s="10" t="str">
        <f>INDEX('Data Import'!$O$2:$O$11,R29)</f>
        <v>paul</v>
      </c>
      <c r="T29" s="13">
        <f ca="1">SUMIF('Data Import'!$K$2:$K$1701,S29&amp;N29,'Data Import'!$I$2:$I$1531)</f>
        <v>98.022000000000006</v>
      </c>
      <c r="U29" s="14">
        <f>INDEX('Data Import'!$P$15:$W$24,O29,N29)</f>
        <v>0.42695</v>
      </c>
      <c r="V29" s="10"/>
      <c r="W29" s="7" t="str">
        <f t="shared" si="28"/>
        <v>Wk 7 - paul</v>
      </c>
      <c r="X29" s="8" t="str">
        <f t="shared" ca="1" si="29"/>
        <v>94.1 - 98.0</v>
      </c>
      <c r="Y29" s="9">
        <f t="shared" si="30"/>
        <v>0.42695</v>
      </c>
      <c r="Z29" s="10"/>
      <c r="AA29" s="10">
        <f t="shared" si="45"/>
        <v>7</v>
      </c>
      <c r="AB29" s="10">
        <f t="shared" si="31"/>
        <v>6</v>
      </c>
      <c r="AC29" s="10" t="str">
        <f>INDEX('Data Import'!$O$2:$O$11,AB29)</f>
        <v>chris</v>
      </c>
      <c r="AD29" s="13">
        <f ca="1">SUMIF('Data Import'!$K$2:$K$1701,AC29&amp;AA29,'Data Import'!$I$2:$I$1531)</f>
        <v>89.7697</v>
      </c>
      <c r="AE29" s="10">
        <f>INDEX('Data Import'!$AT$2:$AT$131,MATCH(AA29&amp;"-"&amp;AB29,'Data Import'!$AU$2:$AU$131,0))</f>
        <v>3</v>
      </c>
      <c r="AF29" s="10" t="str">
        <f>INDEX('Data Import'!$O$2:$O$11,AE29)</f>
        <v>breanna</v>
      </c>
      <c r="AG29" s="13">
        <f ca="1">SUMIF('Data Import'!$K$2:$K$1701,AF29&amp;AA29,'Data Import'!$I$2:$I$1531)</f>
        <v>91.36099999999999</v>
      </c>
      <c r="AH29" s="14">
        <f>INDEX('Data Import'!$P$15:$W$24,AB29,AA29)</f>
        <v>0.46575</v>
      </c>
      <c r="AI29" s="10"/>
      <c r="AJ29" s="7" t="str">
        <f t="shared" si="32"/>
        <v>Wk 7 - breanna</v>
      </c>
      <c r="AK29" s="8" t="str">
        <f t="shared" ca="1" si="33"/>
        <v>89.8 - 91.4</v>
      </c>
      <c r="AL29" s="9">
        <f t="shared" si="34"/>
        <v>0.46575</v>
      </c>
      <c r="AM29" s="10"/>
      <c r="AN29" s="10">
        <f t="shared" si="46"/>
        <v>7</v>
      </c>
      <c r="AO29" s="10">
        <f t="shared" si="35"/>
        <v>8</v>
      </c>
      <c r="AP29" s="10" t="str">
        <f>INDEX('Data Import'!$O$2:$O$11,AO29)</f>
        <v>alex</v>
      </c>
      <c r="AQ29" s="13">
        <f ca="1">SUMIF('Data Import'!$K$2:$K$1701,AP29&amp;AN29,'Data Import'!$I$2:$I$1531)</f>
        <v>100.40809999999999</v>
      </c>
      <c r="AR29" s="10">
        <f>INDEX('Data Import'!$AT$2:$AT$131,MATCH(AN29&amp;"-"&amp;AO29,'Data Import'!$AU$2:$AU$131,0))</f>
        <v>5</v>
      </c>
      <c r="AS29" s="10" t="str">
        <f>INDEX('Data Import'!$O$2:$O$11,AR29)</f>
        <v>alyssa</v>
      </c>
      <c r="AT29" s="13">
        <f ca="1">SUMIF('Data Import'!$K$2:$K$1701,AS29&amp;AN29,'Data Import'!$I$2:$I$1531)</f>
        <v>99.743800000000007</v>
      </c>
      <c r="AU29" s="14">
        <f>INDEX('Data Import'!$P$15:$W$24,AO29,AN29)</f>
        <v>0.50915999999999995</v>
      </c>
      <c r="AV29" s="10"/>
      <c r="AW29" s="7" t="str">
        <f t="shared" si="36"/>
        <v>Wk 7 - alyssa</v>
      </c>
      <c r="AX29" s="8" t="str">
        <f t="shared" ca="1" si="37"/>
        <v>100.4 - 99.7</v>
      </c>
      <c r="AY29" s="9">
        <f t="shared" si="38"/>
        <v>0.50915999999999995</v>
      </c>
      <c r="AZ29" s="10"/>
      <c r="BA29" s="10">
        <f t="shared" si="47"/>
        <v>7</v>
      </c>
      <c r="BB29" s="10">
        <f t="shared" si="39"/>
        <v>10</v>
      </c>
      <c r="BC29" s="10" t="str">
        <f>INDEX('Data Import'!$O$2:$O$11,BB29)</f>
        <v>paul</v>
      </c>
      <c r="BD29" s="13">
        <f ca="1">SUMIF('Data Import'!$K$2:$K$1701,BC29&amp;BA29,'Data Import'!$I$2:$I$1531)</f>
        <v>98.022000000000006</v>
      </c>
      <c r="BE29" s="10">
        <f>INDEX('Data Import'!$AT$2:$AT$131,MATCH(BA29&amp;"-"&amp;BB29,'Data Import'!$AU$2:$AU$131,0))</f>
        <v>4</v>
      </c>
      <c r="BF29" s="10" t="str">
        <f>INDEX('Data Import'!$O$2:$O$11,BE29)</f>
        <v>joseph</v>
      </c>
      <c r="BG29" s="13">
        <f ca="1">SUMIF('Data Import'!$K$2:$K$1701,BF29&amp;BA29,'Data Import'!$I$2:$I$1531)</f>
        <v>94.125099999999989</v>
      </c>
      <c r="BH29" s="14">
        <f>INDEX('Data Import'!$P$15:$W$24,BB29,BA29)</f>
        <v>0.57304999999999995</v>
      </c>
      <c r="BI29" s="10"/>
      <c r="BJ29" s="7" t="str">
        <f t="shared" si="40"/>
        <v>Wk 7 - joseph</v>
      </c>
      <c r="BK29" s="8" t="str">
        <f t="shared" ca="1" si="41"/>
        <v>98.0 - 94.1</v>
      </c>
      <c r="BL29" s="9">
        <f t="shared" si="42"/>
        <v>0.57304999999999995</v>
      </c>
      <c r="BM29" s="10"/>
    </row>
    <row r="30" spans="1:65" x14ac:dyDescent="0.25">
      <c r="A30" s="10">
        <f t="shared" si="43"/>
        <v>8</v>
      </c>
      <c r="B30" s="10">
        <v>2</v>
      </c>
      <c r="C30" s="10" t="str">
        <f>INDEX('Data Import'!$O$2:$O$11,B30)</f>
        <v>jake</v>
      </c>
      <c r="D30" s="13">
        <f ca="1">SUMIF('Data Import'!$K$2:$K$1701,C30&amp;A30,'Data Import'!$I$2:$I$1531)</f>
        <v>97.111399999999989</v>
      </c>
      <c r="E30" s="10">
        <f>INDEX('Data Import'!$AT$2:$AT$131,MATCH(A30&amp;"-"&amp;B30,'Data Import'!$AU$2:$AU$131,0))</f>
        <v>7</v>
      </c>
      <c r="F30" s="10" t="str">
        <f>INDEX('Data Import'!$O$2:$O$11,E30)</f>
        <v>jordan</v>
      </c>
      <c r="G30" s="13">
        <f ca="1">SUMIF('Data Import'!$K$2:$K$1701,F30&amp;A30,'Data Import'!$I$2:$I$1531)</f>
        <v>106.0821</v>
      </c>
      <c r="H30" s="14">
        <f>INDEX('Data Import'!$P$15:$W$24,B30,A30)</f>
        <v>0.36142999999999997</v>
      </c>
      <c r="I30" s="10"/>
      <c r="J30" s="7" t="str">
        <f t="shared" si="24"/>
        <v>Wk 8 - jordan</v>
      </c>
      <c r="K30" s="8" t="str">
        <f t="shared" ca="1" si="25"/>
        <v>97.1 - 106.1</v>
      </c>
      <c r="L30" s="9">
        <f t="shared" si="26"/>
        <v>0.36142999999999997</v>
      </c>
      <c r="M30" s="10"/>
      <c r="N30" s="10">
        <f t="shared" si="44"/>
        <v>8</v>
      </c>
      <c r="O30" s="10">
        <f t="shared" si="27"/>
        <v>4</v>
      </c>
      <c r="P30" s="10" t="str">
        <f>INDEX('Data Import'!$O$2:$O$11,O30)</f>
        <v>joseph</v>
      </c>
      <c r="Q30" s="13">
        <f ca="1">SUMIF('Data Import'!$K$2:$K$1701,P30&amp;N30,'Data Import'!$I$2:$I$1531)</f>
        <v>105.9465</v>
      </c>
      <c r="R30" s="10">
        <f>INDEX('Data Import'!$AT$2:$AT$131,MATCH(N30&amp;"-"&amp;O30,'Data Import'!$AU$2:$AU$131,0))</f>
        <v>9</v>
      </c>
      <c r="S30" s="10" t="str">
        <f>INDEX('Data Import'!$O$2:$O$11,R30)</f>
        <v>colin</v>
      </c>
      <c r="T30" s="13">
        <f ca="1">SUMIF('Data Import'!$K$2:$K$1701,S30&amp;N30,'Data Import'!$I$2:$I$1531)</f>
        <v>85.216399999999993</v>
      </c>
      <c r="U30" s="14">
        <f>INDEX('Data Import'!$P$15:$W$24,O30,N30)</f>
        <v>0.79229000000000005</v>
      </c>
      <c r="V30" s="10"/>
      <c r="W30" s="7" t="str">
        <f t="shared" si="28"/>
        <v>Wk 8 - colin</v>
      </c>
      <c r="X30" s="8" t="str">
        <f t="shared" ca="1" si="29"/>
        <v>105.9 - 85.2</v>
      </c>
      <c r="Y30" s="9">
        <f t="shared" si="30"/>
        <v>0.79229000000000005</v>
      </c>
      <c r="Z30" s="10"/>
      <c r="AA30" s="10">
        <f t="shared" si="45"/>
        <v>8</v>
      </c>
      <c r="AB30" s="10">
        <f t="shared" si="31"/>
        <v>6</v>
      </c>
      <c r="AC30" s="10" t="str">
        <f>INDEX('Data Import'!$O$2:$O$11,AB30)</f>
        <v>chris</v>
      </c>
      <c r="AD30" s="13">
        <f ca="1">SUMIF('Data Import'!$K$2:$K$1701,AC30&amp;AA30,'Data Import'!$I$2:$I$1531)</f>
        <v>82.972300000000004</v>
      </c>
      <c r="AE30" s="10">
        <f>INDEX('Data Import'!$AT$2:$AT$131,MATCH(AA30&amp;"-"&amp;AB30,'Data Import'!$AU$2:$AU$131,0))</f>
        <v>5</v>
      </c>
      <c r="AF30" s="10" t="str">
        <f>INDEX('Data Import'!$O$2:$O$11,AE30)</f>
        <v>alyssa</v>
      </c>
      <c r="AG30" s="13">
        <f ca="1">SUMIF('Data Import'!$K$2:$K$1701,AF30&amp;AA30,'Data Import'!$I$2:$I$1531)</f>
        <v>90.3279</v>
      </c>
      <c r="AH30" s="14">
        <f>INDEX('Data Import'!$P$15:$W$24,AB30,AA30)</f>
        <v>0.38045000000000001</v>
      </c>
      <c r="AI30" s="10"/>
      <c r="AJ30" s="7" t="str">
        <f t="shared" si="32"/>
        <v>Wk 8 - alyssa</v>
      </c>
      <c r="AK30" s="8" t="str">
        <f t="shared" ca="1" si="33"/>
        <v>83.0 - 90.3</v>
      </c>
      <c r="AL30" s="9">
        <f t="shared" si="34"/>
        <v>0.38045000000000001</v>
      </c>
      <c r="AM30" s="10"/>
      <c r="AN30" s="10">
        <f t="shared" si="46"/>
        <v>8</v>
      </c>
      <c r="AO30" s="10">
        <f t="shared" si="35"/>
        <v>8</v>
      </c>
      <c r="AP30" s="10" t="str">
        <f>INDEX('Data Import'!$O$2:$O$11,AO30)</f>
        <v>alex</v>
      </c>
      <c r="AQ30" s="13">
        <f ca="1">SUMIF('Data Import'!$K$2:$K$1701,AP30&amp;AN30,'Data Import'!$I$2:$I$1531)</f>
        <v>101.26499999999999</v>
      </c>
      <c r="AR30" s="10">
        <f>INDEX('Data Import'!$AT$2:$AT$131,MATCH(AN30&amp;"-"&amp;AO30,'Data Import'!$AU$2:$AU$131,0))</f>
        <v>1</v>
      </c>
      <c r="AS30" s="10" t="str">
        <f>INDEX('Data Import'!$O$2:$O$11,AR30)</f>
        <v>andrew</v>
      </c>
      <c r="AT30" s="13">
        <f ca="1">SUMIF('Data Import'!$K$2:$K$1701,AS30&amp;AN30,'Data Import'!$I$2:$I$1531)</f>
        <v>104.90860000000001</v>
      </c>
      <c r="AU30" s="14">
        <f>INDEX('Data Import'!$P$15:$W$24,AO30,AN30)</f>
        <v>0.44550000000000001</v>
      </c>
      <c r="AV30" s="10"/>
      <c r="AW30" s="7" t="str">
        <f t="shared" si="36"/>
        <v>Wk 8 - andrew</v>
      </c>
      <c r="AX30" s="8" t="str">
        <f t="shared" ca="1" si="37"/>
        <v>101.3 - 104.9</v>
      </c>
      <c r="AY30" s="9">
        <f t="shared" si="38"/>
        <v>0.44550000000000001</v>
      </c>
      <c r="AZ30" s="10"/>
      <c r="BA30" s="10">
        <f t="shared" si="47"/>
        <v>8</v>
      </c>
      <c r="BB30" s="10">
        <f t="shared" si="39"/>
        <v>10</v>
      </c>
      <c r="BC30" s="10" t="str">
        <f>INDEX('Data Import'!$O$2:$O$11,BB30)</f>
        <v>paul</v>
      </c>
      <c r="BD30" s="13">
        <f ca="1">SUMIF('Data Import'!$K$2:$K$1701,BC30&amp;BA30,'Data Import'!$I$2:$I$1531)</f>
        <v>97.461499999999987</v>
      </c>
      <c r="BE30" s="10">
        <f>INDEX('Data Import'!$AT$2:$AT$131,MATCH(BA30&amp;"-"&amp;BB30,'Data Import'!$AU$2:$AU$131,0))</f>
        <v>3</v>
      </c>
      <c r="BF30" s="10" t="str">
        <f>INDEX('Data Import'!$O$2:$O$11,BE30)</f>
        <v>breanna</v>
      </c>
      <c r="BG30" s="13">
        <f ca="1">SUMIF('Data Import'!$K$2:$K$1701,BF30&amp;BA30,'Data Import'!$I$2:$I$1531)</f>
        <v>99.287499999999994</v>
      </c>
      <c r="BH30" s="14">
        <f>INDEX('Data Import'!$P$15:$W$24,BB30,BA30)</f>
        <v>0.46093000000000001</v>
      </c>
      <c r="BI30" s="10"/>
      <c r="BJ30" s="7" t="str">
        <f t="shared" si="40"/>
        <v>Wk 8 - breanna</v>
      </c>
      <c r="BK30" s="8" t="str">
        <f t="shared" ca="1" si="41"/>
        <v>97.5 - 99.3</v>
      </c>
      <c r="BL30" s="9">
        <f t="shared" si="42"/>
        <v>0.46093000000000001</v>
      </c>
      <c r="BM30" s="10"/>
    </row>
    <row r="31" spans="1:65" x14ac:dyDescent="0.25">
      <c r="A31" s="10">
        <f t="shared" si="43"/>
        <v>9</v>
      </c>
      <c r="B31" s="10">
        <v>2</v>
      </c>
      <c r="C31" s="10" t="str">
        <f>INDEX('Data Import'!$O$2:$O$11,B31)</f>
        <v>jake</v>
      </c>
      <c r="D31" s="13">
        <f ca="1">SUMIF('Data Import'!$K$2:$K$1701,C31&amp;A31,'Data Import'!$I$2:$I$1531)</f>
        <v>84.629000000000019</v>
      </c>
      <c r="E31" s="10">
        <f>INDEX('Data Import'!$AT$2:$AT$131,MATCH(A31&amp;"-"&amp;B31,'Data Import'!$AU$2:$AU$131,0))</f>
        <v>8</v>
      </c>
      <c r="F31" s="10" t="str">
        <f>INDEX('Data Import'!$O$2:$O$11,E31)</f>
        <v>alex</v>
      </c>
      <c r="G31" s="13">
        <f ca="1">SUMIF('Data Import'!$K$2:$K$1701,F31&amp;A31,'Data Import'!$I$2:$I$1531)</f>
        <v>98.580600000000004</v>
      </c>
      <c r="H31" s="14" t="e">
        <f>INDEX('Data Import'!$P$15:$W$24,B31,A31)</f>
        <v>#REF!</v>
      </c>
      <c r="I31" s="10"/>
      <c r="J31" s="7" t="str">
        <f t="shared" si="24"/>
        <v>Wk 9 - alex</v>
      </c>
      <c r="K31" s="8" t="str">
        <f t="shared" ca="1" si="25"/>
        <v>84.6 - 98.6</v>
      </c>
      <c r="L31" s="9" t="e">
        <f t="shared" si="26"/>
        <v>#REF!</v>
      </c>
      <c r="M31" s="10"/>
      <c r="N31" s="10">
        <f t="shared" si="44"/>
        <v>9</v>
      </c>
      <c r="O31" s="10">
        <f t="shared" si="27"/>
        <v>4</v>
      </c>
      <c r="P31" s="10" t="str">
        <f>INDEX('Data Import'!$O$2:$O$11,O31)</f>
        <v>joseph</v>
      </c>
      <c r="Q31" s="13">
        <f ca="1">SUMIF('Data Import'!$K$2:$K$1701,P31&amp;N31,'Data Import'!$I$2:$I$1531)</f>
        <v>97.096699999999998</v>
      </c>
      <c r="R31" s="10">
        <f>INDEX('Data Import'!$AT$2:$AT$131,MATCH(N31&amp;"-"&amp;O31,'Data Import'!$AU$2:$AU$131,0))</f>
        <v>1</v>
      </c>
      <c r="S31" s="10" t="str">
        <f>INDEX('Data Import'!$O$2:$O$11,R31)</f>
        <v>andrew</v>
      </c>
      <c r="T31" s="13">
        <f ca="1">SUMIF('Data Import'!$K$2:$K$1701,S31&amp;N31,'Data Import'!$I$2:$I$1531)</f>
        <v>103.6204</v>
      </c>
      <c r="U31" s="14" t="e">
        <f>INDEX('Data Import'!$P$15:$W$24,O31,N31)</f>
        <v>#REF!</v>
      </c>
      <c r="V31" s="10"/>
      <c r="W31" s="7" t="str">
        <f t="shared" si="28"/>
        <v>Wk 9 - andrew</v>
      </c>
      <c r="X31" s="8" t="str">
        <f t="shared" ca="1" si="29"/>
        <v>97.1 - 103.6</v>
      </c>
      <c r="Y31" s="9" t="e">
        <f t="shared" si="30"/>
        <v>#REF!</v>
      </c>
      <c r="Z31" s="10"/>
      <c r="AA31" s="10">
        <f t="shared" si="45"/>
        <v>9</v>
      </c>
      <c r="AB31" s="10">
        <f t="shared" si="31"/>
        <v>6</v>
      </c>
      <c r="AC31" s="10" t="str">
        <f>INDEX('Data Import'!$O$2:$O$11,AB31)</f>
        <v>chris</v>
      </c>
      <c r="AD31" s="13">
        <f ca="1">SUMIF('Data Import'!$K$2:$K$1701,AC31&amp;AA31,'Data Import'!$I$2:$I$1531)</f>
        <v>86.725400000000008</v>
      </c>
      <c r="AE31" s="10">
        <f>INDEX('Data Import'!$AT$2:$AT$131,MATCH(AA31&amp;"-"&amp;AB31,'Data Import'!$AU$2:$AU$131,0))</f>
        <v>7</v>
      </c>
      <c r="AF31" s="10" t="str">
        <f>INDEX('Data Import'!$O$2:$O$11,AE31)</f>
        <v>jordan</v>
      </c>
      <c r="AG31" s="13">
        <f ca="1">SUMIF('Data Import'!$K$2:$K$1701,AF31&amp;AA31,'Data Import'!$I$2:$I$1531)</f>
        <v>106.68339999999999</v>
      </c>
      <c r="AH31" s="14" t="e">
        <f>INDEX('Data Import'!$P$15:$W$24,AB31,AA31)</f>
        <v>#REF!</v>
      </c>
      <c r="AI31" s="10"/>
      <c r="AJ31" s="7" t="str">
        <f t="shared" si="32"/>
        <v>Wk 9 - jordan</v>
      </c>
      <c r="AK31" s="8" t="str">
        <f t="shared" ca="1" si="33"/>
        <v>86.7 - 106.7</v>
      </c>
      <c r="AL31" s="9" t="e">
        <f t="shared" si="34"/>
        <v>#REF!</v>
      </c>
      <c r="AM31" s="10"/>
      <c r="AN31" s="10">
        <f t="shared" si="46"/>
        <v>9</v>
      </c>
      <c r="AO31" s="10">
        <f t="shared" si="35"/>
        <v>8</v>
      </c>
      <c r="AP31" s="10" t="str">
        <f>INDEX('Data Import'!$O$2:$O$11,AO31)</f>
        <v>alex</v>
      </c>
      <c r="AQ31" s="13">
        <f ca="1">SUMIF('Data Import'!$K$2:$K$1701,AP31&amp;AN31,'Data Import'!$I$2:$I$1531)</f>
        <v>98.580600000000004</v>
      </c>
      <c r="AR31" s="10">
        <f>INDEX('Data Import'!$AT$2:$AT$131,MATCH(AN31&amp;"-"&amp;AO31,'Data Import'!$AU$2:$AU$131,0))</f>
        <v>2</v>
      </c>
      <c r="AS31" s="10" t="str">
        <f>INDEX('Data Import'!$O$2:$O$11,AR31)</f>
        <v>jake</v>
      </c>
      <c r="AT31" s="13">
        <f ca="1">SUMIF('Data Import'!$K$2:$K$1701,AS31&amp;AN31,'Data Import'!$I$2:$I$1531)</f>
        <v>84.629000000000019</v>
      </c>
      <c r="AU31" s="14" t="e">
        <f>INDEX('Data Import'!$P$15:$W$24,AO31,AN31)</f>
        <v>#REF!</v>
      </c>
      <c r="AV31" s="10"/>
      <c r="AW31" s="7" t="str">
        <f t="shared" si="36"/>
        <v>Wk 9 - jake</v>
      </c>
      <c r="AX31" s="8" t="str">
        <f t="shared" ca="1" si="37"/>
        <v>98.6 - 84.6</v>
      </c>
      <c r="AY31" s="9" t="e">
        <f t="shared" si="38"/>
        <v>#REF!</v>
      </c>
      <c r="AZ31" s="10"/>
      <c r="BA31" s="10">
        <f t="shared" si="47"/>
        <v>9</v>
      </c>
      <c r="BB31" s="10">
        <f t="shared" si="39"/>
        <v>10</v>
      </c>
      <c r="BC31" s="10" t="str">
        <f>INDEX('Data Import'!$O$2:$O$11,BB31)</f>
        <v>paul</v>
      </c>
      <c r="BD31" s="13">
        <f ca="1">SUMIF('Data Import'!$K$2:$K$1701,BC31&amp;BA31,'Data Import'!$I$2:$I$1531)</f>
        <v>104.77250000000002</v>
      </c>
      <c r="BE31" s="10">
        <f>INDEX('Data Import'!$AT$2:$AT$131,MATCH(BA31&amp;"-"&amp;BB31,'Data Import'!$AU$2:$AU$131,0))</f>
        <v>9</v>
      </c>
      <c r="BF31" s="10" t="str">
        <f>INDEX('Data Import'!$O$2:$O$11,BE31)</f>
        <v>colin</v>
      </c>
      <c r="BG31" s="13">
        <f ca="1">SUMIF('Data Import'!$K$2:$K$1701,BF31&amp;BA31,'Data Import'!$I$2:$I$1531)</f>
        <v>92.375200000000007</v>
      </c>
      <c r="BH31" s="14" t="e">
        <f>INDEX('Data Import'!$P$15:$W$24,BB31,BA31)</f>
        <v>#REF!</v>
      </c>
      <c r="BI31" s="10"/>
      <c r="BJ31" s="7" t="str">
        <f t="shared" si="40"/>
        <v>Wk 9 - colin</v>
      </c>
      <c r="BK31" s="8" t="str">
        <f t="shared" ca="1" si="41"/>
        <v>104.8 - 92.4</v>
      </c>
      <c r="BL31" s="9" t="e">
        <f t="shared" si="42"/>
        <v>#REF!</v>
      </c>
      <c r="BM31" s="10"/>
    </row>
    <row r="32" spans="1:65" x14ac:dyDescent="0.25">
      <c r="A32" s="10">
        <f t="shared" si="43"/>
        <v>10</v>
      </c>
      <c r="B32" s="10">
        <v>2</v>
      </c>
      <c r="C32" s="10" t="str">
        <f>INDEX('Data Import'!$O$2:$O$11,B32)</f>
        <v>jake</v>
      </c>
      <c r="D32" s="13">
        <f ca="1">SUMIF('Data Import'!$K$2:$K$1701,C32&amp;A32,'Data Import'!$I$2:$I$1531)</f>
        <v>104.3887</v>
      </c>
      <c r="E32" s="10">
        <f>INDEX('Data Import'!$AT$2:$AT$131,MATCH(A32&amp;"-"&amp;B32,'Data Import'!$AU$2:$AU$131,0))</f>
        <v>3</v>
      </c>
      <c r="F32" s="10" t="str">
        <f>INDEX('Data Import'!$O$2:$O$11,E32)</f>
        <v>breanna</v>
      </c>
      <c r="G32" s="13">
        <f ca="1">SUMIF('Data Import'!$K$2:$K$1701,F32&amp;A32,'Data Import'!$I$2:$I$1531)</f>
        <v>96.891999999999996</v>
      </c>
      <c r="H32" s="14" t="e">
        <f>INDEX('Data Import'!$P$15:$W$24,B32,A32)</f>
        <v>#REF!</v>
      </c>
      <c r="I32" s="10"/>
      <c r="J32" s="7" t="str">
        <f t="shared" si="24"/>
        <v>Wk 10 - breanna</v>
      </c>
      <c r="K32" s="8" t="str">
        <f t="shared" ca="1" si="25"/>
        <v>104.4 - 96.9</v>
      </c>
      <c r="L32" s="9" t="e">
        <f t="shared" si="26"/>
        <v>#REF!</v>
      </c>
      <c r="M32" s="10"/>
      <c r="N32" s="10">
        <f t="shared" si="44"/>
        <v>10</v>
      </c>
      <c r="O32" s="10">
        <f t="shared" si="27"/>
        <v>4</v>
      </c>
      <c r="P32" s="10" t="str">
        <f>INDEX('Data Import'!$O$2:$O$11,O32)</f>
        <v>joseph</v>
      </c>
      <c r="Q32" s="13">
        <f ca="1">SUMIF('Data Import'!$K$2:$K$1701,P32&amp;N32,'Data Import'!$I$2:$I$1531)</f>
        <v>99.190500000000014</v>
      </c>
      <c r="R32" s="10">
        <f>INDEX('Data Import'!$AT$2:$AT$131,MATCH(N32&amp;"-"&amp;O32,'Data Import'!$AU$2:$AU$131,0))</f>
        <v>7</v>
      </c>
      <c r="S32" s="10" t="str">
        <f>INDEX('Data Import'!$O$2:$O$11,R32)</f>
        <v>jordan</v>
      </c>
      <c r="T32" s="13">
        <f ca="1">SUMIF('Data Import'!$K$2:$K$1701,S32&amp;N32,'Data Import'!$I$2:$I$1531)</f>
        <v>111.2304</v>
      </c>
      <c r="U32" s="14" t="e">
        <f>INDEX('Data Import'!$P$15:$W$24,O32,N32)</f>
        <v>#REF!</v>
      </c>
      <c r="V32" s="10"/>
      <c r="W32" s="7" t="str">
        <f t="shared" si="28"/>
        <v>Wk 10 - jordan</v>
      </c>
      <c r="X32" s="8" t="str">
        <f t="shared" ca="1" si="29"/>
        <v>99.2 - 111.2</v>
      </c>
      <c r="Y32" s="9" t="e">
        <f t="shared" si="30"/>
        <v>#REF!</v>
      </c>
      <c r="Z32" s="10"/>
      <c r="AA32" s="10">
        <f t="shared" si="45"/>
        <v>10</v>
      </c>
      <c r="AB32" s="10">
        <f t="shared" si="31"/>
        <v>6</v>
      </c>
      <c r="AC32" s="10" t="str">
        <f>INDEX('Data Import'!$O$2:$O$11,AB32)</f>
        <v>chris</v>
      </c>
      <c r="AD32" s="13">
        <f ca="1">SUMIF('Data Import'!$K$2:$K$1701,AC32&amp;AA32,'Data Import'!$I$2:$I$1531)</f>
        <v>91.973699999999994</v>
      </c>
      <c r="AE32" s="10">
        <f>INDEX('Data Import'!$AT$2:$AT$131,MATCH(AA32&amp;"-"&amp;AB32,'Data Import'!$AU$2:$AU$131,0))</f>
        <v>10</v>
      </c>
      <c r="AF32" s="10" t="str">
        <f>INDEX('Data Import'!$O$2:$O$11,AE32)</f>
        <v>paul</v>
      </c>
      <c r="AG32" s="13">
        <f ca="1">SUMIF('Data Import'!$K$2:$K$1701,AF32&amp;AA32,'Data Import'!$I$2:$I$1531)</f>
        <v>99.951999999999998</v>
      </c>
      <c r="AH32" s="14" t="e">
        <f>INDEX('Data Import'!$P$15:$W$24,AB32,AA32)</f>
        <v>#REF!</v>
      </c>
      <c r="AI32" s="10"/>
      <c r="AJ32" s="7" t="str">
        <f t="shared" si="32"/>
        <v>Wk 10 - paul</v>
      </c>
      <c r="AK32" s="8" t="str">
        <f t="shared" ca="1" si="33"/>
        <v>92.0 - 100.0</v>
      </c>
      <c r="AL32" s="9" t="e">
        <f t="shared" si="34"/>
        <v>#REF!</v>
      </c>
      <c r="AM32" s="10"/>
      <c r="AN32" s="10">
        <f t="shared" si="46"/>
        <v>10</v>
      </c>
      <c r="AO32" s="10">
        <f t="shared" si="35"/>
        <v>8</v>
      </c>
      <c r="AP32" s="10" t="str">
        <f>INDEX('Data Import'!$O$2:$O$11,AO32)</f>
        <v>alex</v>
      </c>
      <c r="AQ32" s="13">
        <f ca="1">SUMIF('Data Import'!$K$2:$K$1701,AP32&amp;AN32,'Data Import'!$I$2:$I$1531)</f>
        <v>96.670599999999993</v>
      </c>
      <c r="AR32" s="10">
        <f>INDEX('Data Import'!$AT$2:$AT$131,MATCH(AN32&amp;"-"&amp;AO32,'Data Import'!$AU$2:$AU$131,0))</f>
        <v>9</v>
      </c>
      <c r="AS32" s="10" t="str">
        <f>INDEX('Data Import'!$O$2:$O$11,AR32)</f>
        <v>colin</v>
      </c>
      <c r="AT32" s="13">
        <f ca="1">SUMIF('Data Import'!$K$2:$K$1701,AS32&amp;AN32,'Data Import'!$I$2:$I$1531)</f>
        <v>89.691999999999993</v>
      </c>
      <c r="AU32" s="14" t="e">
        <f>INDEX('Data Import'!$P$15:$W$24,AO32,AN32)</f>
        <v>#REF!</v>
      </c>
      <c r="AV32" s="10"/>
      <c r="AW32" s="7" t="str">
        <f t="shared" si="36"/>
        <v>Wk 10 - colin</v>
      </c>
      <c r="AX32" s="8" t="str">
        <f t="shared" ca="1" si="37"/>
        <v>96.7 - 89.7</v>
      </c>
      <c r="AY32" s="9" t="e">
        <f t="shared" si="38"/>
        <v>#REF!</v>
      </c>
      <c r="AZ32" s="10"/>
      <c r="BA32" s="10">
        <f t="shared" si="47"/>
        <v>10</v>
      </c>
      <c r="BB32" s="10">
        <f t="shared" si="39"/>
        <v>10</v>
      </c>
      <c r="BC32" s="10" t="str">
        <f>INDEX('Data Import'!$O$2:$O$11,BB32)</f>
        <v>paul</v>
      </c>
      <c r="BD32" s="13">
        <f ca="1">SUMIF('Data Import'!$K$2:$K$1701,BC32&amp;BA32,'Data Import'!$I$2:$I$1531)</f>
        <v>99.951999999999998</v>
      </c>
      <c r="BE32" s="10">
        <f>INDEX('Data Import'!$AT$2:$AT$131,MATCH(BA32&amp;"-"&amp;BB32,'Data Import'!$AU$2:$AU$131,0))</f>
        <v>6</v>
      </c>
      <c r="BF32" s="10" t="str">
        <f>INDEX('Data Import'!$O$2:$O$11,BE32)</f>
        <v>chris</v>
      </c>
      <c r="BG32" s="13">
        <f ca="1">SUMIF('Data Import'!$K$2:$K$1701,BF32&amp;BA32,'Data Import'!$I$2:$I$1531)</f>
        <v>91.973699999999994</v>
      </c>
      <c r="BH32" s="14" t="e">
        <f>INDEX('Data Import'!$P$15:$W$24,BB32,BA32)</f>
        <v>#REF!</v>
      </c>
      <c r="BI32" s="10"/>
      <c r="BJ32" s="7" t="str">
        <f t="shared" si="40"/>
        <v>Wk 10 - chris</v>
      </c>
      <c r="BK32" s="8" t="str">
        <f t="shared" ca="1" si="41"/>
        <v>100.0 - 92.0</v>
      </c>
      <c r="BL32" s="9" t="e">
        <f t="shared" si="42"/>
        <v>#REF!</v>
      </c>
      <c r="BM32" s="10"/>
    </row>
    <row r="33" spans="1:65" x14ac:dyDescent="0.25">
      <c r="A33" s="10">
        <f t="shared" si="43"/>
        <v>11</v>
      </c>
      <c r="B33" s="10">
        <v>2</v>
      </c>
      <c r="C33" s="10" t="str">
        <f>INDEX('Data Import'!$O$2:$O$11,B33)</f>
        <v>jake</v>
      </c>
      <c r="D33" s="13">
        <f ca="1">SUMIF('Data Import'!$K$2:$K$1701,C33&amp;A33,'Data Import'!$I$2:$I$1531)</f>
        <v>99.776600000000002</v>
      </c>
      <c r="E33" s="10">
        <f>INDEX('Data Import'!$AT$2:$AT$131,MATCH(A33&amp;"-"&amp;B33,'Data Import'!$AU$2:$AU$131,0))</f>
        <v>1</v>
      </c>
      <c r="F33" s="10" t="str">
        <f>INDEX('Data Import'!$O$2:$O$11,E33)</f>
        <v>andrew</v>
      </c>
      <c r="G33" s="13">
        <f ca="1">SUMIF('Data Import'!$K$2:$K$1701,F33&amp;A33,'Data Import'!$I$2:$I$1531)</f>
        <v>95.715599999999995</v>
      </c>
      <c r="H33" s="14" t="e">
        <f>INDEX('Data Import'!$P$15:$W$24,B33,A33)</f>
        <v>#REF!</v>
      </c>
      <c r="I33" s="10"/>
      <c r="J33" s="7" t="str">
        <f t="shared" si="24"/>
        <v>Wk 11 - andrew</v>
      </c>
      <c r="K33" s="8" t="str">
        <f t="shared" ca="1" si="25"/>
        <v>99.8 - 95.7</v>
      </c>
      <c r="L33" s="9" t="e">
        <f t="shared" si="26"/>
        <v>#REF!</v>
      </c>
      <c r="M33" s="10"/>
      <c r="N33" s="10">
        <f t="shared" si="44"/>
        <v>11</v>
      </c>
      <c r="O33" s="10">
        <f t="shared" si="27"/>
        <v>4</v>
      </c>
      <c r="P33" s="10" t="str">
        <f>INDEX('Data Import'!$O$2:$O$11,O33)</f>
        <v>joseph</v>
      </c>
      <c r="Q33" s="13">
        <f ca="1">SUMIF('Data Import'!$K$2:$K$1701,P33&amp;N33,'Data Import'!$I$2:$I$1531)</f>
        <v>105.92140000000001</v>
      </c>
      <c r="R33" s="10">
        <f>INDEX('Data Import'!$AT$2:$AT$131,MATCH(N33&amp;"-"&amp;O33,'Data Import'!$AU$2:$AU$131,0))</f>
        <v>5</v>
      </c>
      <c r="S33" s="10" t="str">
        <f>INDEX('Data Import'!$O$2:$O$11,R33)</f>
        <v>alyssa</v>
      </c>
      <c r="T33" s="13">
        <f ca="1">SUMIF('Data Import'!$K$2:$K$1701,S33&amp;N33,'Data Import'!$I$2:$I$1531)</f>
        <v>103.00659999999999</v>
      </c>
      <c r="U33" s="14" t="e">
        <f>INDEX('Data Import'!$P$15:$W$24,O33,N33)</f>
        <v>#REF!</v>
      </c>
      <c r="V33" s="10"/>
      <c r="W33" s="7" t="str">
        <f t="shared" si="28"/>
        <v>Wk 11 - alyssa</v>
      </c>
      <c r="X33" s="8" t="str">
        <f t="shared" ca="1" si="29"/>
        <v>105.9 - 103.0</v>
      </c>
      <c r="Y33" s="9" t="e">
        <f t="shared" si="30"/>
        <v>#REF!</v>
      </c>
      <c r="Z33" s="10"/>
      <c r="AA33" s="10">
        <f t="shared" si="45"/>
        <v>11</v>
      </c>
      <c r="AB33" s="10">
        <f t="shared" si="31"/>
        <v>6</v>
      </c>
      <c r="AC33" s="10" t="str">
        <f>INDEX('Data Import'!$O$2:$O$11,AB33)</f>
        <v>chris</v>
      </c>
      <c r="AD33" s="13">
        <f ca="1">SUMIF('Data Import'!$K$2:$K$1701,AC33&amp;AA33,'Data Import'!$I$2:$I$1531)</f>
        <v>95.036500000000004</v>
      </c>
      <c r="AE33" s="10">
        <f>INDEX('Data Import'!$AT$2:$AT$131,MATCH(AA33&amp;"-"&amp;AB33,'Data Import'!$AU$2:$AU$131,0))</f>
        <v>8</v>
      </c>
      <c r="AF33" s="10" t="str">
        <f>INDEX('Data Import'!$O$2:$O$11,AE33)</f>
        <v>alex</v>
      </c>
      <c r="AG33" s="13">
        <f ca="1">SUMIF('Data Import'!$K$2:$K$1701,AF33&amp;AA33,'Data Import'!$I$2:$I$1531)</f>
        <v>106.67549999999999</v>
      </c>
      <c r="AH33" s="14" t="e">
        <f>INDEX('Data Import'!$P$15:$W$24,AB33,AA33)</f>
        <v>#REF!</v>
      </c>
      <c r="AI33" s="10"/>
      <c r="AJ33" s="7" t="str">
        <f t="shared" si="32"/>
        <v>Wk 11 - alex</v>
      </c>
      <c r="AK33" s="8" t="str">
        <f t="shared" ca="1" si="33"/>
        <v>95.0 - 106.7</v>
      </c>
      <c r="AL33" s="9" t="e">
        <f t="shared" si="34"/>
        <v>#REF!</v>
      </c>
      <c r="AM33" s="10"/>
      <c r="AN33" s="10">
        <f t="shared" si="46"/>
        <v>11</v>
      </c>
      <c r="AO33" s="10">
        <f t="shared" si="35"/>
        <v>8</v>
      </c>
      <c r="AP33" s="10" t="str">
        <f>INDEX('Data Import'!$O$2:$O$11,AO33)</f>
        <v>alex</v>
      </c>
      <c r="AQ33" s="13">
        <f ca="1">SUMIF('Data Import'!$K$2:$K$1701,AP33&amp;AN33,'Data Import'!$I$2:$I$1531)</f>
        <v>106.67549999999999</v>
      </c>
      <c r="AR33" s="10">
        <f>INDEX('Data Import'!$AT$2:$AT$131,MATCH(AN33&amp;"-"&amp;AO33,'Data Import'!$AU$2:$AU$131,0))</f>
        <v>6</v>
      </c>
      <c r="AS33" s="10" t="str">
        <f>INDEX('Data Import'!$O$2:$O$11,AR33)</f>
        <v>chris</v>
      </c>
      <c r="AT33" s="13">
        <f ca="1">SUMIF('Data Import'!$K$2:$K$1701,AS33&amp;AN33,'Data Import'!$I$2:$I$1531)</f>
        <v>95.036500000000004</v>
      </c>
      <c r="AU33" s="14" t="e">
        <f>INDEX('Data Import'!$P$15:$W$24,AO33,AN33)</f>
        <v>#REF!</v>
      </c>
      <c r="AV33" s="10"/>
      <c r="AW33" s="7" t="str">
        <f t="shared" si="36"/>
        <v>Wk 11 - chris</v>
      </c>
      <c r="AX33" s="8" t="str">
        <f t="shared" ca="1" si="37"/>
        <v>106.7 - 95.0</v>
      </c>
      <c r="AY33" s="9" t="e">
        <f t="shared" si="38"/>
        <v>#REF!</v>
      </c>
      <c r="AZ33" s="10"/>
      <c r="BA33" s="10">
        <f t="shared" si="47"/>
        <v>11</v>
      </c>
      <c r="BB33" s="10">
        <f t="shared" si="39"/>
        <v>10</v>
      </c>
      <c r="BC33" s="10" t="str">
        <f>INDEX('Data Import'!$O$2:$O$11,BB33)</f>
        <v>paul</v>
      </c>
      <c r="BD33" s="13">
        <f ca="1">SUMIF('Data Import'!$K$2:$K$1701,BC33&amp;BA33,'Data Import'!$I$2:$I$1531)</f>
        <v>99.365499999999997</v>
      </c>
      <c r="BE33" s="10">
        <f>INDEX('Data Import'!$AT$2:$AT$131,MATCH(BA33&amp;"-"&amp;BB33,'Data Import'!$AU$2:$AU$131,0))</f>
        <v>7</v>
      </c>
      <c r="BF33" s="10" t="str">
        <f>INDEX('Data Import'!$O$2:$O$11,BE33)</f>
        <v>jordan</v>
      </c>
      <c r="BG33" s="13">
        <f ca="1">SUMIF('Data Import'!$K$2:$K$1701,BF33&amp;BA33,'Data Import'!$I$2:$I$1531)</f>
        <v>99.331299999999999</v>
      </c>
      <c r="BH33" s="14" t="e">
        <f>INDEX('Data Import'!$P$15:$W$24,BB33,BA33)</f>
        <v>#REF!</v>
      </c>
      <c r="BI33" s="10"/>
      <c r="BJ33" s="7" t="str">
        <f t="shared" si="40"/>
        <v>Wk 11 - jordan</v>
      </c>
      <c r="BK33" s="8" t="str">
        <f t="shared" ca="1" si="41"/>
        <v>99.4 - 99.3</v>
      </c>
      <c r="BL33" s="9" t="e">
        <f t="shared" si="42"/>
        <v>#REF!</v>
      </c>
      <c r="BM33" s="10"/>
    </row>
    <row r="34" spans="1:65" x14ac:dyDescent="0.25">
      <c r="A34" s="10">
        <f t="shared" si="43"/>
        <v>12</v>
      </c>
      <c r="B34" s="10">
        <v>2</v>
      </c>
      <c r="C34" s="10" t="str">
        <f>INDEX('Data Import'!$O$2:$O$11,B34)</f>
        <v>jake</v>
      </c>
      <c r="D34" s="13">
        <f ca="1">SUMIF('Data Import'!$K$2:$K$1701,C34&amp;A34,'Data Import'!$I$2:$I$1531)</f>
        <v>98.238699999999994</v>
      </c>
      <c r="E34" s="10">
        <f>INDEX('Data Import'!$AT$2:$AT$131,MATCH(A34&amp;"-"&amp;B34,'Data Import'!$AU$2:$AU$131,0))</f>
        <v>4</v>
      </c>
      <c r="F34" s="10" t="str">
        <f>INDEX('Data Import'!$O$2:$O$11,E34)</f>
        <v>joseph</v>
      </c>
      <c r="G34" s="13">
        <f ca="1">SUMIF('Data Import'!$K$2:$K$1701,F34&amp;A34,'Data Import'!$I$2:$I$1531)</f>
        <v>102.4162</v>
      </c>
      <c r="H34" s="14" t="e">
        <f>INDEX('Data Import'!$P$15:$W$24,B34,A34)</f>
        <v>#REF!</v>
      </c>
      <c r="I34" s="10"/>
      <c r="J34" s="7" t="str">
        <f t="shared" si="24"/>
        <v>Wk 12 - joseph</v>
      </c>
      <c r="K34" s="8" t="str">
        <f t="shared" ca="1" si="25"/>
        <v>98.2 - 102.4</v>
      </c>
      <c r="L34" s="9" t="e">
        <f t="shared" si="26"/>
        <v>#REF!</v>
      </c>
      <c r="M34" s="10"/>
      <c r="N34" s="10">
        <f t="shared" si="44"/>
        <v>12</v>
      </c>
      <c r="O34" s="10">
        <f t="shared" si="27"/>
        <v>4</v>
      </c>
      <c r="P34" s="10" t="str">
        <f>INDEX('Data Import'!$O$2:$O$11,O34)</f>
        <v>joseph</v>
      </c>
      <c r="Q34" s="13">
        <f ca="1">SUMIF('Data Import'!$K$2:$K$1701,P34&amp;N34,'Data Import'!$I$2:$I$1531)</f>
        <v>102.4162</v>
      </c>
      <c r="R34" s="10">
        <f>INDEX('Data Import'!$AT$2:$AT$131,MATCH(N34&amp;"-"&amp;O34,'Data Import'!$AU$2:$AU$131,0))</f>
        <v>2</v>
      </c>
      <c r="S34" s="10" t="str">
        <f>INDEX('Data Import'!$O$2:$O$11,R34)</f>
        <v>jake</v>
      </c>
      <c r="T34" s="13">
        <f ca="1">SUMIF('Data Import'!$K$2:$K$1701,S34&amp;N34,'Data Import'!$I$2:$I$1531)</f>
        <v>98.238699999999994</v>
      </c>
      <c r="U34" s="14" t="e">
        <f>INDEX('Data Import'!$P$15:$W$24,O34,N34)</f>
        <v>#REF!</v>
      </c>
      <c r="V34" s="10"/>
      <c r="W34" s="7" t="str">
        <f t="shared" si="28"/>
        <v>Wk 12 - jake</v>
      </c>
      <c r="X34" s="8" t="str">
        <f t="shared" ca="1" si="29"/>
        <v>102.4 - 98.2</v>
      </c>
      <c r="Y34" s="9" t="e">
        <f t="shared" si="30"/>
        <v>#REF!</v>
      </c>
      <c r="Z34" s="10"/>
      <c r="AA34" s="10">
        <f t="shared" si="45"/>
        <v>12</v>
      </c>
      <c r="AB34" s="10">
        <f t="shared" si="31"/>
        <v>6</v>
      </c>
      <c r="AC34" s="10" t="str">
        <f>INDEX('Data Import'!$O$2:$O$11,AB34)</f>
        <v>chris</v>
      </c>
      <c r="AD34" s="13">
        <f ca="1">SUMIF('Data Import'!$K$2:$K$1701,AC34&amp;AA34,'Data Import'!$I$2:$I$1531)</f>
        <v>101.5924</v>
      </c>
      <c r="AE34" s="10">
        <f>INDEX('Data Import'!$AT$2:$AT$131,MATCH(AA34&amp;"-"&amp;AB34,'Data Import'!$AU$2:$AU$131,0))</f>
        <v>9</v>
      </c>
      <c r="AF34" s="10" t="str">
        <f>INDEX('Data Import'!$O$2:$O$11,AE34)</f>
        <v>colin</v>
      </c>
      <c r="AG34" s="13">
        <f ca="1">SUMIF('Data Import'!$K$2:$K$1701,AF34&amp;AA34,'Data Import'!$I$2:$I$1531)</f>
        <v>85.335200000000015</v>
      </c>
      <c r="AH34" s="14" t="e">
        <f>INDEX('Data Import'!$P$15:$W$24,AB34,AA34)</f>
        <v>#REF!</v>
      </c>
      <c r="AI34" s="10"/>
      <c r="AJ34" s="7" t="str">
        <f t="shared" si="32"/>
        <v>Wk 12 - colin</v>
      </c>
      <c r="AK34" s="8" t="str">
        <f t="shared" ca="1" si="33"/>
        <v>101.6 - 85.3</v>
      </c>
      <c r="AL34" s="9" t="e">
        <f t="shared" si="34"/>
        <v>#REF!</v>
      </c>
      <c r="AM34" s="10"/>
      <c r="AN34" s="10">
        <f t="shared" si="46"/>
        <v>12</v>
      </c>
      <c r="AO34" s="10">
        <f t="shared" si="35"/>
        <v>8</v>
      </c>
      <c r="AP34" s="10" t="str">
        <f>INDEX('Data Import'!$O$2:$O$11,AO34)</f>
        <v>alex</v>
      </c>
      <c r="AQ34" s="13">
        <f ca="1">SUMIF('Data Import'!$K$2:$K$1701,AP34&amp;AN34,'Data Import'!$I$2:$I$1531)</f>
        <v>105.46860000000001</v>
      </c>
      <c r="AR34" s="10">
        <f>INDEX('Data Import'!$AT$2:$AT$131,MATCH(AN34&amp;"-"&amp;AO34,'Data Import'!$AU$2:$AU$131,0))</f>
        <v>7</v>
      </c>
      <c r="AS34" s="10" t="str">
        <f>INDEX('Data Import'!$O$2:$O$11,AR34)</f>
        <v>jordan</v>
      </c>
      <c r="AT34" s="13">
        <f ca="1">SUMIF('Data Import'!$K$2:$K$1701,AS34&amp;AN34,'Data Import'!$I$2:$I$1531)</f>
        <v>96.542899999999989</v>
      </c>
      <c r="AU34" s="14" t="e">
        <f>INDEX('Data Import'!$P$15:$W$24,AO34,AN34)</f>
        <v>#REF!</v>
      </c>
      <c r="AV34" s="10"/>
      <c r="AW34" s="7" t="str">
        <f t="shared" si="36"/>
        <v>Wk 12 - jordan</v>
      </c>
      <c r="AX34" s="8" t="str">
        <f t="shared" ca="1" si="37"/>
        <v>105.5 - 96.5</v>
      </c>
      <c r="AY34" s="9" t="e">
        <f t="shared" si="38"/>
        <v>#REF!</v>
      </c>
      <c r="AZ34" s="10"/>
      <c r="BA34" s="10">
        <f t="shared" si="47"/>
        <v>12</v>
      </c>
      <c r="BB34" s="10">
        <f t="shared" si="39"/>
        <v>10</v>
      </c>
      <c r="BC34" s="10" t="str">
        <f>INDEX('Data Import'!$O$2:$O$11,BB34)</f>
        <v>paul</v>
      </c>
      <c r="BD34" s="13">
        <f ca="1">SUMIF('Data Import'!$K$2:$K$1701,BC34&amp;BA34,'Data Import'!$I$2:$I$1531)</f>
        <v>96.778599999999997</v>
      </c>
      <c r="BE34" s="10">
        <f>INDEX('Data Import'!$AT$2:$AT$131,MATCH(BA34&amp;"-"&amp;BB34,'Data Import'!$AU$2:$AU$131,0))</f>
        <v>5</v>
      </c>
      <c r="BF34" s="10" t="str">
        <f>INDEX('Data Import'!$O$2:$O$11,BE34)</f>
        <v>alyssa</v>
      </c>
      <c r="BG34" s="13">
        <f ca="1">SUMIF('Data Import'!$K$2:$K$1701,BF34&amp;BA34,'Data Import'!$I$2:$I$1531)</f>
        <v>109.7598</v>
      </c>
      <c r="BH34" s="14" t="e">
        <f>INDEX('Data Import'!$P$15:$W$24,BB34,BA34)</f>
        <v>#REF!</v>
      </c>
      <c r="BI34" s="10"/>
      <c r="BJ34" s="7" t="str">
        <f t="shared" si="40"/>
        <v>Wk 12 - alyssa</v>
      </c>
      <c r="BK34" s="8" t="str">
        <f t="shared" ca="1" si="41"/>
        <v>96.8 - 109.8</v>
      </c>
      <c r="BL34" s="9" t="e">
        <f t="shared" si="42"/>
        <v>#REF!</v>
      </c>
      <c r="BM34" s="10"/>
    </row>
    <row r="35" spans="1:65" x14ac:dyDescent="0.25">
      <c r="A35" s="10">
        <f>A34+1</f>
        <v>13</v>
      </c>
      <c r="B35" s="10">
        <v>2</v>
      </c>
      <c r="C35" s="10" t="str">
        <f>INDEX('Data Import'!$O$2:$O$11,B35)</f>
        <v>jake</v>
      </c>
      <c r="D35" s="13">
        <f ca="1">SUMIF('Data Import'!$K$2:$K$1701,C35&amp;A35,'Data Import'!$I$2:$I$1531)</f>
        <v>94.126599999999996</v>
      </c>
      <c r="E35" s="10">
        <f>INDEX('Data Import'!$AT$2:$AT$131,MATCH(A35&amp;"-"&amp;B35,'Data Import'!$AU$2:$AU$131,0))</f>
        <v>5</v>
      </c>
      <c r="F35" s="10" t="str">
        <f>INDEX('Data Import'!$O$2:$O$11,E35)</f>
        <v>alyssa</v>
      </c>
      <c r="G35" s="13">
        <f ca="1">SUMIF('Data Import'!$K$2:$K$1701,F35&amp;A35,'Data Import'!$I$2:$I$1531)</f>
        <v>109.83009999999999</v>
      </c>
      <c r="H35" s="14" t="e">
        <f>INDEX('Data Import'!$P$15:$W$24,B35,A35)</f>
        <v>#REF!</v>
      </c>
      <c r="I35" s="10"/>
      <c r="J35" s="7" t="str">
        <f>"Wk "&amp;A35&amp;" - "&amp;F35</f>
        <v>Wk 13 - alyssa</v>
      </c>
      <c r="K35" s="8" t="str">
        <f ca="1">TEXT(D35,"0.0")&amp;" - "&amp;TEXT(G35,"0.0")</f>
        <v>94.1 - 109.8</v>
      </c>
      <c r="L35" s="9" t="e">
        <f>H35</f>
        <v>#REF!</v>
      </c>
      <c r="M35" s="10"/>
      <c r="N35" s="10">
        <f>N34+1</f>
        <v>13</v>
      </c>
      <c r="O35" s="10">
        <f t="shared" si="27"/>
        <v>4</v>
      </c>
      <c r="P35" s="10" t="str">
        <f>INDEX('Data Import'!$O$2:$O$11,O35)</f>
        <v>joseph</v>
      </c>
      <c r="Q35" s="13">
        <f ca="1">SUMIF('Data Import'!$K$2:$K$1701,P35&amp;N35,'Data Import'!$I$2:$I$1531)</f>
        <v>104.13669999999999</v>
      </c>
      <c r="R35" s="10">
        <f>INDEX('Data Import'!$AT$2:$AT$131,MATCH(N35&amp;"-"&amp;O35,'Data Import'!$AU$2:$AU$131,0))</f>
        <v>3</v>
      </c>
      <c r="S35" s="10" t="str">
        <f>INDEX('Data Import'!$O$2:$O$11,R35)</f>
        <v>breanna</v>
      </c>
      <c r="T35" s="13">
        <f ca="1">SUMIF('Data Import'!$K$2:$K$1701,S35&amp;N35,'Data Import'!$I$2:$I$1531)</f>
        <v>100.38460000000001</v>
      </c>
      <c r="U35" s="14" t="e">
        <f>INDEX('Data Import'!$P$15:$W$24,O35,N35)</f>
        <v>#REF!</v>
      </c>
      <c r="V35" s="10"/>
      <c r="W35" s="7" t="str">
        <f>"Wk "&amp;N35&amp;" - "&amp;S35</f>
        <v>Wk 13 - breanna</v>
      </c>
      <c r="X35" s="8" t="str">
        <f ca="1">TEXT(Q35,"0.0")&amp;" - "&amp;TEXT(T35,"0.0")</f>
        <v>104.1 - 100.4</v>
      </c>
      <c r="Y35" s="9" t="e">
        <f>U35</f>
        <v>#REF!</v>
      </c>
      <c r="Z35" s="10"/>
      <c r="AA35" s="10">
        <f>AA34+1</f>
        <v>13</v>
      </c>
      <c r="AB35" s="10">
        <f t="shared" si="31"/>
        <v>6</v>
      </c>
      <c r="AC35" s="10" t="str">
        <f>INDEX('Data Import'!$O$2:$O$11,AB35)</f>
        <v>chris</v>
      </c>
      <c r="AD35" s="13">
        <f ca="1">SUMIF('Data Import'!$K$2:$K$1701,AC35&amp;AA35,'Data Import'!$I$2:$I$1531)</f>
        <v>103.45369999999998</v>
      </c>
      <c r="AE35" s="10">
        <f>INDEX('Data Import'!$AT$2:$AT$131,MATCH(AA35&amp;"-"&amp;AB35,'Data Import'!$AU$2:$AU$131,0))</f>
        <v>1</v>
      </c>
      <c r="AF35" s="10" t="str">
        <f>INDEX('Data Import'!$O$2:$O$11,AE35)</f>
        <v>andrew</v>
      </c>
      <c r="AG35" s="13">
        <f ca="1">SUMIF('Data Import'!$K$2:$K$1701,AF35&amp;AA35,'Data Import'!$I$2:$I$1531)</f>
        <v>108.34980000000002</v>
      </c>
      <c r="AH35" s="14" t="e">
        <f>INDEX('Data Import'!$P$15:$W$24,AB35,AA35)</f>
        <v>#REF!</v>
      </c>
      <c r="AI35" s="10"/>
      <c r="AJ35" s="7" t="str">
        <f>"Wk "&amp;AA35&amp;" - "&amp;AF35</f>
        <v>Wk 13 - andrew</v>
      </c>
      <c r="AK35" s="8" t="str">
        <f ca="1">TEXT(AD35,"0.0")&amp;" - "&amp;TEXT(AG35,"0.0")</f>
        <v>103.5 - 108.3</v>
      </c>
      <c r="AL35" s="9" t="e">
        <f>AH35</f>
        <v>#REF!</v>
      </c>
      <c r="AM35" s="10"/>
      <c r="AN35" s="10">
        <f>AN34+1</f>
        <v>13</v>
      </c>
      <c r="AO35" s="10">
        <f t="shared" si="35"/>
        <v>8</v>
      </c>
      <c r="AP35" s="10" t="str">
        <f>INDEX('Data Import'!$O$2:$O$11,AO35)</f>
        <v>alex</v>
      </c>
      <c r="AQ35" s="13">
        <f ca="1">SUMIF('Data Import'!$K$2:$K$1701,AP35&amp;AN35,'Data Import'!$I$2:$I$1531)</f>
        <v>102.2598</v>
      </c>
      <c r="AR35" s="10">
        <f>INDEX('Data Import'!$AT$2:$AT$131,MATCH(AN35&amp;"-"&amp;AO35,'Data Import'!$AU$2:$AU$131,0))</f>
        <v>10</v>
      </c>
      <c r="AS35" s="10" t="str">
        <f>INDEX('Data Import'!$O$2:$O$11,AR35)</f>
        <v>paul</v>
      </c>
      <c r="AT35" s="13">
        <f ca="1">SUMIF('Data Import'!$K$2:$K$1701,AS35&amp;AN35,'Data Import'!$I$2:$I$1531)</f>
        <v>104.59950000000001</v>
      </c>
      <c r="AU35" s="14" t="e">
        <f>INDEX('Data Import'!$P$15:$W$24,AO35,AN35)</f>
        <v>#REF!</v>
      </c>
      <c r="AV35" s="10"/>
      <c r="AW35" s="7" t="str">
        <f>"Wk "&amp;AN35&amp;" - "&amp;AS35</f>
        <v>Wk 13 - paul</v>
      </c>
      <c r="AX35" s="8" t="str">
        <f ca="1">TEXT(AQ35,"0.0")&amp;" - "&amp;TEXT(AT35,"0.0")</f>
        <v>102.3 - 104.6</v>
      </c>
      <c r="AY35" s="9" t="e">
        <f>AU35</f>
        <v>#REF!</v>
      </c>
      <c r="AZ35" s="10"/>
      <c r="BA35" s="10">
        <f>BA34+1</f>
        <v>13</v>
      </c>
      <c r="BB35" s="10">
        <f t="shared" si="39"/>
        <v>10</v>
      </c>
      <c r="BC35" s="10" t="str">
        <f>INDEX('Data Import'!$O$2:$O$11,BB35)</f>
        <v>paul</v>
      </c>
      <c r="BD35" s="13">
        <f ca="1">SUMIF('Data Import'!$K$2:$K$1701,BC35&amp;BA35,'Data Import'!$I$2:$I$1531)</f>
        <v>104.59950000000001</v>
      </c>
      <c r="BE35" s="10">
        <f>INDEX('Data Import'!$AT$2:$AT$131,MATCH(BA35&amp;"-"&amp;BB35,'Data Import'!$AU$2:$AU$131,0))</f>
        <v>8</v>
      </c>
      <c r="BF35" s="10" t="str">
        <f>INDEX('Data Import'!$O$2:$O$11,BE35)</f>
        <v>alex</v>
      </c>
      <c r="BG35" s="13">
        <f ca="1">SUMIF('Data Import'!$K$2:$K$1701,BF35&amp;BA35,'Data Import'!$I$2:$I$1531)</f>
        <v>102.2598</v>
      </c>
      <c r="BH35" s="14" t="e">
        <f>INDEX('Data Import'!$P$15:$W$24,BB35,BA35)</f>
        <v>#REF!</v>
      </c>
      <c r="BI35" s="10"/>
      <c r="BJ35" s="7" t="str">
        <f>"Wk "&amp;BA35&amp;" - "&amp;BF35</f>
        <v>Wk 13 - alex</v>
      </c>
      <c r="BK35" s="8" t="str">
        <f ca="1">TEXT(BD35,"0.0")&amp;" - "&amp;TEXT(BG35,"0.0")</f>
        <v>104.6 - 102.3</v>
      </c>
      <c r="BL35" s="9" t="e">
        <f>BH35</f>
        <v>#REF!</v>
      </c>
      <c r="BM35" s="10"/>
    </row>
    <row r="36" spans="1:65" x14ac:dyDescent="0.25">
      <c r="A36" s="10">
        <f>A35+1</f>
        <v>14</v>
      </c>
      <c r="B36" s="10">
        <v>2</v>
      </c>
      <c r="C36" s="10" t="str">
        <f>INDEX('Data Import'!$O$2:$O$11,B36)</f>
        <v>jake</v>
      </c>
      <c r="D36" s="13">
        <f ca="1">SUMIF('Data Import'!$K$2:$K$1701,C36&amp;A36,'Data Import'!$I$2:$I$1531)</f>
        <v>102.33</v>
      </c>
      <c r="E36" s="10" t="e">
        <f>INDEX('Data Import'!$AT$2:$AT$131,MATCH(A36&amp;"-"&amp;B36,'Data Import'!$AU$2:$AU$131,0))</f>
        <v>#N/A</v>
      </c>
      <c r="F36" s="10" t="e">
        <f>INDEX('Data Import'!$O$2:$O$11,E36)</f>
        <v>#N/A</v>
      </c>
      <c r="G36" s="13">
        <f ca="1">SUMIF('Data Import'!$K$2:$K$1701,F36&amp;A36,'Data Import'!$I$2:$I$1531)</f>
        <v>0</v>
      </c>
      <c r="H36" s="14" t="e">
        <f>INDEX('Data Import'!$P$15:$W$24,B36,A36)</f>
        <v>#REF!</v>
      </c>
      <c r="I36" s="10"/>
      <c r="J36" s="7" t="s">
        <v>112</v>
      </c>
      <c r="K36" s="8"/>
      <c r="L36" s="9" t="e">
        <f>H37</f>
        <v>#REF!</v>
      </c>
      <c r="M36" s="10"/>
      <c r="N36" s="10">
        <f>N35+1</f>
        <v>14</v>
      </c>
      <c r="O36" s="10">
        <f t="shared" si="27"/>
        <v>4</v>
      </c>
      <c r="P36" s="10" t="str">
        <f>INDEX('Data Import'!$O$2:$O$11,O36)</f>
        <v>joseph</v>
      </c>
      <c r="Q36" s="13">
        <f ca="1">SUMIF('Data Import'!$K$2:$K$1701,P36&amp;N36,'Data Import'!$I$2:$I$1531)</f>
        <v>108.569</v>
      </c>
      <c r="R36" s="10" t="e">
        <f>INDEX('Data Import'!$AT$2:$AT$131,MATCH(N36&amp;"-"&amp;O36,'Data Import'!$AU$2:$AU$131,0))</f>
        <v>#N/A</v>
      </c>
      <c r="S36" s="10" t="e">
        <f>INDEX('Data Import'!$O$2:$O$11,R36)</f>
        <v>#N/A</v>
      </c>
      <c r="T36" s="13">
        <f ca="1">SUMIF('Data Import'!$K$2:$K$1701,S36&amp;N36,'Data Import'!$I$2:$I$1531)</f>
        <v>0</v>
      </c>
      <c r="U36" s="14" t="e">
        <f>INDEX('Data Import'!$P$15:$W$24,O36,N36)</f>
        <v>#REF!</v>
      </c>
      <c r="V36" s="10"/>
      <c r="W36" s="7" t="s">
        <v>112</v>
      </c>
      <c r="X36" s="8"/>
      <c r="Y36" s="9" t="e">
        <f>U37</f>
        <v>#REF!</v>
      </c>
      <c r="Z36" s="10"/>
      <c r="AA36" s="10">
        <f>AA35+1</f>
        <v>14</v>
      </c>
      <c r="AB36" s="10">
        <f t="shared" si="31"/>
        <v>6</v>
      </c>
      <c r="AC36" s="10" t="str">
        <f>INDEX('Data Import'!$O$2:$O$11,AB36)</f>
        <v>chris</v>
      </c>
      <c r="AD36" s="13">
        <f ca="1">SUMIF('Data Import'!$K$2:$K$1701,AC36&amp;AA36,'Data Import'!$I$2:$I$1531)</f>
        <v>98.798400000000001</v>
      </c>
      <c r="AE36" s="10" t="e">
        <f>INDEX('Data Import'!$AT$2:$AT$131,MATCH(AA36&amp;"-"&amp;AB36,'Data Import'!$AU$2:$AU$131,0))</f>
        <v>#N/A</v>
      </c>
      <c r="AF36" s="10" t="e">
        <f>INDEX('Data Import'!$O$2:$O$11,AE36)</f>
        <v>#N/A</v>
      </c>
      <c r="AG36" s="13">
        <f ca="1">SUMIF('Data Import'!$K$2:$K$1701,AF36&amp;AA36,'Data Import'!$I$2:$I$1531)</f>
        <v>0</v>
      </c>
      <c r="AH36" s="14" t="e">
        <f>INDEX('Data Import'!$P$15:$W$24,AB36,AA36)</f>
        <v>#REF!</v>
      </c>
      <c r="AI36" s="10"/>
      <c r="AJ36" s="7" t="s">
        <v>112</v>
      </c>
      <c r="AK36" s="8"/>
      <c r="AL36" s="9" t="e">
        <f>AH37</f>
        <v>#REF!</v>
      </c>
      <c r="AM36" s="10"/>
      <c r="AN36" s="10">
        <f>AN35+1</f>
        <v>14</v>
      </c>
      <c r="AO36" s="10">
        <f t="shared" si="35"/>
        <v>8</v>
      </c>
      <c r="AP36" s="10" t="str">
        <f>INDEX('Data Import'!$O$2:$O$11,AO36)</f>
        <v>alex</v>
      </c>
      <c r="AQ36" s="13">
        <f ca="1">SUMIF('Data Import'!$K$2:$K$1701,AP36&amp;AN36,'Data Import'!$I$2:$I$1531)</f>
        <v>102.4487</v>
      </c>
      <c r="AR36" s="10" t="e">
        <f>INDEX('Data Import'!$AT$2:$AT$131,MATCH(AN36&amp;"-"&amp;AO36,'Data Import'!$AU$2:$AU$131,0))</f>
        <v>#N/A</v>
      </c>
      <c r="AS36" s="10" t="e">
        <f>INDEX('Data Import'!$O$2:$O$11,AR36)</f>
        <v>#N/A</v>
      </c>
      <c r="AT36" s="13">
        <f ca="1">SUMIF('Data Import'!$K$2:$K$1701,AS36&amp;AN36,'Data Import'!$I$2:$I$1531)</f>
        <v>0</v>
      </c>
      <c r="AU36" s="14" t="e">
        <f>INDEX('Data Import'!$P$15:$W$24,AO36,AN36)</f>
        <v>#REF!</v>
      </c>
      <c r="AV36" s="10"/>
      <c r="AW36" s="7" t="s">
        <v>112</v>
      </c>
      <c r="AX36" s="8"/>
      <c r="AY36" s="9" t="e">
        <f>AU37</f>
        <v>#REF!</v>
      </c>
      <c r="AZ36" s="10"/>
      <c r="BA36" s="10">
        <f>BA35+1</f>
        <v>14</v>
      </c>
      <c r="BB36" s="10">
        <f t="shared" si="39"/>
        <v>10</v>
      </c>
      <c r="BC36" s="10" t="str">
        <f>INDEX('Data Import'!$O$2:$O$11,BB36)</f>
        <v>paul</v>
      </c>
      <c r="BD36" s="13">
        <f ca="1">SUMIF('Data Import'!$K$2:$K$1701,BC36&amp;BA36,'Data Import'!$I$2:$I$1531)</f>
        <v>106.97199999999999</v>
      </c>
      <c r="BE36" s="10" t="e">
        <f>INDEX('Data Import'!$AT$2:$AT$131,MATCH(BA36&amp;"-"&amp;BB36,'Data Import'!$AU$2:$AU$131,0))</f>
        <v>#N/A</v>
      </c>
      <c r="BF36" s="10" t="e">
        <f>INDEX('Data Import'!$O$2:$O$11,BE36)</f>
        <v>#N/A</v>
      </c>
      <c r="BG36" s="13">
        <f ca="1">SUMIF('Data Import'!$K$2:$K$1701,BF36&amp;BA36,'Data Import'!$I$2:$I$1531)</f>
        <v>0</v>
      </c>
      <c r="BH36" s="14" t="e">
        <f>INDEX('Data Import'!$P$15:$W$24,BB36,BA36)</f>
        <v>#REF!</v>
      </c>
      <c r="BI36" s="10"/>
      <c r="BJ36" s="7" t="s">
        <v>112</v>
      </c>
      <c r="BK36" s="8"/>
      <c r="BL36" s="9" t="e">
        <f>BH37</f>
        <v>#REF!</v>
      </c>
      <c r="BM36" s="10"/>
    </row>
    <row r="37" spans="1:65" ht="15.75" thickBot="1" x14ac:dyDescent="0.3">
      <c r="A37" s="10">
        <f>A36+1</f>
        <v>15</v>
      </c>
      <c r="B37" s="10">
        <v>2</v>
      </c>
      <c r="C37" s="10" t="str">
        <f>INDEX('Data Import'!$O$2:$O$11,B37)</f>
        <v>jake</v>
      </c>
      <c r="D37" s="13">
        <f ca="1">SUMIF('Data Import'!$K$2:$K$1701,C37&amp;A37,'Data Import'!$I$2:$I$1531)</f>
        <v>103.5039</v>
      </c>
      <c r="E37" s="10" t="e">
        <f>INDEX('Data Import'!$AT$2:$AT$131,MATCH(A37&amp;"-"&amp;B37,'Data Import'!$AU$2:$AU$131,0))</f>
        <v>#N/A</v>
      </c>
      <c r="F37" s="10" t="e">
        <f>INDEX('Data Import'!$O$2:$O$11,E37)</f>
        <v>#N/A</v>
      </c>
      <c r="G37" s="13">
        <f ca="1">SUMIF('Data Import'!$K$2:$K$1701,F37&amp;A37,'Data Import'!$I$2:$I$1531)</f>
        <v>0</v>
      </c>
      <c r="H37" s="14" t="e">
        <f>INDEX('Data Import'!#REF!,B37,1)</f>
        <v>#REF!</v>
      </c>
      <c r="I37" s="10"/>
      <c r="J37" s="7" t="s">
        <v>113</v>
      </c>
      <c r="K37" s="15">
        <f ca="1">SUM(D36:D37)</f>
        <v>205.8339</v>
      </c>
      <c r="L37" s="17" t="e">
        <f>H38</f>
        <v>#REF!</v>
      </c>
      <c r="M37" s="6"/>
      <c r="N37" s="10">
        <f>N36+1</f>
        <v>15</v>
      </c>
      <c r="O37" s="10">
        <f t="shared" si="27"/>
        <v>4</v>
      </c>
      <c r="P37" s="10" t="str">
        <f>INDEX('Data Import'!$O$2:$O$11,O37)</f>
        <v>joseph</v>
      </c>
      <c r="Q37" s="13">
        <f ca="1">SUMIF('Data Import'!$K$2:$K$1701,P37&amp;N37,'Data Import'!$I$2:$I$1531)</f>
        <v>93.182000000000002</v>
      </c>
      <c r="R37" s="10" t="e">
        <f>INDEX('Data Import'!$AT$2:$AT$131,MATCH(N37&amp;"-"&amp;O37,'Data Import'!$AU$2:$AU$131,0))</f>
        <v>#N/A</v>
      </c>
      <c r="S37" s="10" t="e">
        <f>INDEX('Data Import'!$O$2:$O$11,R37)</f>
        <v>#N/A</v>
      </c>
      <c r="T37" s="13">
        <f ca="1">SUMIF('Data Import'!$K$2:$K$1701,S37&amp;N37,'Data Import'!$I$2:$I$1531)</f>
        <v>0</v>
      </c>
      <c r="U37" s="14" t="e">
        <f>INDEX('Data Import'!#REF!,O37,1)</f>
        <v>#REF!</v>
      </c>
      <c r="V37" s="10"/>
      <c r="W37" s="7" t="s">
        <v>113</v>
      </c>
      <c r="X37" s="15">
        <f ca="1">SUM(Q36:Q37)</f>
        <v>201.751</v>
      </c>
      <c r="Y37" s="17" t="e">
        <f>U38</f>
        <v>#REF!</v>
      </c>
      <c r="Z37" s="6"/>
      <c r="AA37" s="10">
        <f>AA36+1</f>
        <v>15</v>
      </c>
      <c r="AB37" s="10">
        <f t="shared" si="31"/>
        <v>6</v>
      </c>
      <c r="AC37" s="10" t="str">
        <f>INDEX('Data Import'!$O$2:$O$11,AB37)</f>
        <v>chris</v>
      </c>
      <c r="AD37" s="13">
        <f ca="1">SUMIF('Data Import'!$K$2:$K$1701,AC37&amp;AA37,'Data Import'!$I$2:$I$1531)</f>
        <v>102.79070000000002</v>
      </c>
      <c r="AE37" s="10" t="e">
        <f>INDEX('Data Import'!$AT$2:$AT$131,MATCH(AA37&amp;"-"&amp;AB37,'Data Import'!$AU$2:$AU$131,0))</f>
        <v>#N/A</v>
      </c>
      <c r="AF37" s="10" t="e">
        <f>INDEX('Data Import'!$O$2:$O$11,AE37)</f>
        <v>#N/A</v>
      </c>
      <c r="AG37" s="13">
        <f ca="1">SUMIF('Data Import'!$K$2:$K$1701,AF37&amp;AA37,'Data Import'!$I$2:$I$1531)</f>
        <v>0</v>
      </c>
      <c r="AH37" s="14" t="e">
        <f>INDEX('Data Import'!#REF!,AB37,1)</f>
        <v>#REF!</v>
      </c>
      <c r="AI37" s="10"/>
      <c r="AJ37" s="7" t="s">
        <v>113</v>
      </c>
      <c r="AK37" s="15">
        <f ca="1">SUM(AD36:AD37)</f>
        <v>201.58910000000003</v>
      </c>
      <c r="AL37" s="17" t="e">
        <f>AH38</f>
        <v>#REF!</v>
      </c>
      <c r="AM37" s="6"/>
      <c r="AN37" s="10">
        <f>AN36+1</f>
        <v>15</v>
      </c>
      <c r="AO37" s="10">
        <f t="shared" si="35"/>
        <v>8</v>
      </c>
      <c r="AP37" s="10" t="str">
        <f>INDEX('Data Import'!$O$2:$O$11,AO37)</f>
        <v>alex</v>
      </c>
      <c r="AQ37" s="13">
        <f ca="1">SUMIF('Data Import'!$K$2:$K$1701,AP37&amp;AN37,'Data Import'!$I$2:$I$1531)</f>
        <v>110.6</v>
      </c>
      <c r="AR37" s="10" t="e">
        <f>INDEX('Data Import'!$AT$2:$AT$131,MATCH(AN37&amp;"-"&amp;AO37,'Data Import'!$AU$2:$AU$131,0))</f>
        <v>#N/A</v>
      </c>
      <c r="AS37" s="10" t="e">
        <f>INDEX('Data Import'!$O$2:$O$11,AR37)</f>
        <v>#N/A</v>
      </c>
      <c r="AT37" s="13">
        <f ca="1">SUMIF('Data Import'!$K$2:$K$1701,AS37&amp;AN37,'Data Import'!$I$2:$I$1531)</f>
        <v>0</v>
      </c>
      <c r="AU37" s="14" t="e">
        <f>INDEX('Data Import'!#REF!,AO37,1)</f>
        <v>#REF!</v>
      </c>
      <c r="AV37" s="10"/>
      <c r="AW37" s="7" t="s">
        <v>113</v>
      </c>
      <c r="AX37" s="15">
        <f ca="1">SUM(AQ36:AQ37)</f>
        <v>213.0487</v>
      </c>
      <c r="AY37" s="17" t="e">
        <f>AU38</f>
        <v>#REF!</v>
      </c>
      <c r="AZ37" s="6"/>
      <c r="BA37" s="10">
        <f>BA36+1</f>
        <v>15</v>
      </c>
      <c r="BB37" s="10">
        <f t="shared" si="39"/>
        <v>10</v>
      </c>
      <c r="BC37" s="10" t="str">
        <f>INDEX('Data Import'!$O$2:$O$11,BB37)</f>
        <v>paul</v>
      </c>
      <c r="BD37" s="13">
        <f ca="1">SUMIF('Data Import'!$K$2:$K$1701,BC37&amp;BA37,'Data Import'!$I$2:$I$1531)</f>
        <v>106.87269999999999</v>
      </c>
      <c r="BE37" s="10" t="e">
        <f>INDEX('Data Import'!$AT$2:$AT$131,MATCH(BA37&amp;"-"&amp;BB37,'Data Import'!$AU$2:$AU$131,0))</f>
        <v>#N/A</v>
      </c>
      <c r="BF37" s="10" t="e">
        <f>INDEX('Data Import'!$O$2:$O$11,BE37)</f>
        <v>#N/A</v>
      </c>
      <c r="BG37" s="13">
        <f ca="1">SUMIF('Data Import'!$K$2:$K$1701,BF37&amp;BA37,'Data Import'!$I$2:$I$1531)</f>
        <v>0</v>
      </c>
      <c r="BH37" s="14" t="e">
        <f>INDEX('Data Import'!#REF!,BB37,1)</f>
        <v>#REF!</v>
      </c>
      <c r="BI37" s="10"/>
      <c r="BJ37" s="7" t="s">
        <v>113</v>
      </c>
      <c r="BK37" s="15">
        <f ca="1">SUM(BD36:BD37)</f>
        <v>213.84469999999999</v>
      </c>
      <c r="BL37" s="17" t="e">
        <f>BH38</f>
        <v>#REF!</v>
      </c>
      <c r="BM37" s="6"/>
    </row>
    <row r="38" spans="1:65" ht="15.75" thickBot="1" x14ac:dyDescent="0.3">
      <c r="A38" s="10">
        <f>A37+1</f>
        <v>16</v>
      </c>
      <c r="B38" s="10">
        <v>2</v>
      </c>
      <c r="C38" s="10" t="str">
        <f>INDEX('Data Import'!$O$2:$O$11,B38)</f>
        <v>jake</v>
      </c>
      <c r="D38" s="13">
        <f ca="1">SUMIF('Data Import'!$K$2:$K$1701,C38&amp;A38,'Data Import'!$I$2:$I$1531)</f>
        <v>92.659000000000006</v>
      </c>
      <c r="E38" s="10" t="e">
        <f>INDEX('Data Import'!$AT$2:$AT$131,MATCH(A38&amp;"-"&amp;B38,'Data Import'!$AU$2:$AU$131,0))</f>
        <v>#N/A</v>
      </c>
      <c r="F38" s="10" t="e">
        <f>INDEX('Data Import'!$O$2:$O$11,E38)</f>
        <v>#N/A</v>
      </c>
      <c r="G38" s="13">
        <f ca="1">SUMIF('Data Import'!$K$2:$K$1701,F38&amp;A38,'Data Import'!$I$2:$I$1531)</f>
        <v>0</v>
      </c>
      <c r="H38" s="14" t="e">
        <f>INDEX('Data Import'!#REF!,B38,3)</f>
        <v>#REF!</v>
      </c>
      <c r="I38" s="10"/>
      <c r="J38" s="7" t="s">
        <v>114</v>
      </c>
      <c r="K38" s="16">
        <f ca="1">SUM(D38:D39)</f>
        <v>193.14019999999999</v>
      </c>
      <c r="L38" s="18" t="e">
        <f>H39</f>
        <v>#REF!</v>
      </c>
      <c r="M38" s="6"/>
      <c r="N38" s="10">
        <f>N37+1</f>
        <v>16</v>
      </c>
      <c r="O38" s="10">
        <f t="shared" si="27"/>
        <v>4</v>
      </c>
      <c r="P38" s="10" t="str">
        <f>INDEX('Data Import'!$O$2:$O$11,O38)</f>
        <v>joseph</v>
      </c>
      <c r="Q38" s="13">
        <f ca="1">SUMIF('Data Import'!$K$2:$K$1701,P38&amp;N38,'Data Import'!$I$2:$I$1531)</f>
        <v>99.377200000000016</v>
      </c>
      <c r="R38" s="10" t="e">
        <f>INDEX('Data Import'!$AT$2:$AT$131,MATCH(N38&amp;"-"&amp;O38,'Data Import'!$AU$2:$AU$131,0))</f>
        <v>#N/A</v>
      </c>
      <c r="S38" s="10" t="e">
        <f>INDEX('Data Import'!$O$2:$O$11,R38)</f>
        <v>#N/A</v>
      </c>
      <c r="T38" s="13">
        <f ca="1">SUMIF('Data Import'!$K$2:$K$1701,S38&amp;N38,'Data Import'!$I$2:$I$1531)</f>
        <v>0</v>
      </c>
      <c r="U38" s="14" t="e">
        <f>INDEX('Data Import'!#REF!,O38,3)</f>
        <v>#REF!</v>
      </c>
      <c r="V38" s="10"/>
      <c r="W38" s="7" t="s">
        <v>114</v>
      </c>
      <c r="X38" s="16">
        <f ca="1">SUM(Q38:Q39)</f>
        <v>200.57920000000001</v>
      </c>
      <c r="Y38" s="18" t="e">
        <f>U39</f>
        <v>#REF!</v>
      </c>
      <c r="Z38" s="6"/>
      <c r="AA38" s="10">
        <f>AA37+1</f>
        <v>16</v>
      </c>
      <c r="AB38" s="10">
        <f t="shared" si="31"/>
        <v>6</v>
      </c>
      <c r="AC38" s="10" t="str">
        <f>INDEX('Data Import'!$O$2:$O$11,AB38)</f>
        <v>chris</v>
      </c>
      <c r="AD38" s="13">
        <f ca="1">SUMIF('Data Import'!$K$2:$K$1701,AC38&amp;AA38,'Data Import'!$I$2:$I$1531)</f>
        <v>105.90960000000001</v>
      </c>
      <c r="AE38" s="10" t="e">
        <f>INDEX('Data Import'!$AT$2:$AT$131,MATCH(AA38&amp;"-"&amp;AB38,'Data Import'!$AU$2:$AU$131,0))</f>
        <v>#N/A</v>
      </c>
      <c r="AF38" s="10" t="e">
        <f>INDEX('Data Import'!$O$2:$O$11,AE38)</f>
        <v>#N/A</v>
      </c>
      <c r="AG38" s="13">
        <f ca="1">SUMIF('Data Import'!$K$2:$K$1701,AF38&amp;AA38,'Data Import'!$I$2:$I$1531)</f>
        <v>0</v>
      </c>
      <c r="AH38" s="14" t="e">
        <f>INDEX('Data Import'!#REF!,AB38,3)</f>
        <v>#REF!</v>
      </c>
      <c r="AI38" s="10"/>
      <c r="AJ38" s="7" t="s">
        <v>114</v>
      </c>
      <c r="AK38" s="16">
        <f ca="1">SUM(AD38:AD39)</f>
        <v>208.44929999999999</v>
      </c>
      <c r="AL38" s="18" t="e">
        <f>AH39</f>
        <v>#REF!</v>
      </c>
      <c r="AM38" s="6"/>
      <c r="AN38" s="10">
        <f>AN37+1</f>
        <v>16</v>
      </c>
      <c r="AO38" s="10">
        <f t="shared" si="35"/>
        <v>8</v>
      </c>
      <c r="AP38" s="10" t="str">
        <f>INDEX('Data Import'!$O$2:$O$11,AO38)</f>
        <v>alex</v>
      </c>
      <c r="AQ38" s="13">
        <f ca="1">SUMIF('Data Import'!$K$2:$K$1701,AP38&amp;AN38,'Data Import'!$I$2:$I$1531)</f>
        <v>108.3503</v>
      </c>
      <c r="AR38" s="10" t="e">
        <f>INDEX('Data Import'!$AT$2:$AT$131,MATCH(AN38&amp;"-"&amp;AO38,'Data Import'!$AU$2:$AU$131,0))</f>
        <v>#N/A</v>
      </c>
      <c r="AS38" s="10" t="e">
        <f>INDEX('Data Import'!$O$2:$O$11,AR38)</f>
        <v>#N/A</v>
      </c>
      <c r="AT38" s="13">
        <f ca="1">SUMIF('Data Import'!$K$2:$K$1701,AS38&amp;AN38,'Data Import'!$I$2:$I$1531)</f>
        <v>0</v>
      </c>
      <c r="AU38" s="14" t="e">
        <f>INDEX('Data Import'!#REF!,AO38,3)</f>
        <v>#REF!</v>
      </c>
      <c r="AV38" s="10"/>
      <c r="AW38" s="7" t="s">
        <v>114</v>
      </c>
      <c r="AX38" s="16">
        <f ca="1">SUM(AQ38:AQ39)</f>
        <v>211.10700000000003</v>
      </c>
      <c r="AY38" s="18" t="e">
        <f>AU39</f>
        <v>#REF!</v>
      </c>
      <c r="AZ38" s="6"/>
      <c r="BA38" s="10">
        <f>BA37+1</f>
        <v>16</v>
      </c>
      <c r="BB38" s="10">
        <f t="shared" si="39"/>
        <v>10</v>
      </c>
      <c r="BC38" s="10" t="str">
        <f>INDEX('Data Import'!$O$2:$O$11,BB38)</f>
        <v>paul</v>
      </c>
      <c r="BD38" s="13">
        <f ca="1">SUMIF('Data Import'!$K$2:$K$1701,BC38&amp;BA38,'Data Import'!$I$2:$I$1531)</f>
        <v>95.987200000000016</v>
      </c>
      <c r="BE38" s="10" t="e">
        <f>INDEX('Data Import'!$AT$2:$AT$131,MATCH(BA38&amp;"-"&amp;BB38,'Data Import'!$AU$2:$AU$131,0))</f>
        <v>#N/A</v>
      </c>
      <c r="BF38" s="10" t="e">
        <f>INDEX('Data Import'!$O$2:$O$11,BE38)</f>
        <v>#N/A</v>
      </c>
      <c r="BG38" s="13">
        <f ca="1">SUMIF('Data Import'!$K$2:$K$1701,BF38&amp;BA38,'Data Import'!$I$2:$I$1531)</f>
        <v>0</v>
      </c>
      <c r="BH38" s="14" t="e">
        <f>INDEX('Data Import'!#REF!,BB38,3)</f>
        <v>#REF!</v>
      </c>
      <c r="BI38" s="10"/>
      <c r="BJ38" s="7" t="s">
        <v>114</v>
      </c>
      <c r="BK38" s="16">
        <f ca="1">SUM(BD38:BD39)</f>
        <v>203.7098</v>
      </c>
      <c r="BL38" s="18" t="e">
        <f>BH39</f>
        <v>#REF!</v>
      </c>
      <c r="BM38" s="6"/>
    </row>
    <row r="39" spans="1:65" x14ac:dyDescent="0.25">
      <c r="A39" s="10">
        <f>A38+1</f>
        <v>17</v>
      </c>
      <c r="B39" s="10">
        <v>2</v>
      </c>
      <c r="C39" s="10" t="str">
        <f>INDEX('Data Import'!$O$2:$O$11,B39)</f>
        <v>jake</v>
      </c>
      <c r="D39" s="13">
        <f ca="1">SUMIF('Data Import'!$K$2:$K$1701,C39&amp;A39,'Data Import'!$I$2:$I$1531)</f>
        <v>100.4812</v>
      </c>
      <c r="E39" s="10" t="e">
        <f>INDEX('Data Import'!$AT$2:$AT$131,MATCH(A39&amp;"-"&amp;B39,'Data Import'!$AU$2:$AU$131,0))</f>
        <v>#N/A</v>
      </c>
      <c r="F39" s="10" t="e">
        <f>INDEX('Data Import'!$O$2:$O$11,E39)</f>
        <v>#N/A</v>
      </c>
      <c r="G39" s="13">
        <f ca="1">SUMIF('Data Import'!$K$2:$K$1701,F39&amp;A39,'Data Import'!$I$2:$I$1531)</f>
        <v>0</v>
      </c>
      <c r="H39" s="14" t="e">
        <f>INDEX('Data Import'!#REF!,B39,4)</f>
        <v>#REF!</v>
      </c>
      <c r="I39" s="10"/>
      <c r="J39" s="10"/>
      <c r="K39" s="11"/>
      <c r="L39" s="12"/>
      <c r="M39" s="6"/>
      <c r="N39" s="10">
        <f>N38+1</f>
        <v>17</v>
      </c>
      <c r="O39" s="10">
        <f>B39+2</f>
        <v>4</v>
      </c>
      <c r="P39" s="10" t="str">
        <f>INDEX('Data Import'!$O$2:$O$11,O39)</f>
        <v>joseph</v>
      </c>
      <c r="Q39" s="13">
        <f ca="1">SUMIF('Data Import'!$K$2:$K$1701,P39&amp;N39,'Data Import'!$I$2:$I$1531)</f>
        <v>101.20200000000001</v>
      </c>
      <c r="R39" s="10" t="e">
        <f>INDEX('Data Import'!$AT$2:$AT$131,MATCH(N39&amp;"-"&amp;O39,'Data Import'!$AU$2:$AU$131,0))</f>
        <v>#N/A</v>
      </c>
      <c r="S39" s="10" t="e">
        <f>INDEX('Data Import'!$O$2:$O$11,R39)</f>
        <v>#N/A</v>
      </c>
      <c r="T39" s="13">
        <f ca="1">SUMIF('Data Import'!$K$2:$K$1701,S39&amp;N39,'Data Import'!$I$2:$I$1531)</f>
        <v>0</v>
      </c>
      <c r="U39" s="14" t="e">
        <f>INDEX('Data Import'!#REF!,O39,4)</f>
        <v>#REF!</v>
      </c>
      <c r="V39" s="10"/>
      <c r="W39" s="10"/>
      <c r="X39" s="11"/>
      <c r="Y39" s="12"/>
      <c r="Z39" s="6"/>
      <c r="AA39" s="10">
        <f>AA38+1</f>
        <v>17</v>
      </c>
      <c r="AB39" s="10">
        <f>O39+2</f>
        <v>6</v>
      </c>
      <c r="AC39" s="10" t="str">
        <f>INDEX('Data Import'!$O$2:$O$11,AB39)</f>
        <v>chris</v>
      </c>
      <c r="AD39" s="13">
        <f ca="1">SUMIF('Data Import'!$K$2:$K$1701,AC39&amp;AA39,'Data Import'!$I$2:$I$1531)</f>
        <v>102.53969999999998</v>
      </c>
      <c r="AE39" s="10" t="e">
        <f>INDEX('Data Import'!$AT$2:$AT$131,MATCH(AA39&amp;"-"&amp;AB39,'Data Import'!$AU$2:$AU$131,0))</f>
        <v>#N/A</v>
      </c>
      <c r="AF39" s="10" t="e">
        <f>INDEX('Data Import'!$O$2:$O$11,AE39)</f>
        <v>#N/A</v>
      </c>
      <c r="AG39" s="13">
        <f ca="1">SUMIF('Data Import'!$K$2:$K$1701,AF39&amp;AA39,'Data Import'!$I$2:$I$1531)</f>
        <v>0</v>
      </c>
      <c r="AH39" s="14" t="e">
        <f>INDEX('Data Import'!#REF!,AB39,4)</f>
        <v>#REF!</v>
      </c>
      <c r="AI39" s="10"/>
      <c r="AJ39" s="10"/>
      <c r="AK39" s="11"/>
      <c r="AL39" s="12"/>
      <c r="AM39" s="6"/>
      <c r="AN39" s="10">
        <f>AN38+1</f>
        <v>17</v>
      </c>
      <c r="AO39" s="10">
        <f>AB39+2</f>
        <v>8</v>
      </c>
      <c r="AP39" s="10" t="str">
        <f>INDEX('Data Import'!$O$2:$O$11,AO39)</f>
        <v>alex</v>
      </c>
      <c r="AQ39" s="13">
        <f ca="1">SUMIF('Data Import'!$K$2:$K$1701,AP39&amp;AN39,'Data Import'!$I$2:$I$1531)</f>
        <v>102.75670000000001</v>
      </c>
      <c r="AR39" s="10" t="e">
        <f>INDEX('Data Import'!$AT$2:$AT$131,MATCH(AN39&amp;"-"&amp;AO39,'Data Import'!$AU$2:$AU$131,0))</f>
        <v>#N/A</v>
      </c>
      <c r="AS39" s="10" t="e">
        <f>INDEX('Data Import'!$O$2:$O$11,AR39)</f>
        <v>#N/A</v>
      </c>
      <c r="AT39" s="13">
        <f ca="1">SUMIF('Data Import'!$K$2:$K$1701,AS39&amp;AN39,'Data Import'!$I$2:$I$1531)</f>
        <v>0</v>
      </c>
      <c r="AU39" s="14" t="e">
        <f>INDEX('Data Import'!#REF!,AO39,4)</f>
        <v>#REF!</v>
      </c>
      <c r="AV39" s="10"/>
      <c r="AW39" s="10"/>
      <c r="AX39" s="11"/>
      <c r="AY39" s="12"/>
      <c r="AZ39" s="6"/>
      <c r="BA39" s="10">
        <f>BA38+1</f>
        <v>17</v>
      </c>
      <c r="BB39" s="10">
        <f>AO39+2</f>
        <v>10</v>
      </c>
      <c r="BC39" s="10" t="str">
        <f>INDEX('Data Import'!$O$2:$O$11,BB39)</f>
        <v>paul</v>
      </c>
      <c r="BD39" s="13">
        <f ca="1">SUMIF('Data Import'!$K$2:$K$1701,BC39&amp;BA39,'Data Import'!$I$2:$I$1531)</f>
        <v>107.72259999999999</v>
      </c>
      <c r="BE39" s="10" t="e">
        <f>INDEX('Data Import'!$AT$2:$AT$131,MATCH(BA39&amp;"-"&amp;BB39,'Data Import'!$AU$2:$AU$131,0))</f>
        <v>#N/A</v>
      </c>
      <c r="BF39" s="10" t="e">
        <f>INDEX('Data Import'!$O$2:$O$11,BE39)</f>
        <v>#N/A</v>
      </c>
      <c r="BG39" s="13">
        <f ca="1">SUMIF('Data Import'!$K$2:$K$1701,BF39&amp;BA39,'Data Import'!$I$2:$I$1531)</f>
        <v>0</v>
      </c>
      <c r="BH39" s="14" t="e">
        <f>INDEX('Data Import'!#REF!,BB39,4)</f>
        <v>#REF!</v>
      </c>
      <c r="BI39" s="10"/>
      <c r="BJ39" s="10"/>
      <c r="BK39" s="19"/>
      <c r="BL39" s="12"/>
      <c r="BM39" s="6"/>
    </row>
    <row r="40" spans="1:65"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10"/>
      <c r="BJ40" s="10" t="s">
        <v>116</v>
      </c>
      <c r="BK40" s="99">
        <v>42997.417631018521</v>
      </c>
      <c r="BL40" s="99"/>
      <c r="BM40" s="6"/>
    </row>
    <row r="41" spans="1:65"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row>
    <row r="42" spans="1:65" x14ac:dyDescent="0.25">
      <c r="BK42" s="100">
        <f ca="1">NOW()</f>
        <v>43361.52839699074</v>
      </c>
      <c r="BL42" s="100"/>
    </row>
  </sheetData>
  <mergeCells count="12">
    <mergeCell ref="BK40:BL40"/>
    <mergeCell ref="BK42:BL42"/>
    <mergeCell ref="AW1:AY1"/>
    <mergeCell ref="AW21:AY21"/>
    <mergeCell ref="BJ1:BL1"/>
    <mergeCell ref="BJ21:BL21"/>
    <mergeCell ref="J1:L1"/>
    <mergeCell ref="J21:L21"/>
    <mergeCell ref="W1:Y1"/>
    <mergeCell ref="W21:Y21"/>
    <mergeCell ref="AJ1:AL1"/>
    <mergeCell ref="AJ21:AL21"/>
  </mergeCells>
  <conditionalFormatting sqref="L3:L15 L19">
    <cfRule type="dataBar" priority="42">
      <dataBar>
        <cfvo type="num" val="0"/>
        <cfvo type="num" val="1"/>
        <color rgb="FF63C384"/>
      </dataBar>
      <extLst>
        <ext xmlns:x14="http://schemas.microsoft.com/office/spreadsheetml/2009/9/main" uri="{B025F937-C7B1-47D3-B67F-A62EFF666E3E}">
          <x14:id>{28A45244-E566-43D8-9768-F0925E627E18}</x14:id>
        </ext>
      </extLst>
    </cfRule>
  </conditionalFormatting>
  <conditionalFormatting sqref="L16:L18">
    <cfRule type="dataBar" priority="23">
      <dataBar>
        <cfvo type="num" val="0"/>
        <cfvo type="num" val="1"/>
        <color rgb="FF63C384"/>
      </dataBar>
      <extLst>
        <ext xmlns:x14="http://schemas.microsoft.com/office/spreadsheetml/2009/9/main" uri="{B025F937-C7B1-47D3-B67F-A62EFF666E3E}">
          <x14:id>{1F9926A2-6343-4B83-AEA0-922E94832E59}</x14:id>
        </ext>
      </extLst>
    </cfRule>
  </conditionalFormatting>
  <conditionalFormatting sqref="L23:L35 L39">
    <cfRule type="dataBar" priority="22">
      <dataBar>
        <cfvo type="num" val="0"/>
        <cfvo type="num" val="1"/>
        <color rgb="FF63C384"/>
      </dataBar>
      <extLst>
        <ext xmlns:x14="http://schemas.microsoft.com/office/spreadsheetml/2009/9/main" uri="{B025F937-C7B1-47D3-B67F-A62EFF666E3E}">
          <x14:id>{C3583627-B28B-4DDE-A667-167B7C2A7BF2}</x14:id>
        </ext>
      </extLst>
    </cfRule>
  </conditionalFormatting>
  <conditionalFormatting sqref="L36:L38">
    <cfRule type="dataBar" priority="21">
      <dataBar>
        <cfvo type="num" val="0"/>
        <cfvo type="num" val="1"/>
        <color rgb="FF63C384"/>
      </dataBar>
      <extLst>
        <ext xmlns:x14="http://schemas.microsoft.com/office/spreadsheetml/2009/9/main" uri="{B025F937-C7B1-47D3-B67F-A62EFF666E3E}">
          <x14:id>{A97F2E36-71A6-46B4-88B4-6A033EAA2F13}</x14:id>
        </ext>
      </extLst>
    </cfRule>
  </conditionalFormatting>
  <conditionalFormatting sqref="Y3:Y15 Y19">
    <cfRule type="dataBar" priority="16">
      <dataBar>
        <cfvo type="num" val="0"/>
        <cfvo type="num" val="1"/>
        <color rgb="FF63C384"/>
      </dataBar>
      <extLst>
        <ext xmlns:x14="http://schemas.microsoft.com/office/spreadsheetml/2009/9/main" uri="{B025F937-C7B1-47D3-B67F-A62EFF666E3E}">
          <x14:id>{7436650F-1A6F-4D78-9700-E8A766B036BE}</x14:id>
        </ext>
      </extLst>
    </cfRule>
  </conditionalFormatting>
  <conditionalFormatting sqref="Y16:Y18">
    <cfRule type="dataBar" priority="15">
      <dataBar>
        <cfvo type="num" val="0"/>
        <cfvo type="num" val="1"/>
        <color rgb="FF63C384"/>
      </dataBar>
      <extLst>
        <ext xmlns:x14="http://schemas.microsoft.com/office/spreadsheetml/2009/9/main" uri="{B025F937-C7B1-47D3-B67F-A62EFF666E3E}">
          <x14:id>{8D9BC72A-18AE-42E6-857B-D5A882D66625}</x14:id>
        </ext>
      </extLst>
    </cfRule>
  </conditionalFormatting>
  <conditionalFormatting sqref="Y23:Y35 Y39">
    <cfRule type="dataBar" priority="14">
      <dataBar>
        <cfvo type="num" val="0"/>
        <cfvo type="num" val="1"/>
        <color rgb="FF63C384"/>
      </dataBar>
      <extLst>
        <ext xmlns:x14="http://schemas.microsoft.com/office/spreadsheetml/2009/9/main" uri="{B025F937-C7B1-47D3-B67F-A62EFF666E3E}">
          <x14:id>{73A005C2-34D4-4AEA-B789-41EDE55F6277}</x14:id>
        </ext>
      </extLst>
    </cfRule>
  </conditionalFormatting>
  <conditionalFormatting sqref="Y36:Y38">
    <cfRule type="dataBar" priority="13">
      <dataBar>
        <cfvo type="num" val="0"/>
        <cfvo type="num" val="1"/>
        <color rgb="FF63C384"/>
      </dataBar>
      <extLst>
        <ext xmlns:x14="http://schemas.microsoft.com/office/spreadsheetml/2009/9/main" uri="{B025F937-C7B1-47D3-B67F-A62EFF666E3E}">
          <x14:id>{B5DDB1B1-B8E6-4B84-AC75-59E41FB63AE7}</x14:id>
        </ext>
      </extLst>
    </cfRule>
  </conditionalFormatting>
  <conditionalFormatting sqref="AL3:AL15 AL19">
    <cfRule type="dataBar" priority="12">
      <dataBar>
        <cfvo type="num" val="0"/>
        <cfvo type="num" val="1"/>
        <color rgb="FF63C384"/>
      </dataBar>
      <extLst>
        <ext xmlns:x14="http://schemas.microsoft.com/office/spreadsheetml/2009/9/main" uri="{B025F937-C7B1-47D3-B67F-A62EFF666E3E}">
          <x14:id>{6E383328-FC93-4801-B29A-879A8239C564}</x14:id>
        </ext>
      </extLst>
    </cfRule>
  </conditionalFormatting>
  <conditionalFormatting sqref="AL16:AL18">
    <cfRule type="dataBar" priority="11">
      <dataBar>
        <cfvo type="num" val="0"/>
        <cfvo type="num" val="1"/>
        <color rgb="FF63C384"/>
      </dataBar>
      <extLst>
        <ext xmlns:x14="http://schemas.microsoft.com/office/spreadsheetml/2009/9/main" uri="{B025F937-C7B1-47D3-B67F-A62EFF666E3E}">
          <x14:id>{589FD0BB-3B65-49B3-AD16-0A5D34FDC223}</x14:id>
        </ext>
      </extLst>
    </cfRule>
  </conditionalFormatting>
  <conditionalFormatting sqref="AL23:AL35 AL39">
    <cfRule type="dataBar" priority="10">
      <dataBar>
        <cfvo type="num" val="0"/>
        <cfvo type="num" val="1"/>
        <color rgb="FF63C384"/>
      </dataBar>
      <extLst>
        <ext xmlns:x14="http://schemas.microsoft.com/office/spreadsheetml/2009/9/main" uri="{B025F937-C7B1-47D3-B67F-A62EFF666E3E}">
          <x14:id>{35C03983-47FF-4C77-8378-BE451C6685EA}</x14:id>
        </ext>
      </extLst>
    </cfRule>
  </conditionalFormatting>
  <conditionalFormatting sqref="AL36:AL38">
    <cfRule type="dataBar" priority="9">
      <dataBar>
        <cfvo type="num" val="0"/>
        <cfvo type="num" val="1"/>
        <color rgb="FF63C384"/>
      </dataBar>
      <extLst>
        <ext xmlns:x14="http://schemas.microsoft.com/office/spreadsheetml/2009/9/main" uri="{B025F937-C7B1-47D3-B67F-A62EFF666E3E}">
          <x14:id>{5CEFB6E3-10B9-44BF-9A08-D5F17AF3C773}</x14:id>
        </ext>
      </extLst>
    </cfRule>
  </conditionalFormatting>
  <conditionalFormatting sqref="AY3:AY15 AY19">
    <cfRule type="dataBar" priority="8">
      <dataBar>
        <cfvo type="num" val="0"/>
        <cfvo type="num" val="1"/>
        <color rgb="FF63C384"/>
      </dataBar>
      <extLst>
        <ext xmlns:x14="http://schemas.microsoft.com/office/spreadsheetml/2009/9/main" uri="{B025F937-C7B1-47D3-B67F-A62EFF666E3E}">
          <x14:id>{B8945725-79B0-4B3C-B038-77A1B5A1A469}</x14:id>
        </ext>
      </extLst>
    </cfRule>
  </conditionalFormatting>
  <conditionalFormatting sqref="AY16:AY18">
    <cfRule type="dataBar" priority="7">
      <dataBar>
        <cfvo type="num" val="0"/>
        <cfvo type="num" val="1"/>
        <color rgb="FF63C384"/>
      </dataBar>
      <extLst>
        <ext xmlns:x14="http://schemas.microsoft.com/office/spreadsheetml/2009/9/main" uri="{B025F937-C7B1-47D3-B67F-A62EFF666E3E}">
          <x14:id>{A0B4EBAF-C767-4973-824C-BA8726C08056}</x14:id>
        </ext>
      </extLst>
    </cfRule>
  </conditionalFormatting>
  <conditionalFormatting sqref="AY23:AY35 AY39">
    <cfRule type="dataBar" priority="6">
      <dataBar>
        <cfvo type="num" val="0"/>
        <cfvo type="num" val="1"/>
        <color rgb="FF63C384"/>
      </dataBar>
      <extLst>
        <ext xmlns:x14="http://schemas.microsoft.com/office/spreadsheetml/2009/9/main" uri="{B025F937-C7B1-47D3-B67F-A62EFF666E3E}">
          <x14:id>{46090CC0-244E-4195-84D4-5995B9C2FE28}</x14:id>
        </ext>
      </extLst>
    </cfRule>
  </conditionalFormatting>
  <conditionalFormatting sqref="AY36:AY38">
    <cfRule type="dataBar" priority="5">
      <dataBar>
        <cfvo type="num" val="0"/>
        <cfvo type="num" val="1"/>
        <color rgb="FF63C384"/>
      </dataBar>
      <extLst>
        <ext xmlns:x14="http://schemas.microsoft.com/office/spreadsheetml/2009/9/main" uri="{B025F937-C7B1-47D3-B67F-A62EFF666E3E}">
          <x14:id>{FD04BE8E-FA8E-4D80-8CF7-9AB9820E2E0B}</x14:id>
        </ext>
      </extLst>
    </cfRule>
  </conditionalFormatting>
  <conditionalFormatting sqref="BL3:BL15 BL19">
    <cfRule type="dataBar" priority="4">
      <dataBar>
        <cfvo type="num" val="0"/>
        <cfvo type="num" val="1"/>
        <color rgb="FF63C384"/>
      </dataBar>
      <extLst>
        <ext xmlns:x14="http://schemas.microsoft.com/office/spreadsheetml/2009/9/main" uri="{B025F937-C7B1-47D3-B67F-A62EFF666E3E}">
          <x14:id>{1D878BA8-5B63-4CBB-8CB7-7369FEE54D1A}</x14:id>
        </ext>
      </extLst>
    </cfRule>
  </conditionalFormatting>
  <conditionalFormatting sqref="BL16:BL18">
    <cfRule type="dataBar" priority="3">
      <dataBar>
        <cfvo type="num" val="0"/>
        <cfvo type="num" val="1"/>
        <color rgb="FF63C384"/>
      </dataBar>
      <extLst>
        <ext xmlns:x14="http://schemas.microsoft.com/office/spreadsheetml/2009/9/main" uri="{B025F937-C7B1-47D3-B67F-A62EFF666E3E}">
          <x14:id>{B71FFE6F-0E08-490E-8B9E-02B4FC59EFCA}</x14:id>
        </ext>
      </extLst>
    </cfRule>
  </conditionalFormatting>
  <conditionalFormatting sqref="BL23:BL35">
    <cfRule type="dataBar" priority="2">
      <dataBar>
        <cfvo type="num" val="0"/>
        <cfvo type="num" val="1"/>
        <color rgb="FF63C384"/>
      </dataBar>
      <extLst>
        <ext xmlns:x14="http://schemas.microsoft.com/office/spreadsheetml/2009/9/main" uri="{B025F937-C7B1-47D3-B67F-A62EFF666E3E}">
          <x14:id>{20D0A216-937B-4826-8068-8C975157B89D}</x14:id>
        </ext>
      </extLst>
    </cfRule>
  </conditionalFormatting>
  <conditionalFormatting sqref="BL36:BL39">
    <cfRule type="dataBar" priority="1">
      <dataBar>
        <cfvo type="num" val="0"/>
        <cfvo type="num" val="1"/>
        <color rgb="FF63C384"/>
      </dataBar>
      <extLst>
        <ext xmlns:x14="http://schemas.microsoft.com/office/spreadsheetml/2009/9/main" uri="{B025F937-C7B1-47D3-B67F-A62EFF666E3E}">
          <x14:id>{BB5A59D7-EA69-4A00-9E50-87D1C697D28E}</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28A45244-E566-43D8-9768-F0925E627E1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L3:L15 L19</xm:sqref>
        </x14:conditionalFormatting>
        <x14:conditionalFormatting xmlns:xm="http://schemas.microsoft.com/office/excel/2006/main">
          <x14:cfRule type="dataBar" id="{1F9926A2-6343-4B83-AEA0-922E94832E5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L16:L18</xm:sqref>
        </x14:conditionalFormatting>
        <x14:conditionalFormatting xmlns:xm="http://schemas.microsoft.com/office/excel/2006/main">
          <x14:cfRule type="dataBar" id="{C3583627-B28B-4DDE-A667-167B7C2A7BF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L23:L35 L39</xm:sqref>
        </x14:conditionalFormatting>
        <x14:conditionalFormatting xmlns:xm="http://schemas.microsoft.com/office/excel/2006/main">
          <x14:cfRule type="dataBar" id="{A97F2E36-71A6-46B4-88B4-6A033EAA2F1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L36:L38</xm:sqref>
        </x14:conditionalFormatting>
        <x14:conditionalFormatting xmlns:xm="http://schemas.microsoft.com/office/excel/2006/main">
          <x14:cfRule type="dataBar" id="{7436650F-1A6F-4D78-9700-E8A766B036B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Y3:Y15 Y19</xm:sqref>
        </x14:conditionalFormatting>
        <x14:conditionalFormatting xmlns:xm="http://schemas.microsoft.com/office/excel/2006/main">
          <x14:cfRule type="dataBar" id="{8D9BC72A-18AE-42E6-857B-D5A882D6662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Y16:Y18</xm:sqref>
        </x14:conditionalFormatting>
        <x14:conditionalFormatting xmlns:xm="http://schemas.microsoft.com/office/excel/2006/main">
          <x14:cfRule type="dataBar" id="{73A005C2-34D4-4AEA-B789-41EDE55F627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Y23:Y35 Y39</xm:sqref>
        </x14:conditionalFormatting>
        <x14:conditionalFormatting xmlns:xm="http://schemas.microsoft.com/office/excel/2006/main">
          <x14:cfRule type="dataBar" id="{B5DDB1B1-B8E6-4B84-AC75-59E41FB63AE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Y36:Y38</xm:sqref>
        </x14:conditionalFormatting>
        <x14:conditionalFormatting xmlns:xm="http://schemas.microsoft.com/office/excel/2006/main">
          <x14:cfRule type="dataBar" id="{6E383328-FC93-4801-B29A-879A8239C564}">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AL3:AL15 AL19</xm:sqref>
        </x14:conditionalFormatting>
        <x14:conditionalFormatting xmlns:xm="http://schemas.microsoft.com/office/excel/2006/main">
          <x14:cfRule type="dataBar" id="{589FD0BB-3B65-49B3-AD16-0A5D34FDC22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AL16:AL18</xm:sqref>
        </x14:conditionalFormatting>
        <x14:conditionalFormatting xmlns:xm="http://schemas.microsoft.com/office/excel/2006/main">
          <x14:cfRule type="dataBar" id="{35C03983-47FF-4C77-8378-BE451C6685EA}">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AL23:AL35 AL39</xm:sqref>
        </x14:conditionalFormatting>
        <x14:conditionalFormatting xmlns:xm="http://schemas.microsoft.com/office/excel/2006/main">
          <x14:cfRule type="dataBar" id="{5CEFB6E3-10B9-44BF-9A08-D5F17AF3C77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AL36:AL38</xm:sqref>
        </x14:conditionalFormatting>
        <x14:conditionalFormatting xmlns:xm="http://schemas.microsoft.com/office/excel/2006/main">
          <x14:cfRule type="dataBar" id="{B8945725-79B0-4B3C-B038-77A1B5A1A46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AY3:AY15 AY19</xm:sqref>
        </x14:conditionalFormatting>
        <x14:conditionalFormatting xmlns:xm="http://schemas.microsoft.com/office/excel/2006/main">
          <x14:cfRule type="dataBar" id="{A0B4EBAF-C767-4973-824C-BA8726C0805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AY16:AY18</xm:sqref>
        </x14:conditionalFormatting>
        <x14:conditionalFormatting xmlns:xm="http://schemas.microsoft.com/office/excel/2006/main">
          <x14:cfRule type="dataBar" id="{46090CC0-244E-4195-84D4-5995B9C2FE2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AY23:AY35 AY39</xm:sqref>
        </x14:conditionalFormatting>
        <x14:conditionalFormatting xmlns:xm="http://schemas.microsoft.com/office/excel/2006/main">
          <x14:cfRule type="dataBar" id="{FD04BE8E-FA8E-4D80-8CF7-9AB9820E2E0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AY36:AY38</xm:sqref>
        </x14:conditionalFormatting>
        <x14:conditionalFormatting xmlns:xm="http://schemas.microsoft.com/office/excel/2006/main">
          <x14:cfRule type="dataBar" id="{1D878BA8-5B63-4CBB-8CB7-7369FEE54D1A}">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BL3:BL15 BL19</xm:sqref>
        </x14:conditionalFormatting>
        <x14:conditionalFormatting xmlns:xm="http://schemas.microsoft.com/office/excel/2006/main">
          <x14:cfRule type="dataBar" id="{B71FFE6F-0E08-490E-8B9E-02B4FC59EFCA}">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BL16:BL18</xm:sqref>
        </x14:conditionalFormatting>
        <x14:conditionalFormatting xmlns:xm="http://schemas.microsoft.com/office/excel/2006/main">
          <x14:cfRule type="dataBar" id="{20D0A216-937B-4826-8068-8C975157B89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BL23:BL35</xm:sqref>
        </x14:conditionalFormatting>
        <x14:conditionalFormatting xmlns:xm="http://schemas.microsoft.com/office/excel/2006/main">
          <x14:cfRule type="dataBar" id="{BB5A59D7-EA69-4A00-9E50-87D1C697D28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BL36:BL39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E33" sqref="E33"/>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107"/>
  <sheetViews>
    <sheetView zoomScale="80" zoomScaleNormal="80" workbookViewId="0">
      <selection activeCell="A12" sqref="A3:A12"/>
    </sheetView>
  </sheetViews>
  <sheetFormatPr defaultRowHeight="15" x14ac:dyDescent="0.25"/>
  <cols>
    <col min="1" max="1" width="14.7109375" bestFit="1" customWidth="1"/>
    <col min="2" max="5" width="9.140625" customWidth="1"/>
    <col min="7" max="9" width="9.140625" customWidth="1"/>
    <col min="11" max="11" width="9.140625" customWidth="1"/>
    <col min="12" max="12" width="11" bestFit="1" customWidth="1"/>
    <col min="13" max="13" width="9.5703125" customWidth="1"/>
    <col min="16" max="16" width="9.140625" customWidth="1"/>
    <col min="22" max="22" width="9" customWidth="1"/>
    <col min="25" max="25" width="8.42578125" customWidth="1"/>
    <col min="28" max="31" width="10.5703125" customWidth="1"/>
  </cols>
  <sheetData>
    <row r="1" spans="1:31" x14ac:dyDescent="0.25">
      <c r="A1" t="s">
        <v>118</v>
      </c>
    </row>
    <row r="2" spans="1:31" x14ac:dyDescent="0.25">
      <c r="B2" t="s">
        <v>119</v>
      </c>
      <c r="C2">
        <v>0</v>
      </c>
      <c r="D2">
        <f>C2+1</f>
        <v>1</v>
      </c>
      <c r="E2">
        <f t="shared" ref="E2:P2" si="0">D2+1</f>
        <v>2</v>
      </c>
      <c r="F2">
        <f t="shared" si="0"/>
        <v>3</v>
      </c>
      <c r="G2">
        <f t="shared" si="0"/>
        <v>4</v>
      </c>
      <c r="H2">
        <f t="shared" si="0"/>
        <v>5</v>
      </c>
      <c r="I2">
        <f t="shared" si="0"/>
        <v>6</v>
      </c>
      <c r="J2">
        <f t="shared" si="0"/>
        <v>7</v>
      </c>
      <c r="K2">
        <f t="shared" si="0"/>
        <v>8</v>
      </c>
      <c r="L2">
        <f t="shared" si="0"/>
        <v>9</v>
      </c>
      <c r="M2">
        <f t="shared" si="0"/>
        <v>10</v>
      </c>
      <c r="N2">
        <f t="shared" si="0"/>
        <v>11</v>
      </c>
      <c r="O2">
        <f>N2+1</f>
        <v>12</v>
      </c>
      <c r="P2">
        <f t="shared" si="0"/>
        <v>13</v>
      </c>
      <c r="Q2" t="s">
        <v>120</v>
      </c>
      <c r="R2" t="s">
        <v>121</v>
      </c>
      <c r="S2" t="s">
        <v>125</v>
      </c>
      <c r="T2" t="s">
        <v>126</v>
      </c>
      <c r="U2" t="s">
        <v>134</v>
      </c>
      <c r="V2" t="s">
        <v>137</v>
      </c>
      <c r="W2" t="s">
        <v>138</v>
      </c>
      <c r="X2" t="s">
        <v>137</v>
      </c>
      <c r="Y2" t="s">
        <v>138</v>
      </c>
      <c r="Z2" t="s">
        <v>137</v>
      </c>
      <c r="AA2" t="s">
        <v>138</v>
      </c>
      <c r="AB2" t="s">
        <v>141</v>
      </c>
      <c r="AC2" t="s">
        <v>142</v>
      </c>
      <c r="AD2" t="s">
        <v>143</v>
      </c>
      <c r="AE2" t="s">
        <v>144</v>
      </c>
    </row>
    <row r="3" spans="1:31" x14ac:dyDescent="0.25">
      <c r="A3" t="s">
        <v>11</v>
      </c>
      <c r="B3" s="2">
        <f>AVERAGE('Data Import'!P15:W15)</f>
        <v>0.6717225</v>
      </c>
      <c r="C3" s="23">
        <f t="shared" ref="C3:C12" si="1">_xlfn.BINOM.DIST(C$2,13,$B3,FALSE)</f>
        <v>5.1420290524673417E-7</v>
      </c>
      <c r="D3" s="23">
        <f t="shared" ref="D3:P3" si="2">_xlfn.BINOM.DIST(D$2,13,$B3,FALSE)</f>
        <v>1.3678127782911678E-5</v>
      </c>
      <c r="E3" s="23">
        <f t="shared" si="2"/>
        <v>1.6792938028936316E-4</v>
      </c>
      <c r="F3" s="23">
        <f t="shared" si="2"/>
        <v>1.2599313839314174E-3</v>
      </c>
      <c r="G3" s="23">
        <f t="shared" si="2"/>
        <v>6.4451893523228953E-3</v>
      </c>
      <c r="H3" s="23">
        <f t="shared" si="2"/>
        <v>2.37387017644776E-2</v>
      </c>
      <c r="I3" s="23">
        <f t="shared" si="2"/>
        <v>6.4765612816349169E-2</v>
      </c>
      <c r="J3" s="23">
        <f t="shared" si="2"/>
        <v>0.13252360991852954</v>
      </c>
      <c r="K3" s="23">
        <f t="shared" si="2"/>
        <v>0.20337768480210977</v>
      </c>
      <c r="L3" s="23">
        <f t="shared" si="2"/>
        <v>0.23119560412470333</v>
      </c>
      <c r="M3" s="23">
        <f t="shared" si="2"/>
        <v>0.18922928216725912</v>
      </c>
      <c r="N3" s="23">
        <f t="shared" si="2"/>
        <v>0.10560043075302562</v>
      </c>
      <c r="O3" s="23">
        <f t="shared" si="2"/>
        <v>3.6013324776801768E-2</v>
      </c>
      <c r="P3" s="23">
        <f t="shared" si="2"/>
        <v>5.6685064295123738E-3</v>
      </c>
      <c r="Q3" s="24">
        <f>SUMPRODUCT($C$2:$P$2,C3:P3)</f>
        <v>8.7323925000000013</v>
      </c>
      <c r="R3" s="24">
        <f>B3*(1-B3)*13</f>
        <v>2.86664797891875</v>
      </c>
      <c r="S3" s="20">
        <f>SUMIF('Data Import'!$J$2:$J$1301,$A3,'Data Import'!$I$2:$I$1301)</f>
        <v>0</v>
      </c>
      <c r="T3" s="20">
        <f>SUMIF('Data Import'!$J$2:$J$1301,$A3,'Data Import'!$L$2:$L$1301)</f>
        <v>0</v>
      </c>
      <c r="U3" t="s">
        <v>135</v>
      </c>
      <c r="V3" s="2">
        <f>1-_xlfn.NORM.DIST(IF(U3="DP",$D$15,$D$16),Q3,SQRT(R3),TRUE)</f>
        <v>0.53981549155303643</v>
      </c>
      <c r="W3" s="2">
        <f>IF(U3="DP",V3/$E$15,V3/$E$16)</f>
        <v>0.44809287378879759</v>
      </c>
      <c r="X3" s="2">
        <f>1-_xlfn.NORM.DIST($D$17,Q3,SQRT(R3),TRUE)</f>
        <v>0.47756477353541926</v>
      </c>
      <c r="Y3" s="21">
        <f>X3/$X$13</f>
        <v>0.26632598179910671</v>
      </c>
      <c r="Z3" s="2">
        <f>1-_xlfn.NORM.DIST($D$18,Q3,SQRT(R3),TRUE)</f>
        <v>0.83132407671596731</v>
      </c>
      <c r="AA3" s="21">
        <f>Z3/$Z$13*4</f>
        <v>0.82872300867203108</v>
      </c>
      <c r="AB3" s="2">
        <f>Y3</f>
        <v>0.26632598179910671</v>
      </c>
      <c r="AC3" s="2">
        <f>W3-Y3</f>
        <v>0.18176689198969087</v>
      </c>
      <c r="AD3" s="2">
        <f>(AA3-W3)/2</f>
        <v>0.19031506744161675</v>
      </c>
      <c r="AE3" s="2">
        <f>AD3</f>
        <v>0.19031506744161675</v>
      </c>
    </row>
    <row r="4" spans="1:31" x14ac:dyDescent="0.25">
      <c r="A4" t="s">
        <v>15</v>
      </c>
      <c r="B4" s="2">
        <f>AVERAGE('Data Import'!P16:W16)</f>
        <v>0.4541925</v>
      </c>
      <c r="C4" s="23">
        <f t="shared" si="1"/>
        <v>3.8151664279427829E-4</v>
      </c>
      <c r="D4" s="23">
        <f t="shared" ref="D4:P11" si="3">_xlfn.BINOM.DIST(D$2,13,$B4,FALSE)</f>
        <v>4.1272169605042529E-3</v>
      </c>
      <c r="E4" s="23">
        <f t="shared" si="3"/>
        <v>2.0606726613326059E-2</v>
      </c>
      <c r="F4" s="23">
        <f t="shared" si="3"/>
        <v>6.2875420027851139E-2</v>
      </c>
      <c r="G4" s="23">
        <f t="shared" si="3"/>
        <v>0.13080410314533855</v>
      </c>
      <c r="H4" s="23">
        <f t="shared" si="3"/>
        <v>0.19592701952998184</v>
      </c>
      <c r="I4" s="23">
        <f t="shared" si="3"/>
        <v>0.21738697939687829</v>
      </c>
      <c r="J4" s="23">
        <f t="shared" si="3"/>
        <v>0.18089809253210454</v>
      </c>
      <c r="K4" s="23">
        <f t="shared" si="3"/>
        <v>0.11290045972122208</v>
      </c>
      <c r="L4" s="23">
        <f t="shared" si="3"/>
        <v>5.2194370575229403E-2</v>
      </c>
      <c r="M4" s="23">
        <f t="shared" si="3"/>
        <v>1.7373371862783048E-2</v>
      </c>
      <c r="N4" s="23">
        <f t="shared" si="3"/>
        <v>3.9428762303994466E-3</v>
      </c>
      <c r="O4" s="23">
        <f t="shared" si="3"/>
        <v>5.4684261767372322E-4</v>
      </c>
      <c r="P4" s="23">
        <f t="shared" si="3"/>
        <v>3.5004143913484962E-5</v>
      </c>
      <c r="Q4" s="24">
        <f>SUMPRODUCT($C$2:$P$2,C4:P4)</f>
        <v>5.9045025000000004</v>
      </c>
      <c r="R4" s="24">
        <f>B4*(1-B4)*13</f>
        <v>3.22272174826875</v>
      </c>
      <c r="S4" s="20">
        <f>SUMIF('Data Import'!$J$2:$J$1301,$A4,'Data Import'!$I$2:$I$1301)</f>
        <v>0</v>
      </c>
      <c r="T4" s="20">
        <f>SUMIF('Data Import'!$J$2:$J$1301,$A4,'Data Import'!$L$2:$L$1301)</f>
        <v>0</v>
      </c>
      <c r="U4" t="s">
        <v>136</v>
      </c>
      <c r="V4" s="2">
        <f t="shared" ref="V4:V12" si="4">1-_xlfn.NORM.DIST(IF(U4="DP",$D$15,$D$16),Q4,SQRT(R4),TRUE)</f>
        <v>0.14425859814717146</v>
      </c>
      <c r="W4" s="2">
        <f t="shared" ref="W4:W12" si="5">IF(U4="DP",V4/$E$15,V4/$E$16)</f>
        <v>0.11203479774464056</v>
      </c>
      <c r="X4" s="2">
        <f t="shared" ref="X4:X12" si="6">1-_xlfn.NORM.DIST($D$17,Q4,SQRT(R4),TRUE)</f>
        <v>5.1728211489723064E-2</v>
      </c>
      <c r="Y4" s="21">
        <f t="shared" ref="Y4:Y12" si="7">X4/$X$13</f>
        <v>2.8847535402840113E-2</v>
      </c>
      <c r="Z4" s="2">
        <f t="shared" ref="Z4:Z12" si="8">1-_xlfn.NORM.DIST($D$18,Q4,SQRT(R4),TRUE)</f>
        <v>0.25130205637255176</v>
      </c>
      <c r="AA4" s="21">
        <f t="shared" ref="AA4:AA12" si="9">Z4/$Z$13*4</f>
        <v>0.25051577606801845</v>
      </c>
      <c r="AB4" s="2">
        <f t="shared" ref="AB4:AB12" si="10">Y4</f>
        <v>2.8847535402840113E-2</v>
      </c>
      <c r="AC4" s="2">
        <f t="shared" ref="AC4:AC12" si="11">W4-Y4</f>
        <v>8.3187262341800447E-2</v>
      </c>
      <c r="AD4" s="2">
        <f t="shared" ref="AD4:AD12" si="12">(AA4-W4)/2</f>
        <v>6.9240489161688942E-2</v>
      </c>
      <c r="AE4" s="2">
        <f t="shared" ref="AE4:AE12" si="13">AD4</f>
        <v>6.9240489161688942E-2</v>
      </c>
    </row>
    <row r="5" spans="1:31" x14ac:dyDescent="0.25">
      <c r="A5" t="s">
        <v>17</v>
      </c>
      <c r="B5" s="2">
        <f>AVERAGE('Data Import'!P17:W17)</f>
        <v>0.32534375000000004</v>
      </c>
      <c r="C5" s="23">
        <f t="shared" si="1"/>
        <v>5.9989207429408968E-3</v>
      </c>
      <c r="D5" s="23">
        <f t="shared" si="3"/>
        <v>3.7607667335765871E-2</v>
      </c>
      <c r="E5" s="23">
        <f t="shared" si="3"/>
        <v>0.10881469951345374</v>
      </c>
      <c r="F5" s="23">
        <f t="shared" si="3"/>
        <v>0.19240613588679778</v>
      </c>
      <c r="G5" s="23">
        <f t="shared" si="3"/>
        <v>0.2319630692386693</v>
      </c>
      <c r="H5" s="23">
        <f t="shared" si="3"/>
        <v>0.20134983208665602</v>
      </c>
      <c r="I5" s="23">
        <f t="shared" si="3"/>
        <v>0.1294642704991231</v>
      </c>
      <c r="J5" s="23">
        <f t="shared" si="3"/>
        <v>6.2432373901819001E-2</v>
      </c>
      <c r="K5" s="23">
        <f t="shared" si="3"/>
        <v>2.2580368869279634E-2</v>
      </c>
      <c r="L5" s="23">
        <f t="shared" si="3"/>
        <v>6.0494855996127217E-3</v>
      </c>
      <c r="M5" s="23">
        <f t="shared" si="3"/>
        <v>1.1669126791897379E-3</v>
      </c>
      <c r="N5" s="23">
        <f t="shared" si="3"/>
        <v>1.5347118570119061E-4</v>
      </c>
      <c r="O5" s="23">
        <f t="shared" si="3"/>
        <v>1.2334896740123064E-5</v>
      </c>
      <c r="P5" s="23">
        <f t="shared" si="3"/>
        <v>4.5756425088781312E-7</v>
      </c>
      <c r="Q5" s="24">
        <f t="shared" ref="Q5:Q12" si="14">SUMPRODUCT($C$2:$P$2,C5:P5)</f>
        <v>4.2294687500000006</v>
      </c>
      <c r="R5" s="24">
        <f t="shared" ref="R5:R12" si="15">B5*(1-B5)*13</f>
        <v>2.8534375263671876</v>
      </c>
      <c r="S5" s="20">
        <f>SUMIF('Data Import'!$J$2:$J$1301,$A5,'Data Import'!$I$2:$I$1301)</f>
        <v>0</v>
      </c>
      <c r="T5" s="20">
        <f>SUMIF('Data Import'!$J$2:$J$1301,$A5,'Data Import'!$L$2:$L$1301)</f>
        <v>0</v>
      </c>
      <c r="U5" t="s">
        <v>136</v>
      </c>
      <c r="V5" s="2">
        <f t="shared" si="4"/>
        <v>1.7020819600101822E-2</v>
      </c>
      <c r="W5" s="2">
        <f t="shared" si="5"/>
        <v>1.3218789769466586E-2</v>
      </c>
      <c r="X5" s="2">
        <f t="shared" si="6"/>
        <v>3.2435114188911207E-3</v>
      </c>
      <c r="Y5" s="21">
        <f t="shared" si="7"/>
        <v>1.8088255478263917E-3</v>
      </c>
      <c r="Z5" s="2">
        <f t="shared" si="8"/>
        <v>4.4184415116605424E-2</v>
      </c>
      <c r="AA5" s="21">
        <f>Z5/$Z$13*4</f>
        <v>4.4046169787955954E-2</v>
      </c>
      <c r="AB5" s="2">
        <f t="shared" si="10"/>
        <v>1.8088255478263917E-3</v>
      </c>
      <c r="AC5" s="2">
        <f t="shared" si="11"/>
        <v>1.1409964221640194E-2</v>
      </c>
      <c r="AD5" s="2">
        <f t="shared" si="12"/>
        <v>1.5413690009244684E-2</v>
      </c>
      <c r="AE5" s="2">
        <f t="shared" si="13"/>
        <v>1.5413690009244684E-2</v>
      </c>
    </row>
    <row r="6" spans="1:31" x14ac:dyDescent="0.25">
      <c r="A6" t="s">
        <v>18</v>
      </c>
      <c r="B6" s="2">
        <f>AVERAGE('Data Import'!P18:W18)</f>
        <v>0.48592124999999997</v>
      </c>
      <c r="C6" s="23">
        <f t="shared" si="1"/>
        <v>1.7514005376377507E-4</v>
      </c>
      <c r="D6" s="23">
        <f t="shared" si="3"/>
        <v>2.1521129983479974E-3</v>
      </c>
      <c r="E6" s="23">
        <f t="shared" si="3"/>
        <v>1.2205415278867376E-2</v>
      </c>
      <c r="F6" s="23">
        <f t="shared" si="3"/>
        <v>4.2301934700237784E-2</v>
      </c>
      <c r="G6" s="23">
        <f t="shared" si="3"/>
        <v>9.9962354925961838E-2</v>
      </c>
      <c r="H6" s="23">
        <f t="shared" si="3"/>
        <v>0.17007685772932785</v>
      </c>
      <c r="I6" s="23">
        <f t="shared" si="3"/>
        <v>0.21434837705029208</v>
      </c>
      <c r="J6" s="23">
        <f t="shared" si="3"/>
        <v>0.20260792983905529</v>
      </c>
      <c r="K6" s="23">
        <f t="shared" si="3"/>
        <v>0.14363290428845679</v>
      </c>
      <c r="L6" s="23">
        <f t="shared" si="3"/>
        <v>7.5425409469503893E-2</v>
      </c>
      <c r="M6" s="23">
        <f t="shared" si="3"/>
        <v>2.8517661351443239E-2</v>
      </c>
      <c r="N6" s="23">
        <f t="shared" si="3"/>
        <v>7.351546635238273E-3</v>
      </c>
      <c r="O6" s="23">
        <f t="shared" si="3"/>
        <v>1.1581470512148444E-3</v>
      </c>
      <c r="P6" s="23">
        <f t="shared" si="3"/>
        <v>8.4208628288973383E-5</v>
      </c>
      <c r="Q6" s="24">
        <f t="shared" si="14"/>
        <v>6.3169762499999997</v>
      </c>
      <c r="R6" s="24">
        <f t="shared" si="15"/>
        <v>3.2474232543796875</v>
      </c>
      <c r="S6" s="20">
        <f>SUMIF('Data Import'!$J$2:$J$1301,$A6,'Data Import'!$I$2:$I$1301)</f>
        <v>0</v>
      </c>
      <c r="T6" s="20">
        <f>SUMIF('Data Import'!$J$2:$J$1301,$A6,'Data Import'!$L$2:$L$1301)</f>
        <v>0</v>
      </c>
      <c r="U6" t="s">
        <v>135</v>
      </c>
      <c r="V6" s="2">
        <f t="shared" si="4"/>
        <v>0.10630181665963867</v>
      </c>
      <c r="W6" s="2">
        <f t="shared" si="5"/>
        <v>8.8239569373876448E-2</v>
      </c>
      <c r="X6" s="2">
        <f t="shared" si="6"/>
        <v>8.1775397177904274E-2</v>
      </c>
      <c r="Y6" s="21">
        <f t="shared" si="7"/>
        <v>4.5604102620860482E-2</v>
      </c>
      <c r="Z6" s="2">
        <f t="shared" si="8"/>
        <v>0.33034764651603221</v>
      </c>
      <c r="AA6" s="21">
        <f t="shared" si="9"/>
        <v>0.32931404634636458</v>
      </c>
      <c r="AB6" s="2">
        <f t="shared" si="10"/>
        <v>4.5604102620860482E-2</v>
      </c>
      <c r="AC6" s="2">
        <f t="shared" si="11"/>
        <v>4.2635466753015966E-2</v>
      </c>
      <c r="AD6" s="2">
        <f t="shared" si="12"/>
        <v>0.12053723848624406</v>
      </c>
      <c r="AE6" s="2">
        <f t="shared" si="13"/>
        <v>0.12053723848624406</v>
      </c>
    </row>
    <row r="7" spans="1:31" x14ac:dyDescent="0.25">
      <c r="A7" t="s">
        <v>19</v>
      </c>
      <c r="B7" s="2">
        <f>AVERAGE('Data Import'!P19:W19)</f>
        <v>0.54759749999999996</v>
      </c>
      <c r="C7" s="23">
        <f t="shared" si="1"/>
        <v>3.3252549645311151E-5</v>
      </c>
      <c r="D7" s="23">
        <f t="shared" si="3"/>
        <v>5.2324461006996521E-4</v>
      </c>
      <c r="E7" s="23">
        <f t="shared" si="3"/>
        <v>3.8000776790064758E-3</v>
      </c>
      <c r="F7" s="23">
        <f t="shared" si="3"/>
        <v>1.6865544439687529E-2</v>
      </c>
      <c r="G7" s="23">
        <f>_xlfn.BINOM.DIST(G$2,13,$B7,FALSE)</f>
        <v>5.1036024178203014E-2</v>
      </c>
      <c r="H7" s="23">
        <f t="shared" si="3"/>
        <v>0.11119513851020346</v>
      </c>
      <c r="I7" s="23">
        <f t="shared" si="3"/>
        <v>0.17945724544063052</v>
      </c>
      <c r="J7" s="23">
        <f t="shared" si="3"/>
        <v>0.21721882385746241</v>
      </c>
      <c r="K7" s="23">
        <f t="shared" si="3"/>
        <v>0.19719467437285398</v>
      </c>
      <c r="L7" s="23">
        <f t="shared" si="3"/>
        <v>0.13260476714121811</v>
      </c>
      <c r="M7" s="23">
        <f t="shared" si="3"/>
        <v>6.4203039527512037E-2</v>
      </c>
      <c r="N7" s="23">
        <f t="shared" si="3"/>
        <v>2.119437524469114E-2</v>
      </c>
      <c r="O7" s="23">
        <f t="shared" si="3"/>
        <v>4.2756862521223819E-3</v>
      </c>
      <c r="P7" s="23">
        <f t="shared" si="3"/>
        <v>3.9810619669373445E-4</v>
      </c>
      <c r="Q7" s="24">
        <f t="shared" si="14"/>
        <v>7.1187674999999997</v>
      </c>
      <c r="R7" s="24">
        <f t="shared" si="15"/>
        <v>3.2205482139187502</v>
      </c>
      <c r="S7" s="20">
        <f>SUMIF('Data Import'!$J$2:$J$1301,$A7,'Data Import'!$I$2:$I$1301)</f>
        <v>0</v>
      </c>
      <c r="T7" s="20">
        <f>SUMIF('Data Import'!$J$2:$J$1301,$A7,'Data Import'!$L$2:$L$1301)</f>
        <v>0</v>
      </c>
      <c r="U7" t="s">
        <v>136</v>
      </c>
      <c r="V7" s="2">
        <f t="shared" si="4"/>
        <v>0.35007708223553191</v>
      </c>
      <c r="W7" s="2">
        <f t="shared" si="5"/>
        <v>0.27187852652830413</v>
      </c>
      <c r="X7" s="2">
        <f t="shared" si="6"/>
        <v>0.17048598878626364</v>
      </c>
      <c r="Y7" s="21">
        <f t="shared" si="7"/>
        <v>9.5075790474159941E-2</v>
      </c>
      <c r="Z7" s="2">
        <f t="shared" si="8"/>
        <v>0.5023942982715075</v>
      </c>
      <c r="AA7" s="21">
        <f t="shared" si="9"/>
        <v>0.5008223941353348</v>
      </c>
      <c r="AB7" s="2">
        <f t="shared" si="10"/>
        <v>9.5075790474159941E-2</v>
      </c>
      <c r="AC7" s="2">
        <f t="shared" si="11"/>
        <v>0.17680273605414421</v>
      </c>
      <c r="AD7" s="2">
        <f t="shared" si="12"/>
        <v>0.11447193380351534</v>
      </c>
      <c r="AE7" s="2">
        <f t="shared" si="13"/>
        <v>0.11447193380351534</v>
      </c>
    </row>
    <row r="8" spans="1:31" x14ac:dyDescent="0.25">
      <c r="A8" t="s">
        <v>21</v>
      </c>
      <c r="B8" s="2">
        <f>AVERAGE('Data Import'!P20:W20)</f>
        <v>0.40155874999999996</v>
      </c>
      <c r="C8" s="23">
        <f t="shared" si="1"/>
        <v>1.2626406824690268E-3</v>
      </c>
      <c r="D8" s="23">
        <f t="shared" si="3"/>
        <v>1.1014142798425629E-2</v>
      </c>
      <c r="E8" s="23">
        <f t="shared" si="3"/>
        <v>4.434345474471181E-2</v>
      </c>
      <c r="F8" s="23">
        <f t="shared" si="3"/>
        <v>0.10910094897237799</v>
      </c>
      <c r="G8" s="23">
        <f t="shared" si="3"/>
        <v>0.18301897092305169</v>
      </c>
      <c r="H8" s="23">
        <f t="shared" si="3"/>
        <v>0.22105288454341099</v>
      </c>
      <c r="I8" s="23">
        <f t="shared" si="3"/>
        <v>0.19777094800009501</v>
      </c>
      <c r="J8" s="23">
        <f t="shared" si="3"/>
        <v>0.13270584984780565</v>
      </c>
      <c r="K8" s="23">
        <f t="shared" si="3"/>
        <v>6.6784995831970825E-2</v>
      </c>
      <c r="L8" s="23">
        <f t="shared" si="3"/>
        <v>2.4896251948096981E-2</v>
      </c>
      <c r="M8" s="23">
        <f t="shared" si="3"/>
        <v>6.6822317558910931E-3</v>
      </c>
      <c r="N8" s="23">
        <f t="shared" si="3"/>
        <v>1.2228626366365485E-3</v>
      </c>
      <c r="O8" s="23">
        <f t="shared" si="3"/>
        <v>1.3675839574602537E-4</v>
      </c>
      <c r="P8" s="23">
        <f t="shared" si="3"/>
        <v>7.0589193107644636E-6</v>
      </c>
      <c r="Q8" s="24">
        <f t="shared" si="14"/>
        <v>5.22026375</v>
      </c>
      <c r="R8" s="24">
        <f t="shared" si="15"/>
        <v>3.1240211638796875</v>
      </c>
      <c r="S8" s="20">
        <f>SUMIF('Data Import'!$J$2:$J$1301,$A8,'Data Import'!$I$2:$I$1301)</f>
        <v>0</v>
      </c>
      <c r="T8" s="20">
        <f>SUMIF('Data Import'!$J$2:$J$1301,$A8,'Data Import'!$L$2:$L$1301)</f>
        <v>0</v>
      </c>
      <c r="U8" t="s">
        <v>135</v>
      </c>
      <c r="V8" s="2">
        <f t="shared" si="4"/>
        <v>2.9291563822922639E-2</v>
      </c>
      <c r="W8" s="2">
        <f t="shared" si="5"/>
        <v>2.4314494890504322E-2</v>
      </c>
      <c r="X8" s="2">
        <f t="shared" si="6"/>
        <v>2.0626897277488343E-2</v>
      </c>
      <c r="Y8" s="21">
        <f t="shared" si="7"/>
        <v>1.1503106957048148E-2</v>
      </c>
      <c r="Z8" s="2">
        <f t="shared" si="8"/>
        <v>0.14275338387423642</v>
      </c>
      <c r="AA8" s="21">
        <f t="shared" si="9"/>
        <v>0.14230673343386199</v>
      </c>
      <c r="AB8" s="2">
        <f t="shared" si="10"/>
        <v>1.1503106957048148E-2</v>
      </c>
      <c r="AC8" s="2">
        <f t="shared" si="11"/>
        <v>1.2811387933456174E-2</v>
      </c>
      <c r="AD8" s="2">
        <f t="shared" si="12"/>
        <v>5.8996119271678832E-2</v>
      </c>
      <c r="AE8" s="2">
        <f t="shared" si="13"/>
        <v>5.8996119271678832E-2</v>
      </c>
    </row>
    <row r="9" spans="1:31" x14ac:dyDescent="0.25">
      <c r="A9" t="s">
        <v>23</v>
      </c>
      <c r="B9" s="2">
        <f>AVERAGE('Data Import'!P21:W21)</f>
        <v>0.68769625000000001</v>
      </c>
      <c r="C9" s="23">
        <f t="shared" si="1"/>
        <v>2.6884600536150391E-7</v>
      </c>
      <c r="D9" s="23">
        <f t="shared" si="3"/>
        <v>7.6960237150198471E-6</v>
      </c>
      <c r="E9" s="23">
        <f t="shared" si="3"/>
        <v>1.016803669260495E-4</v>
      </c>
      <c r="F9" s="23">
        <f t="shared" si="3"/>
        <v>8.209713325252005E-4</v>
      </c>
      <c r="G9" s="23">
        <f t="shared" si="3"/>
        <v>4.5194694807145523E-3</v>
      </c>
      <c r="H9" s="23">
        <f t="shared" si="3"/>
        <v>1.791345760330551E-2</v>
      </c>
      <c r="I9" s="23">
        <f t="shared" si="3"/>
        <v>5.2594170977569903E-2</v>
      </c>
      <c r="J9" s="23">
        <f t="shared" si="3"/>
        <v>0.11581293581371875</v>
      </c>
      <c r="K9" s="23">
        <f t="shared" si="3"/>
        <v>0.19126600703782395</v>
      </c>
      <c r="L9" s="23">
        <f t="shared" si="3"/>
        <v>0.23398323621436051</v>
      </c>
      <c r="M9" s="23">
        <f t="shared" si="3"/>
        <v>0.2060934511448933</v>
      </c>
      <c r="N9" s="23">
        <f t="shared" si="3"/>
        <v>0.12376909586659079</v>
      </c>
      <c r="O9" s="23">
        <f t="shared" si="3"/>
        <v>4.5423482263311998E-2</v>
      </c>
      <c r="P9" s="23">
        <f t="shared" si="3"/>
        <v>7.6940770285391473E-3</v>
      </c>
      <c r="Q9" s="24">
        <f t="shared" si="14"/>
        <v>8.940051249999998</v>
      </c>
      <c r="R9" s="24">
        <f t="shared" si="15"/>
        <v>2.7920115305671875</v>
      </c>
      <c r="S9" s="20">
        <f>SUMIF('Data Import'!$J$2:$J$1301,$A9,'Data Import'!$I$2:$I$1301)</f>
        <v>0</v>
      </c>
      <c r="T9" s="20">
        <f>SUMIF('Data Import'!$J$2:$J$1301,$A9,'Data Import'!$L$2:$L$1301)</f>
        <v>0</v>
      </c>
      <c r="U9" t="s">
        <v>136</v>
      </c>
      <c r="V9" s="2">
        <f t="shared" si="4"/>
        <v>0.75059667552125298</v>
      </c>
      <c r="W9" s="2">
        <f t="shared" si="5"/>
        <v>0.582931955598461</v>
      </c>
      <c r="X9" s="2">
        <f t="shared" si="6"/>
        <v>0.52681411259940392</v>
      </c>
      <c r="Y9" s="21">
        <f t="shared" si="7"/>
        <v>0.29379111177942763</v>
      </c>
      <c r="Z9" s="2">
        <f t="shared" si="8"/>
        <v>0.86355402501044165</v>
      </c>
      <c r="AA9" s="21">
        <f t="shared" si="9"/>
        <v>0.86085211507955128</v>
      </c>
      <c r="AB9" s="2">
        <f t="shared" si="10"/>
        <v>0.29379111177942763</v>
      </c>
      <c r="AC9" s="2">
        <f t="shared" si="11"/>
        <v>0.28914084381903338</v>
      </c>
      <c r="AD9" s="2">
        <f t="shared" si="12"/>
        <v>0.13896007974054514</v>
      </c>
      <c r="AE9" s="2">
        <f t="shared" si="13"/>
        <v>0.13896007974054514</v>
      </c>
    </row>
    <row r="10" spans="1:31" x14ac:dyDescent="0.25">
      <c r="A10" t="s">
        <v>24</v>
      </c>
      <c r="B10" s="2">
        <f>AVERAGE('Data Import'!P22:W22)</f>
        <v>0.65274374999999996</v>
      </c>
      <c r="C10" s="23">
        <f t="shared" si="1"/>
        <v>1.0677041313857244E-6</v>
      </c>
      <c r="D10" s="23">
        <f t="shared" si="3"/>
        <v>2.6090771820365391E-5</v>
      </c>
      <c r="E10" s="23">
        <f t="shared" si="3"/>
        <v>2.9425972730661457E-4</v>
      </c>
      <c r="F10" s="23">
        <f t="shared" si="3"/>
        <v>2.0281258932340483E-3</v>
      </c>
      <c r="G10" s="23">
        <f t="shared" si="3"/>
        <v>9.5307607927984789E-3</v>
      </c>
      <c r="H10" s="23">
        <f t="shared" si="3"/>
        <v>3.2247253065825758E-2</v>
      </c>
      <c r="I10" s="23">
        <f t="shared" si="3"/>
        <v>8.0820980254537711E-2</v>
      </c>
      <c r="J10" s="23">
        <f t="shared" si="3"/>
        <v>0.15192063420031424</v>
      </c>
      <c r="K10" s="23">
        <f t="shared" si="3"/>
        <v>0.21417593881382554</v>
      </c>
      <c r="L10" s="23">
        <f t="shared" si="3"/>
        <v>0.22366128993135781</v>
      </c>
      <c r="M10" s="23">
        <f t="shared" si="3"/>
        <v>0.16816804203769603</v>
      </c>
      <c r="N10" s="23">
        <f t="shared" si="3"/>
        <v>8.6211398163729622E-2</v>
      </c>
      <c r="O10" s="23">
        <f t="shared" si="3"/>
        <v>2.7008849771187688E-2</v>
      </c>
      <c r="P10" s="23">
        <f t="shared" si="3"/>
        <v>3.9053088722347715E-3</v>
      </c>
      <c r="Q10" s="24">
        <f t="shared" si="14"/>
        <v>8.4856687500000003</v>
      </c>
      <c r="R10" s="24">
        <f t="shared" si="15"/>
        <v>2.9467015088671875</v>
      </c>
      <c r="S10" s="20">
        <f>SUMIF('Data Import'!$J$2:$J$1301,$A10,'Data Import'!$I$2:$I$1301)</f>
        <v>0</v>
      </c>
      <c r="T10" s="20">
        <f>SUMIF('Data Import'!$J$2:$J$1301,$A10,'Data Import'!$L$2:$L$1301)</f>
        <v>0</v>
      </c>
      <c r="U10" t="s">
        <v>135</v>
      </c>
      <c r="V10" s="2">
        <f t="shared" si="4"/>
        <v>0.48200308625920574</v>
      </c>
      <c r="W10" s="2">
        <f t="shared" si="5"/>
        <v>0.40010364925908598</v>
      </c>
      <c r="X10" s="2">
        <f t="shared" si="6"/>
        <v>0.42104322250155379</v>
      </c>
      <c r="Y10" s="21">
        <f t="shared" si="7"/>
        <v>0.23480532029707887</v>
      </c>
      <c r="Z10" s="2">
        <f t="shared" si="8"/>
        <v>0.78888554210329109</v>
      </c>
      <c r="AA10" s="21">
        <f t="shared" si="9"/>
        <v>0.78641725683240837</v>
      </c>
      <c r="AB10" s="2">
        <f t="shared" si="10"/>
        <v>0.23480532029707887</v>
      </c>
      <c r="AC10" s="2">
        <f t="shared" si="11"/>
        <v>0.16529832896200711</v>
      </c>
      <c r="AD10" s="2">
        <f t="shared" si="12"/>
        <v>0.1931568037866612</v>
      </c>
      <c r="AE10" s="2">
        <f t="shared" si="13"/>
        <v>0.1931568037866612</v>
      </c>
    </row>
    <row r="11" spans="1:31" x14ac:dyDescent="0.25">
      <c r="A11" t="s">
        <v>26</v>
      </c>
      <c r="B11" s="2">
        <f>AVERAGE('Data Import'!P23:W23)</f>
        <v>0.34402000000000005</v>
      </c>
      <c r="C11" s="23">
        <f t="shared" si="1"/>
        <v>4.1646430138381572E-3</v>
      </c>
      <c r="D11" s="23">
        <f t="shared" si="3"/>
        <v>2.8393192422128503E-2</v>
      </c>
      <c r="E11" s="23">
        <f t="shared" si="3"/>
        <v>8.9342596332759941E-2</v>
      </c>
      <c r="F11" s="23">
        <f t="shared" si="3"/>
        <v>0.17179997352274803</v>
      </c>
      <c r="G11" s="23">
        <f t="shared" si="3"/>
        <v>0.22524553679721865</v>
      </c>
      <c r="H11" s="23">
        <f t="shared" si="3"/>
        <v>0.21262865517875934</v>
      </c>
      <c r="I11" s="23">
        <f t="shared" si="3"/>
        <v>0.14868036617904359</v>
      </c>
      <c r="J11" s="23">
        <f t="shared" si="3"/>
        <v>7.7973443661261896E-2</v>
      </c>
      <c r="K11" s="23">
        <f t="shared" si="3"/>
        <v>3.0669102817556228E-2</v>
      </c>
      <c r="L11" s="23">
        <f t="shared" si="3"/>
        <v>8.9355576146424517E-3</v>
      </c>
      <c r="M11" s="23">
        <f t="shared" si="3"/>
        <v>1.8744538129755743E-3</v>
      </c>
      <c r="N11" s="23">
        <f t="shared" si="3"/>
        <v>2.6809974835978565E-4</v>
      </c>
      <c r="O11" s="23">
        <f t="shared" si="3"/>
        <v>2.3433558805332821E-5</v>
      </c>
      <c r="P11" s="23">
        <f t="shared" si="3"/>
        <v>9.4533990250765224E-7</v>
      </c>
      <c r="Q11" s="24">
        <f t="shared" si="14"/>
        <v>4.4722600000000003</v>
      </c>
      <c r="R11" s="24">
        <f>B11*(1-B11)*13</f>
        <v>2.9337131148000006</v>
      </c>
      <c r="S11" s="20">
        <f>SUMIF('Data Import'!$J$2:$J$1301,$A11,'Data Import'!$I$2:$I$1301)</f>
        <v>0</v>
      </c>
      <c r="T11" s="20">
        <f>SUMIF('Data Import'!$J$2:$J$1301,$A11,'Data Import'!$L$2:$L$1301)</f>
        <v>0</v>
      </c>
      <c r="U11" t="s">
        <v>136</v>
      </c>
      <c r="V11" s="2">
        <f t="shared" si="4"/>
        <v>2.5669965263136252E-2</v>
      </c>
      <c r="W11" s="2">
        <f t="shared" si="5"/>
        <v>1.9935930359127843E-2</v>
      </c>
      <c r="X11" s="2">
        <f t="shared" si="6"/>
        <v>5.4977770028721284E-3</v>
      </c>
      <c r="Y11" s="21">
        <f t="shared" si="7"/>
        <v>3.0659733278963789E-3</v>
      </c>
      <c r="Z11" s="2">
        <f t="shared" si="8"/>
        <v>6.1921773541235514E-2</v>
      </c>
      <c r="AA11" s="21">
        <f t="shared" si="9"/>
        <v>6.1728031111666748E-2</v>
      </c>
      <c r="AB11" s="2">
        <f t="shared" si="10"/>
        <v>3.0659733278963789E-3</v>
      </c>
      <c r="AC11" s="2">
        <f t="shared" si="11"/>
        <v>1.6869957031231463E-2</v>
      </c>
      <c r="AD11" s="2">
        <f t="shared" si="12"/>
        <v>2.0896050376269452E-2</v>
      </c>
      <c r="AE11" s="2">
        <f t="shared" si="13"/>
        <v>2.0896050376269452E-2</v>
      </c>
    </row>
    <row r="12" spans="1:31" x14ac:dyDescent="0.25">
      <c r="A12" t="s">
        <v>29</v>
      </c>
      <c r="B12" s="2">
        <f>AVERAGE('Data Import'!P24:W24)</f>
        <v>0.42920374999999994</v>
      </c>
      <c r="C12" s="23">
        <f t="shared" si="1"/>
        <v>6.8273858243301057E-4</v>
      </c>
      <c r="D12" s="23">
        <f t="shared" ref="D12:P12" si="16">_xlfn.BINOM.DIST(D$2,13,$B12,FALSE)</f>
        <v>6.6739076825559239E-3</v>
      </c>
      <c r="E12" s="23">
        <f t="shared" si="16"/>
        <v>3.011021398097986E-2</v>
      </c>
      <c r="F12" s="23">
        <f t="shared" si="16"/>
        <v>8.3017121137550554E-2</v>
      </c>
      <c r="G12" s="23">
        <f t="shared" si="16"/>
        <v>0.15605945075165159</v>
      </c>
      <c r="H12" s="23">
        <f t="shared" si="16"/>
        <v>0.21122483315892229</v>
      </c>
      <c r="I12" s="23">
        <f t="shared" si="16"/>
        <v>0.2117708154411404</v>
      </c>
      <c r="J12" s="23">
        <f t="shared" si="16"/>
        <v>0.15923865674992671</v>
      </c>
      <c r="K12" s="23">
        <f t="shared" si="16"/>
        <v>8.9803273000695974E-2</v>
      </c>
      <c r="L12" s="23">
        <f t="shared" si="16"/>
        <v>3.7514750018234712E-2</v>
      </c>
      <c r="M12" s="23">
        <f t="shared" si="16"/>
        <v>1.1283515887246206E-2</v>
      </c>
      <c r="N12" s="23">
        <f t="shared" si="16"/>
        <v>2.3139576745120141E-3</v>
      </c>
      <c r="O12" s="23">
        <f t="shared" si="16"/>
        <v>2.89992360450229E-4</v>
      </c>
      <c r="P12" s="23">
        <f t="shared" si="16"/>
        <v>1.6773573700650622E-5</v>
      </c>
      <c r="Q12" s="24">
        <f t="shared" si="14"/>
        <v>5.5796487500000005</v>
      </c>
      <c r="R12" s="24">
        <f t="shared" si="15"/>
        <v>3.1848425828171876</v>
      </c>
      <c r="S12" s="20">
        <f>SUMIF('Data Import'!$J$2:$J$1301,$A12,'Data Import'!$I$2:$I$1301)</f>
        <v>0</v>
      </c>
      <c r="T12" s="20">
        <f>SUMIF('Data Import'!$J$2:$J$1301,$A12,'Data Import'!$L$2:$L$1301)</f>
        <v>0</v>
      </c>
      <c r="U12" t="s">
        <v>135</v>
      </c>
      <c r="V12" s="2">
        <f t="shared" si="4"/>
        <v>4.7283592849959977E-2</v>
      </c>
      <c r="W12" s="2">
        <f t="shared" si="5"/>
        <v>3.9249412687735658E-2</v>
      </c>
      <c r="X12" s="2">
        <f t="shared" si="6"/>
        <v>3.4378891703308434E-2</v>
      </c>
      <c r="Y12" s="21">
        <f t="shared" si="7"/>
        <v>1.9172251793755295E-2</v>
      </c>
      <c r="Z12" s="2">
        <f t="shared" si="8"/>
        <v>0.19588736593589762</v>
      </c>
      <c r="AA12" s="21">
        <f t="shared" si="9"/>
        <v>0.19527446853280606</v>
      </c>
      <c r="AB12" s="2">
        <f t="shared" si="10"/>
        <v>1.9172251793755295E-2</v>
      </c>
      <c r="AC12" s="2">
        <f t="shared" si="11"/>
        <v>2.0077160893980362E-2</v>
      </c>
      <c r="AD12" s="2">
        <f t="shared" si="12"/>
        <v>7.8012527922535199E-2</v>
      </c>
      <c r="AE12" s="2">
        <f t="shared" si="13"/>
        <v>7.8012527922535199E-2</v>
      </c>
    </row>
    <row r="13" spans="1:31" x14ac:dyDescent="0.25">
      <c r="B13" s="2"/>
      <c r="C13" s="23"/>
      <c r="D13" s="23"/>
      <c r="E13" s="23"/>
      <c r="F13" s="23"/>
      <c r="G13" s="23"/>
      <c r="H13" s="23"/>
      <c r="I13" s="23"/>
      <c r="J13" s="23"/>
      <c r="K13" s="23"/>
      <c r="L13" s="23"/>
      <c r="M13" s="23"/>
      <c r="N13" s="23"/>
      <c r="O13" s="23"/>
      <c r="P13" s="23"/>
      <c r="Q13" s="24"/>
      <c r="R13" s="24"/>
      <c r="S13" s="20"/>
      <c r="T13" s="20"/>
      <c r="V13" s="21">
        <f>SUM(V3:V12)</f>
        <v>2.492318691911958</v>
      </c>
      <c r="W13" s="2"/>
      <c r="X13" s="21">
        <f>SUM(X3:X12)</f>
        <v>1.793158783492828</v>
      </c>
      <c r="Y13" s="30"/>
      <c r="Z13" s="21">
        <f>SUM(Z3:Z12)</f>
        <v>4.0125545834577672</v>
      </c>
      <c r="AA13" s="30"/>
      <c r="AB13" s="2"/>
      <c r="AC13" s="2"/>
    </row>
    <row r="14" spans="1:31" x14ac:dyDescent="0.25">
      <c r="B14" s="2" t="s">
        <v>131</v>
      </c>
      <c r="C14" s="23" t="s">
        <v>132</v>
      </c>
      <c r="D14" s="23" t="s">
        <v>133</v>
      </c>
      <c r="E14" s="23"/>
      <c r="F14" s="23"/>
      <c r="G14" s="23"/>
      <c r="H14" s="23"/>
      <c r="I14" s="23"/>
      <c r="J14" s="23"/>
      <c r="K14" s="23"/>
      <c r="L14" s="23"/>
      <c r="M14" s="23"/>
      <c r="N14" s="23"/>
      <c r="O14" s="23"/>
      <c r="P14" s="23"/>
      <c r="Q14" s="24"/>
      <c r="R14" s="24"/>
      <c r="W14" s="2"/>
      <c r="Y14" s="30"/>
      <c r="AB14" s="2"/>
      <c r="AC14" s="2"/>
    </row>
    <row r="15" spans="1:31" x14ac:dyDescent="0.25">
      <c r="A15" t="s">
        <v>130</v>
      </c>
      <c r="B15" s="25">
        <f>AVERAGEIF($U$3:$U$12,"DP",$Q$3:$Q$12)</f>
        <v>6.8669900000000013</v>
      </c>
      <c r="C15" s="28">
        <f>SUMIF($U$3:$U$12,"DP",$R$3:$R$12)</f>
        <v>15.369636488862501</v>
      </c>
      <c r="D15" s="29">
        <f>_xlfn.NORM.INV(5/6,B15,SQRT(C15/5))</f>
        <v>8.5631333752311285</v>
      </c>
      <c r="E15" s="2">
        <f>SUMIF($U$3:$U$12,"DP",$V$3:$V$12)</f>
        <v>1.2046955511447635</v>
      </c>
      <c r="G15" s="23"/>
      <c r="J15" s="23"/>
      <c r="K15" s="23"/>
      <c r="L15" s="23"/>
      <c r="M15" s="23"/>
      <c r="N15" s="23"/>
      <c r="O15" s="23"/>
      <c r="P15" s="23"/>
      <c r="Q15" s="23"/>
      <c r="R15" s="24"/>
      <c r="W15" s="2"/>
      <c r="Y15" s="30"/>
      <c r="AB15" s="2"/>
      <c r="AC15" s="2"/>
    </row>
    <row r="16" spans="1:31" x14ac:dyDescent="0.25">
      <c r="A16" t="s">
        <v>129</v>
      </c>
      <c r="B16" s="25">
        <f>AVERAGEIF($U$3:$U$12,"HK",$Q$3:$Q$12)</f>
        <v>6.1330100000000005</v>
      </c>
      <c r="C16" s="28">
        <f>SUMIF($U$3:$U$12,"HK",$R$3:$R$12)</f>
        <v>15.022432133921875</v>
      </c>
      <c r="D16" s="29">
        <f>_xlfn.NORM.INV(5/6,B16,SQRT(C16/5))</f>
        <v>7.8098857636247585</v>
      </c>
      <c r="E16" s="2">
        <f>SUMIF($U$3:$U$12,"HK",$V$3:$V$12)</f>
        <v>1.2876231407671943</v>
      </c>
      <c r="F16" s="23"/>
      <c r="G16" s="23"/>
      <c r="H16" s="23"/>
      <c r="I16" s="23"/>
      <c r="J16" s="23"/>
      <c r="K16" s="23"/>
      <c r="L16" s="23"/>
      <c r="M16" s="23"/>
      <c r="N16" s="23"/>
      <c r="O16" s="23"/>
      <c r="P16" s="23"/>
      <c r="Q16" s="24"/>
      <c r="R16" s="24"/>
      <c r="W16" s="2"/>
      <c r="Y16" s="30"/>
      <c r="AB16" s="2"/>
      <c r="AC16" s="2"/>
    </row>
    <row r="17" spans="1:29" x14ac:dyDescent="0.25">
      <c r="A17" t="s">
        <v>139</v>
      </c>
      <c r="B17" s="25">
        <f>AVERAGE(Q3:Q12)</f>
        <v>6.5</v>
      </c>
      <c r="C17" s="28">
        <f>SUM(R3:R12)</f>
        <v>30.392068622784368</v>
      </c>
      <c r="D17" s="29">
        <f>_xlfn.NORM.INV(10/11,B17,SQRT(C17/10))</f>
        <v>8.8276582262599206</v>
      </c>
      <c r="E17" s="2"/>
      <c r="F17" s="23"/>
      <c r="G17" s="23"/>
      <c r="H17" s="23"/>
      <c r="I17" s="23"/>
      <c r="J17" s="23"/>
      <c r="K17" s="23"/>
      <c r="L17" s="23"/>
      <c r="M17" s="23"/>
      <c r="N17" s="23"/>
      <c r="O17" s="23"/>
      <c r="P17" s="23"/>
      <c r="Q17" s="25"/>
      <c r="R17" s="24"/>
      <c r="Y17" s="30"/>
      <c r="AB17" s="2"/>
      <c r="AC17" s="2"/>
    </row>
    <row r="18" spans="1:29" x14ac:dyDescent="0.25">
      <c r="A18" t="s">
        <v>140</v>
      </c>
      <c r="B18" s="25">
        <f>AVERAGE(Q3:Q12)</f>
        <v>6.5</v>
      </c>
      <c r="C18" s="28">
        <f>SUM(R3:R12)</f>
        <v>30.392068622784368</v>
      </c>
      <c r="D18" s="29">
        <f>_xlfn.NORM.INV(7/11,B18,SQRT(C18/10))</f>
        <v>7.1079970041928089</v>
      </c>
      <c r="E18" s="2"/>
      <c r="F18" s="23"/>
      <c r="G18" s="23"/>
      <c r="H18" s="23"/>
      <c r="I18" s="23"/>
      <c r="J18" s="23"/>
      <c r="K18" s="23"/>
      <c r="L18" s="23"/>
      <c r="M18" s="23"/>
      <c r="N18" s="23"/>
      <c r="O18" s="23"/>
      <c r="P18" s="23"/>
      <c r="Q18" s="25"/>
      <c r="R18" s="24"/>
      <c r="AB18" s="2"/>
      <c r="AC18" s="2"/>
    </row>
    <row r="21" spans="1:29" x14ac:dyDescent="0.25">
      <c r="A21" t="s">
        <v>122</v>
      </c>
      <c r="B21">
        <v>1</v>
      </c>
      <c r="C21">
        <f>B21+1</f>
        <v>2</v>
      </c>
      <c r="D21">
        <f t="shared" ref="D21:K21" si="17">C21+1</f>
        <v>3</v>
      </c>
      <c r="E21">
        <f t="shared" si="17"/>
        <v>4</v>
      </c>
      <c r="F21">
        <f t="shared" si="17"/>
        <v>5</v>
      </c>
      <c r="G21">
        <f t="shared" si="17"/>
        <v>6</v>
      </c>
      <c r="H21">
        <f t="shared" si="17"/>
        <v>7</v>
      </c>
      <c r="I21">
        <f t="shared" si="17"/>
        <v>8</v>
      </c>
      <c r="J21">
        <f t="shared" si="17"/>
        <v>9</v>
      </c>
      <c r="K21">
        <f t="shared" si="17"/>
        <v>10</v>
      </c>
    </row>
    <row r="22" spans="1:29" x14ac:dyDescent="0.25">
      <c r="B22" t="s">
        <v>11</v>
      </c>
      <c r="C22" t="s">
        <v>15</v>
      </c>
      <c r="D22" t="s">
        <v>17</v>
      </c>
      <c r="E22" t="s">
        <v>18</v>
      </c>
      <c r="F22" t="s">
        <v>19</v>
      </c>
      <c r="G22" t="s">
        <v>21</v>
      </c>
      <c r="H22" t="s">
        <v>23</v>
      </c>
      <c r="I22" t="s">
        <v>24</v>
      </c>
      <c r="J22" t="s">
        <v>26</v>
      </c>
      <c r="K22" t="s">
        <v>29</v>
      </c>
    </row>
    <row r="23" spans="1:29" x14ac:dyDescent="0.25">
      <c r="A23" t="s">
        <v>11</v>
      </c>
      <c r="B23" s="2">
        <f>1-_xlfn.NORM.DIST(0.5,$Q3-INDEX($Q$3:$Q$12,B$21),SQRT($R3+INDEX($R$3:$R$12,B$21)),TRUE)</f>
        <v>0.41729517984484743</v>
      </c>
      <c r="C23" s="2">
        <f t="shared" ref="C23:K23" si="18">1-_xlfn.NORM.DIST(0.5,$Q3-INDEX($Q$3:$Q$12,C$21),SQRT($R3+INDEX($R$3:$R$12,C$21)),TRUE)</f>
        <v>0.82725094979231817</v>
      </c>
      <c r="D23" s="2">
        <f t="shared" si="18"/>
        <v>0.95290462239568008</v>
      </c>
      <c r="E23" s="2">
        <f t="shared" si="18"/>
        <v>0.78072273944453063</v>
      </c>
      <c r="F23" s="2">
        <f t="shared" si="18"/>
        <v>0.67413766237962824</v>
      </c>
      <c r="G23" s="2">
        <f t="shared" si="18"/>
        <v>0.89077379535114221</v>
      </c>
      <c r="H23" s="2">
        <f t="shared" si="18"/>
        <v>0.38304759905700236</v>
      </c>
      <c r="I23" s="2">
        <f t="shared" si="18"/>
        <v>0.45816948779928901</v>
      </c>
      <c r="J23" s="2">
        <f t="shared" si="18"/>
        <v>0.94076896108798236</v>
      </c>
      <c r="K23" s="2">
        <f t="shared" si="18"/>
        <v>0.85956362850040358</v>
      </c>
    </row>
    <row r="24" spans="1:29" x14ac:dyDescent="0.25">
      <c r="A24" t="s">
        <v>15</v>
      </c>
      <c r="B24" s="2">
        <f t="shared" ref="B24:K24" si="19">1-_xlfn.NORM.DIST(0.5,$Q4-INDEX($Q$3:$Q$12,B$21),SQRT($R4+INDEX($R$3:$R$12,B$21)),TRUE)</f>
        <v>8.8732922250772894E-2</v>
      </c>
      <c r="C24" s="2">
        <f t="shared" si="19"/>
        <v>0.42193553011843776</v>
      </c>
      <c r="D24" s="2">
        <f t="shared" si="19"/>
        <v>0.68320845000305042</v>
      </c>
      <c r="E24" s="2">
        <f t="shared" si="19"/>
        <v>0.35989987804381096</v>
      </c>
      <c r="F24" s="2">
        <f t="shared" si="19"/>
        <v>0.24972874184674687</v>
      </c>
      <c r="G24" s="2">
        <f t="shared" si="19"/>
        <v>0.52914933223688099</v>
      </c>
      <c r="H24" s="2">
        <f t="shared" si="19"/>
        <v>7.4705811428864233E-2</v>
      </c>
      <c r="I24" s="2">
        <f t="shared" si="19"/>
        <v>0.10739732636448229</v>
      </c>
      <c r="J24" s="2">
        <f t="shared" si="19"/>
        <v>0.64643744687921367</v>
      </c>
      <c r="K24" s="2">
        <f t="shared" si="19"/>
        <v>0.47241849237696043</v>
      </c>
    </row>
    <row r="25" spans="1:29" x14ac:dyDescent="0.25">
      <c r="A25" t="s">
        <v>17</v>
      </c>
      <c r="B25" s="2">
        <f t="shared" ref="B25:K25" si="20">1-_xlfn.NORM.DIST(0.5,$Q5-INDEX($Q$3:$Q$12,B$21),SQRT($R5+INDEX($R$3:$R$12,B$21)),TRUE)</f>
        <v>1.8227673983456594E-2</v>
      </c>
      <c r="C25" s="2">
        <f t="shared" si="20"/>
        <v>0.18878799692619985</v>
      </c>
      <c r="D25" s="2">
        <f t="shared" si="20"/>
        <v>0.41710672607434662</v>
      </c>
      <c r="E25" s="2">
        <f t="shared" si="20"/>
        <v>0.14741671091974995</v>
      </c>
      <c r="F25" s="2">
        <f t="shared" si="20"/>
        <v>8.4531238271750797E-2</v>
      </c>
      <c r="G25" s="2">
        <f t="shared" si="20"/>
        <v>0.27101007352643569</v>
      </c>
      <c r="H25" s="2">
        <f t="shared" si="20"/>
        <v>1.4153980877775751E-2</v>
      </c>
      <c r="I25" s="2">
        <f t="shared" si="20"/>
        <v>2.4140833494480596E-2</v>
      </c>
      <c r="J25" s="2">
        <f t="shared" si="20"/>
        <v>0.37874843827813098</v>
      </c>
      <c r="K25" s="2">
        <f t="shared" si="20"/>
        <v>0.22574455582079067</v>
      </c>
    </row>
    <row r="26" spans="1:29" x14ac:dyDescent="0.25">
      <c r="A26" t="s">
        <v>18</v>
      </c>
      <c r="B26" s="2">
        <f t="shared" ref="B26:K26" si="21">1-_xlfn.NORM.DIST(0.5,$Q6-INDEX($Q$3:$Q$12,B$21),SQRT($R6+INDEX($R$3:$R$12,B$21)),TRUE)</f>
        <v>0.11918745759289873</v>
      </c>
      <c r="C26" s="2">
        <f t="shared" si="21"/>
        <v>0.48627521074369229</v>
      </c>
      <c r="D26" s="2">
        <f t="shared" si="21"/>
        <v>0.73979633781204457</v>
      </c>
      <c r="E26" s="2">
        <f t="shared" si="21"/>
        <v>0.42222919092266009</v>
      </c>
      <c r="F26" s="2">
        <f t="shared" si="21"/>
        <v>0.3043719779632843</v>
      </c>
      <c r="G26" s="2">
        <f t="shared" si="21"/>
        <v>0.5934385803257638</v>
      </c>
      <c r="H26" s="2">
        <f t="shared" si="21"/>
        <v>0.10189622895072559</v>
      </c>
      <c r="I26" s="2">
        <f t="shared" si="21"/>
        <v>0.14179694674696952</v>
      </c>
      <c r="J26" s="2">
        <f t="shared" si="21"/>
        <v>0.70570294892534025</v>
      </c>
      <c r="K26" s="2">
        <f t="shared" si="21"/>
        <v>0.5372771489258219</v>
      </c>
    </row>
    <row r="27" spans="1:29" x14ac:dyDescent="0.25">
      <c r="A27" t="s">
        <v>19</v>
      </c>
      <c r="B27" s="2">
        <f t="shared" ref="B27:K27" si="22">1-_xlfn.NORM.DIST(0.5,$Q7-INDEX($Q$3:$Q$12,B$21),SQRT($R7+INDEX($R$3:$R$12,B$21)),TRUE)</f>
        <v>0.19581052019367584</v>
      </c>
      <c r="C27" s="2">
        <f t="shared" si="22"/>
        <v>0.61079374672244624</v>
      </c>
      <c r="D27" s="2">
        <f t="shared" si="22"/>
        <v>0.83384418257020532</v>
      </c>
      <c r="E27" s="2">
        <f t="shared" si="22"/>
        <v>0.54722961160574712</v>
      </c>
      <c r="F27" s="2">
        <f t="shared" si="22"/>
        <v>0.42190953081183702</v>
      </c>
      <c r="G27" s="2">
        <f t="shared" si="22"/>
        <v>0.71062679344841995</v>
      </c>
      <c r="H27" s="2">
        <f t="shared" si="22"/>
        <v>0.17190352865273884</v>
      </c>
      <c r="I27" s="2">
        <f t="shared" si="22"/>
        <v>0.22609959241334154</v>
      </c>
      <c r="J27" s="2">
        <f t="shared" si="22"/>
        <v>0.80655075617883398</v>
      </c>
      <c r="K27" s="2">
        <f t="shared" si="22"/>
        <v>0.65930785369449119</v>
      </c>
    </row>
    <row r="28" spans="1:29" x14ac:dyDescent="0.25">
      <c r="A28" t="s">
        <v>21</v>
      </c>
      <c r="B28" s="2">
        <f t="shared" ref="B28:K28" si="23">1-_xlfn.NORM.DIST(0.5,$Q8-INDEX($Q$3:$Q$12,B$21),SQRT($R8+INDEX($R$3:$R$12,B$21)),TRUE)</f>
        <v>5.058374481207184E-2</v>
      </c>
      <c r="C28" s="2">
        <f t="shared" si="23"/>
        <v>0.31915200886862061</v>
      </c>
      <c r="D28" s="2">
        <f t="shared" si="23"/>
        <v>0.57955049058562702</v>
      </c>
      <c r="E28" s="2">
        <f t="shared" si="23"/>
        <v>0.26350762953373119</v>
      </c>
      <c r="F28" s="2">
        <f t="shared" si="23"/>
        <v>0.17049158299093858</v>
      </c>
      <c r="G28" s="2">
        <f t="shared" si="23"/>
        <v>0.42072803918626711</v>
      </c>
      <c r="H28" s="2">
        <f t="shared" si="23"/>
        <v>4.1378958257782483E-2</v>
      </c>
      <c r="I28" s="2">
        <f t="shared" si="23"/>
        <v>6.3226508565409567E-2</v>
      </c>
      <c r="J28" s="2">
        <f t="shared" si="23"/>
        <v>0.54013088917916874</v>
      </c>
      <c r="K28" s="2">
        <f t="shared" si="23"/>
        <v>0.36612029474777086</v>
      </c>
    </row>
    <row r="29" spans="1:29" x14ac:dyDescent="0.25">
      <c r="A29" t="s">
        <v>23</v>
      </c>
      <c r="B29" s="2">
        <f t="shared" ref="B29:K29" si="24">1-_xlfn.NORM.DIST(0.5,$Q9-INDEX($Q$3:$Q$12,B$21),SQRT($R9+INDEX($R$3:$R$12,B$21)),TRUE)</f>
        <v>0.45109522286081782</v>
      </c>
      <c r="C29" s="2">
        <f t="shared" si="24"/>
        <v>0.84940032978576374</v>
      </c>
      <c r="D29" s="2">
        <f t="shared" si="24"/>
        <v>0.9618126150592905</v>
      </c>
      <c r="E29" s="2">
        <f t="shared" si="24"/>
        <v>0.80618061618567438</v>
      </c>
      <c r="F29" s="2">
        <f t="shared" si="24"/>
        <v>0.70500417966477058</v>
      </c>
      <c r="G29" s="2">
        <f t="shared" si="24"/>
        <v>0.90720997130309577</v>
      </c>
      <c r="H29" s="2">
        <f t="shared" si="24"/>
        <v>0.41621321549721457</v>
      </c>
      <c r="I29" s="2">
        <f t="shared" si="24"/>
        <v>0.49240359614101181</v>
      </c>
      <c r="J29" s="2">
        <f t="shared" si="24"/>
        <v>0.95136016688744118</v>
      </c>
      <c r="K29" s="2">
        <f t="shared" si="24"/>
        <v>0.87900220397696904</v>
      </c>
    </row>
    <row r="30" spans="1:29" x14ac:dyDescent="0.25">
      <c r="A30" t="s">
        <v>24</v>
      </c>
      <c r="B30" s="2">
        <f t="shared" ref="B30:K30" si="25">1-_xlfn.NORM.DIST(0.5,$Q10-INDEX($Q$3:$Q$12,B$21),SQRT($R10+INDEX($R$3:$R$12,B$21)),TRUE)</f>
        <v>0.37839304833671261</v>
      </c>
      <c r="C30" s="2">
        <f t="shared" si="25"/>
        <v>0.79895239396093953</v>
      </c>
      <c r="D30" s="2">
        <f t="shared" si="25"/>
        <v>0.94057969362418681</v>
      </c>
      <c r="E30" s="2">
        <f t="shared" si="25"/>
        <v>0.74872432597663652</v>
      </c>
      <c r="F30" s="2">
        <f t="shared" si="25"/>
        <v>0.63648504107174853</v>
      </c>
      <c r="G30" s="2">
        <f t="shared" si="25"/>
        <v>0.86914879412397295</v>
      </c>
      <c r="H30" s="2">
        <f t="shared" si="25"/>
        <v>0.34516907062314739</v>
      </c>
      <c r="I30" s="2">
        <f t="shared" si="25"/>
        <v>0.41841032811132595</v>
      </c>
      <c r="J30" s="2">
        <f t="shared" si="25"/>
        <v>0.92631085741891328</v>
      </c>
      <c r="K30" s="2">
        <f t="shared" si="25"/>
        <v>0.83439012796591772</v>
      </c>
    </row>
    <row r="31" spans="1:29" x14ac:dyDescent="0.25">
      <c r="A31" t="s">
        <v>26</v>
      </c>
      <c r="B31" s="2">
        <f t="shared" ref="B31:K31" si="26">1-_xlfn.NORM.DIST(0.5,$Q11-INDEX($Q$3:$Q$12,B$21),SQRT($R11+INDEX($R$3:$R$12,B$21)),TRUE)</f>
        <v>2.4050450542774549E-2</v>
      </c>
      <c r="C31" s="2">
        <f t="shared" si="26"/>
        <v>0.21806406542733836</v>
      </c>
      <c r="D31" s="2">
        <f t="shared" si="26"/>
        <v>0.45742677057618475</v>
      </c>
      <c r="E31" s="2">
        <f t="shared" si="26"/>
        <v>0.17281577423434769</v>
      </c>
      <c r="F31" s="2">
        <f t="shared" si="26"/>
        <v>0.10233561290650039</v>
      </c>
      <c r="G31" s="2">
        <f t="shared" si="26"/>
        <v>0.30605577484160451</v>
      </c>
      <c r="H31" s="2">
        <f t="shared" si="26"/>
        <v>1.8942386855649307E-2</v>
      </c>
      <c r="I31" s="2">
        <f t="shared" si="26"/>
        <v>3.1355655766839186E-2</v>
      </c>
      <c r="J31" s="2">
        <f t="shared" si="26"/>
        <v>0.41823246204904052</v>
      </c>
      <c r="K31" s="2">
        <f t="shared" si="26"/>
        <v>0.25790260999714154</v>
      </c>
    </row>
    <row r="32" spans="1:29" x14ac:dyDescent="0.25">
      <c r="A32" t="s">
        <v>29</v>
      </c>
      <c r="B32" s="2">
        <f t="shared" ref="B32:K32" si="27">1-_xlfn.NORM.DIST(0.5,$Q12-INDEX($Q$3:$Q$12,B$21),SQRT($R12+INDEX($R$3:$R$12,B$21)),TRUE)</f>
        <v>6.8789316431447256E-2</v>
      </c>
      <c r="C32" s="2">
        <f t="shared" si="27"/>
        <v>0.37226530709778616</v>
      </c>
      <c r="D32" s="2">
        <f t="shared" si="27"/>
        <v>0.63532210386188637</v>
      </c>
      <c r="E32" s="2">
        <f t="shared" si="27"/>
        <v>0.31282153574203875</v>
      </c>
      <c r="F32" s="2">
        <f t="shared" si="27"/>
        <v>0.2102098834829248</v>
      </c>
      <c r="G32" s="2">
        <f t="shared" si="27"/>
        <v>0.47767767961905938</v>
      </c>
      <c r="H32" s="2">
        <f t="shared" si="27"/>
        <v>5.7162136650785511E-2</v>
      </c>
      <c r="I32" s="2">
        <f t="shared" si="27"/>
        <v>8.4487422906961651E-2</v>
      </c>
      <c r="J32" s="2">
        <f t="shared" si="27"/>
        <v>0.59698521429287865</v>
      </c>
      <c r="K32" s="2">
        <f t="shared" si="27"/>
        <v>0.42147867557389007</v>
      </c>
    </row>
    <row r="34" spans="1:11" x14ac:dyDescent="0.25">
      <c r="A34" t="s">
        <v>123</v>
      </c>
      <c r="B34">
        <v>1</v>
      </c>
      <c r="C34">
        <f>B34+1</f>
        <v>2</v>
      </c>
      <c r="D34">
        <f t="shared" ref="D34:K34" si="28">C34+1</f>
        <v>3</v>
      </c>
      <c r="E34">
        <f t="shared" si="28"/>
        <v>4</v>
      </c>
      <c r="F34">
        <f t="shared" si="28"/>
        <v>5</v>
      </c>
      <c r="G34">
        <f t="shared" si="28"/>
        <v>6</v>
      </c>
      <c r="H34">
        <f t="shared" si="28"/>
        <v>7</v>
      </c>
      <c r="I34">
        <f t="shared" si="28"/>
        <v>8</v>
      </c>
      <c r="J34">
        <f t="shared" si="28"/>
        <v>9</v>
      </c>
      <c r="K34">
        <f t="shared" si="28"/>
        <v>10</v>
      </c>
    </row>
    <row r="35" spans="1:11" x14ac:dyDescent="0.25">
      <c r="B35" t="s">
        <v>11</v>
      </c>
      <c r="C35" t="s">
        <v>15</v>
      </c>
      <c r="D35" t="s">
        <v>17</v>
      </c>
      <c r="E35" t="s">
        <v>18</v>
      </c>
      <c r="F35" t="s">
        <v>19</v>
      </c>
      <c r="G35" t="s">
        <v>21</v>
      </c>
      <c r="H35" t="s">
        <v>23</v>
      </c>
      <c r="I35" t="s">
        <v>24</v>
      </c>
      <c r="J35" t="s">
        <v>26</v>
      </c>
      <c r="K35" t="s">
        <v>29</v>
      </c>
    </row>
    <row r="36" spans="1:11" x14ac:dyDescent="0.25">
      <c r="A36" t="s">
        <v>11</v>
      </c>
      <c r="B36" s="2">
        <f>_xlfn.NORM.DIST(0,$Q3-INDEX($Q$3:$Q$12,B$21),SQRT($R3+INDEX($R$3:$R$12,B$21)),FALSE)</f>
        <v>0.16661261675761885</v>
      </c>
      <c r="C36" s="2">
        <f t="shared" ref="C36:K36" si="29">_xlfn.NORM.DIST(0,$Q3-INDEX($Q$3:$Q$12,C$21),SQRT($R3+INDEX($R$3:$R$12,C$21)),FALSE)</f>
        <v>8.3840105982776469E-2</v>
      </c>
      <c r="D36" s="2">
        <f t="shared" si="29"/>
        <v>2.8344856013043332E-2</v>
      </c>
      <c r="E36" s="2">
        <f t="shared" si="29"/>
        <v>0.10012354380394818</v>
      </c>
      <c r="F36" s="2">
        <f t="shared" si="29"/>
        <v>0.13056210120001224</v>
      </c>
      <c r="G36" s="2">
        <f t="shared" si="29"/>
        <v>5.8217933211398884E-2</v>
      </c>
      <c r="H36" s="2">
        <f t="shared" si="29"/>
        <v>0.16707001088061638</v>
      </c>
      <c r="I36" s="2">
        <f t="shared" si="29"/>
        <v>0.16459743471674418</v>
      </c>
      <c r="J36" s="2">
        <f t="shared" si="29"/>
        <v>3.4653837211981495E-2</v>
      </c>
      <c r="K36" s="2">
        <f t="shared" si="29"/>
        <v>7.1335654709120663E-2</v>
      </c>
    </row>
    <row r="37" spans="1:11" x14ac:dyDescent="0.25">
      <c r="A37" t="s">
        <v>15</v>
      </c>
      <c r="B37" s="2">
        <f t="shared" ref="B37:K37" si="30">_xlfn.NORM.DIST(0,$Q4-INDEX($Q$3:$Q$12,B$21),SQRT($R4+INDEX($R$3:$R$12,B$21)),FALSE)</f>
        <v>8.3840105982776469E-2</v>
      </c>
      <c r="C37" s="2">
        <f t="shared" si="30"/>
        <v>0.15713888348810684</v>
      </c>
      <c r="D37" s="2">
        <f t="shared" si="30"/>
        <v>0.12847694366912599</v>
      </c>
      <c r="E37" s="2">
        <f t="shared" si="30"/>
        <v>0.15479007144591517</v>
      </c>
      <c r="F37" s="2">
        <f t="shared" si="30"/>
        <v>0.14017359819515005</v>
      </c>
      <c r="G37" s="2">
        <f t="shared" si="30"/>
        <v>0.15262167902602372</v>
      </c>
      <c r="H37" s="2">
        <f t="shared" si="30"/>
        <v>7.5619334959879436E-2</v>
      </c>
      <c r="I37" s="2">
        <f t="shared" si="30"/>
        <v>9.3602704960012634E-2</v>
      </c>
      <c r="J37" s="2">
        <f t="shared" si="30"/>
        <v>0.13611066483694823</v>
      </c>
      <c r="K37" s="2">
        <f t="shared" si="30"/>
        <v>0.15631017603176542</v>
      </c>
    </row>
    <row r="38" spans="1:11" x14ac:dyDescent="0.25">
      <c r="A38" t="s">
        <v>17</v>
      </c>
      <c r="B38" s="2">
        <f t="shared" ref="B38:K38" si="31">_xlfn.NORM.DIST(0,$Q5-INDEX($Q$3:$Q$12,B$21),SQRT($R5+INDEX($R$3:$R$12,B$21)),FALSE)</f>
        <v>2.8344856013043332E-2</v>
      </c>
      <c r="C38" s="2">
        <f t="shared" si="31"/>
        <v>0.12847694366912599</v>
      </c>
      <c r="D38" s="2">
        <f t="shared" si="31"/>
        <v>0.16699785148304055</v>
      </c>
      <c r="E38" s="2">
        <f t="shared" si="31"/>
        <v>0.11300868796773557</v>
      </c>
      <c r="F38" s="2">
        <f t="shared" si="31"/>
        <v>8.1419306450927958E-2</v>
      </c>
      <c r="G38" s="2">
        <f t="shared" si="31"/>
        <v>0.15031066732813395</v>
      </c>
      <c r="H38" s="2">
        <f t="shared" si="31"/>
        <v>2.3526526960043054E-2</v>
      </c>
      <c r="I38" s="2">
        <f t="shared" si="31"/>
        <v>3.4752612522375013E-2</v>
      </c>
      <c r="J38" s="2">
        <f t="shared" si="31"/>
        <v>0.16499311525139806</v>
      </c>
      <c r="K38" s="2">
        <f t="shared" si="31"/>
        <v>0.13960328361582083</v>
      </c>
    </row>
    <row r="39" spans="1:11" x14ac:dyDescent="0.25">
      <c r="A39" t="s">
        <v>18</v>
      </c>
      <c r="B39" s="2">
        <f t="shared" ref="B39:K39" si="32">_xlfn.NORM.DIST(0,$Q6-INDEX($Q$3:$Q$12,B$21),SQRT($R6+INDEX($R$3:$R$12,B$21)),FALSE)</f>
        <v>0.10012354380394818</v>
      </c>
      <c r="C39" s="2">
        <f t="shared" si="32"/>
        <v>0.15479007144591517</v>
      </c>
      <c r="D39" s="2">
        <f t="shared" si="32"/>
        <v>0.11300868796773557</v>
      </c>
      <c r="E39" s="2">
        <f t="shared" si="32"/>
        <v>0.15654010466063409</v>
      </c>
      <c r="F39" s="2">
        <f t="shared" si="32"/>
        <v>0.14925990658188334</v>
      </c>
      <c r="G39" s="2">
        <f t="shared" si="32"/>
        <v>0.14381323085081027</v>
      </c>
      <c r="H39" s="2">
        <f t="shared" si="32"/>
        <v>9.1838220138125606E-2</v>
      </c>
      <c r="I39" s="2">
        <f t="shared" si="32"/>
        <v>0.10965771748518416</v>
      </c>
      <c r="J39" s="2">
        <f t="shared" si="32"/>
        <v>0.12185044688475753</v>
      </c>
      <c r="K39" s="2">
        <f t="shared" si="32"/>
        <v>0.15079081857831439</v>
      </c>
    </row>
    <row r="40" spans="1:11" x14ac:dyDescent="0.25">
      <c r="A40" t="s">
        <v>19</v>
      </c>
      <c r="B40" s="2">
        <f t="shared" ref="B40:K40" si="33">_xlfn.NORM.DIST(0,$Q7-INDEX($Q$3:$Q$12,B$21),SQRT($R7+INDEX($R$3:$R$12,B$21)),FALSE)</f>
        <v>0.13056210120001224</v>
      </c>
      <c r="C40" s="2">
        <f t="shared" si="33"/>
        <v>0.14017359819515005</v>
      </c>
      <c r="D40" s="2">
        <f t="shared" si="33"/>
        <v>8.1419306450927958E-2</v>
      </c>
      <c r="E40" s="2">
        <f t="shared" si="33"/>
        <v>0.14925990658188334</v>
      </c>
      <c r="F40" s="2">
        <f t="shared" si="33"/>
        <v>0.15719190072781597</v>
      </c>
      <c r="G40" s="2">
        <f t="shared" si="33"/>
        <v>0.11921990876301926</v>
      </c>
      <c r="H40" s="2">
        <f t="shared" si="33"/>
        <v>0.12347590176555319</v>
      </c>
      <c r="I40" s="2">
        <f t="shared" si="33"/>
        <v>0.13806314309068565</v>
      </c>
      <c r="J40" s="2">
        <f t="shared" si="33"/>
        <v>9.1031682721654947E-2</v>
      </c>
      <c r="K40" s="2">
        <f t="shared" si="33"/>
        <v>0.13101780982777034</v>
      </c>
    </row>
    <row r="41" spans="1:11" x14ac:dyDescent="0.25">
      <c r="A41" t="s">
        <v>21</v>
      </c>
      <c r="B41" s="2">
        <f t="shared" ref="B41:K41" si="34">_xlfn.NORM.DIST(0,$Q8-INDEX($Q$3:$Q$12,B$21),SQRT($R8+INDEX($R$3:$R$12,B$21)),FALSE)</f>
        <v>5.8217933211398884E-2</v>
      </c>
      <c r="C41" s="2">
        <f t="shared" si="34"/>
        <v>0.15262167902602372</v>
      </c>
      <c r="D41" s="2">
        <f t="shared" si="34"/>
        <v>0.15031066732813395</v>
      </c>
      <c r="E41" s="2">
        <f t="shared" si="34"/>
        <v>0.14381323085081027</v>
      </c>
      <c r="F41" s="2">
        <f t="shared" si="34"/>
        <v>0.11921990876301926</v>
      </c>
      <c r="G41" s="2">
        <f t="shared" si="34"/>
        <v>0.15960190997652457</v>
      </c>
      <c r="H41" s="2">
        <f t="shared" si="34"/>
        <v>5.0934971642995312E-2</v>
      </c>
      <c r="I41" s="2">
        <f t="shared" si="34"/>
        <v>6.7279603412181171E-2</v>
      </c>
      <c r="J41" s="2">
        <f t="shared" si="34"/>
        <v>0.15477421782665124</v>
      </c>
      <c r="K41" s="2">
        <f t="shared" si="34"/>
        <v>0.15721318520698335</v>
      </c>
    </row>
    <row r="42" spans="1:11" x14ac:dyDescent="0.25">
      <c r="A42" t="s">
        <v>23</v>
      </c>
      <c r="B42" s="2">
        <f t="shared" ref="B42:K42" si="35">_xlfn.NORM.DIST(0,$Q9-INDEX($Q$3:$Q$12,B$21),SQRT($R9+INDEX($R$3:$R$12,B$21)),FALSE)</f>
        <v>0.16707001088061638</v>
      </c>
      <c r="C42" s="2">
        <f t="shared" si="35"/>
        <v>7.5619334959879436E-2</v>
      </c>
      <c r="D42" s="2">
        <f t="shared" si="35"/>
        <v>2.3526526960043054E-2</v>
      </c>
      <c r="E42" s="2">
        <f t="shared" si="35"/>
        <v>9.1838220138125606E-2</v>
      </c>
      <c r="F42" s="2">
        <f t="shared" si="35"/>
        <v>0.12347590176555319</v>
      </c>
      <c r="G42" s="2">
        <f t="shared" si="35"/>
        <v>5.0934971642995312E-2</v>
      </c>
      <c r="H42" s="2">
        <f t="shared" si="35"/>
        <v>0.16882488564830453</v>
      </c>
      <c r="I42" s="2">
        <f t="shared" si="35"/>
        <v>0.16356502258156391</v>
      </c>
      <c r="J42" s="2">
        <f t="shared" si="35"/>
        <v>2.9172316345789824E-2</v>
      </c>
      <c r="K42" s="2">
        <f t="shared" si="35"/>
        <v>6.3446685122753657E-2</v>
      </c>
    </row>
    <row r="43" spans="1:11" x14ac:dyDescent="0.25">
      <c r="A43" t="s">
        <v>24</v>
      </c>
      <c r="B43" s="2">
        <f t="shared" ref="B43:K43" si="36">_xlfn.NORM.DIST(0,$Q10-INDEX($Q$3:$Q$12,B$21),SQRT($R10+INDEX($R$3:$R$12,B$21)),FALSE)</f>
        <v>0.16459743471674418</v>
      </c>
      <c r="C43" s="2">
        <f t="shared" si="36"/>
        <v>9.3602704960012634E-2</v>
      </c>
      <c r="D43" s="2">
        <f t="shared" si="36"/>
        <v>3.4752612522375013E-2</v>
      </c>
      <c r="E43" s="2">
        <f t="shared" si="36"/>
        <v>0.10965771748518416</v>
      </c>
      <c r="F43" s="2">
        <f t="shared" si="36"/>
        <v>0.13806314309068565</v>
      </c>
      <c r="G43" s="2">
        <f t="shared" si="36"/>
        <v>6.7279603412181171E-2</v>
      </c>
      <c r="H43" s="2">
        <f t="shared" si="36"/>
        <v>0.16356502258156391</v>
      </c>
      <c r="I43" s="2">
        <f t="shared" si="36"/>
        <v>0.16433383685621125</v>
      </c>
      <c r="J43" s="2">
        <f t="shared" si="36"/>
        <v>4.1821835317933577E-2</v>
      </c>
      <c r="K43" s="2">
        <f t="shared" si="36"/>
        <v>8.0918732807913021E-2</v>
      </c>
    </row>
    <row r="44" spans="1:11" x14ac:dyDescent="0.25">
      <c r="A44" t="s">
        <v>26</v>
      </c>
      <c r="B44" s="2">
        <f t="shared" ref="B44:K44" si="37">_xlfn.NORM.DIST(0,$Q11-INDEX($Q$3:$Q$12,B$21),SQRT($R11+INDEX($R$3:$R$12,B$21)),FALSE)</f>
        <v>3.4653837211981495E-2</v>
      </c>
      <c r="C44" s="2">
        <f t="shared" si="37"/>
        <v>0.13611066483694823</v>
      </c>
      <c r="D44" s="2">
        <f t="shared" si="37"/>
        <v>0.16499311525139806</v>
      </c>
      <c r="E44" s="2">
        <f t="shared" si="37"/>
        <v>0.12185044688475753</v>
      </c>
      <c r="F44" s="2">
        <f t="shared" si="37"/>
        <v>9.1031682721654947E-2</v>
      </c>
      <c r="G44" s="2">
        <f t="shared" si="37"/>
        <v>0.15477421782665124</v>
      </c>
      <c r="H44" s="2">
        <f t="shared" si="37"/>
        <v>2.9172316345789824E-2</v>
      </c>
      <c r="I44" s="2">
        <f t="shared" si="37"/>
        <v>4.1821835317933577E-2</v>
      </c>
      <c r="J44" s="2">
        <f t="shared" si="37"/>
        <v>0.16469721175453766</v>
      </c>
      <c r="K44" s="2">
        <f t="shared" si="37"/>
        <v>0.14590290226137548</v>
      </c>
    </row>
    <row r="45" spans="1:11" x14ac:dyDescent="0.25">
      <c r="A45" t="s">
        <v>29</v>
      </c>
      <c r="B45" s="2">
        <f t="shared" ref="B45:K45" si="38">_xlfn.NORM.DIST(0,$Q12-INDEX($Q$3:$Q$12,B$21),SQRT($R12+INDEX($R$3:$R$12,B$21)),FALSE)</f>
        <v>7.1335654709120663E-2</v>
      </c>
      <c r="C45" s="2">
        <f t="shared" si="38"/>
        <v>0.15631017603176542</v>
      </c>
      <c r="D45" s="2">
        <f t="shared" si="38"/>
        <v>0.13960328361582083</v>
      </c>
      <c r="E45" s="2">
        <f t="shared" si="38"/>
        <v>0.15079081857831439</v>
      </c>
      <c r="F45" s="2">
        <f t="shared" si="38"/>
        <v>0.13101780982777034</v>
      </c>
      <c r="G45" s="2">
        <f t="shared" si="38"/>
        <v>0.15721318520698335</v>
      </c>
      <c r="H45" s="2">
        <f t="shared" si="38"/>
        <v>6.3446685122753657E-2</v>
      </c>
      <c r="I45" s="2">
        <f t="shared" si="38"/>
        <v>8.0918732807913021E-2</v>
      </c>
      <c r="J45" s="2">
        <f t="shared" si="38"/>
        <v>0.14590290226137548</v>
      </c>
      <c r="K45" s="2">
        <f t="shared" si="38"/>
        <v>0.1580705929185898</v>
      </c>
    </row>
    <row r="47" spans="1:11" x14ac:dyDescent="0.25">
      <c r="A47" t="s">
        <v>124</v>
      </c>
      <c r="B47">
        <v>1</v>
      </c>
      <c r="C47">
        <f>B47+1</f>
        <v>2</v>
      </c>
      <c r="D47">
        <f t="shared" ref="D47:K47" si="39">C47+1</f>
        <v>3</v>
      </c>
      <c r="E47">
        <f t="shared" si="39"/>
        <v>4</v>
      </c>
      <c r="F47">
        <f t="shared" si="39"/>
        <v>5</v>
      </c>
      <c r="G47">
        <f t="shared" si="39"/>
        <v>6</v>
      </c>
      <c r="H47">
        <f t="shared" si="39"/>
        <v>7</v>
      </c>
      <c r="I47">
        <f t="shared" si="39"/>
        <v>8</v>
      </c>
      <c r="J47">
        <f t="shared" si="39"/>
        <v>9</v>
      </c>
      <c r="K47">
        <f t="shared" si="39"/>
        <v>10</v>
      </c>
    </row>
    <row r="48" spans="1:11" x14ac:dyDescent="0.25">
      <c r="B48" t="s">
        <v>11</v>
      </c>
      <c r="C48" t="s">
        <v>15</v>
      </c>
      <c r="D48" t="s">
        <v>17</v>
      </c>
      <c r="E48" t="s">
        <v>18</v>
      </c>
      <c r="F48" t="s">
        <v>19</v>
      </c>
      <c r="G48" t="s">
        <v>21</v>
      </c>
      <c r="H48" t="s">
        <v>23</v>
      </c>
      <c r="I48" t="s">
        <v>24</v>
      </c>
      <c r="J48" t="s">
        <v>26</v>
      </c>
      <c r="K48" t="s">
        <v>29</v>
      </c>
    </row>
    <row r="49" spans="1:20" x14ac:dyDescent="0.25">
      <c r="A49" t="s">
        <v>11</v>
      </c>
      <c r="B49" s="2" t="e">
        <f>1-_xlfn.NORM.DIST(0,$S3-INDEX($S$3:$S$12,B$21),SQRT($T3+INDEX($T$3:$T$12,B$21)),TRUE)</f>
        <v>#NUM!</v>
      </c>
      <c r="C49" s="2" t="e">
        <f t="shared" ref="C49:K49" si="40">1-_xlfn.NORM.DIST(0,$S3-INDEX($S$3:$S$12,C$21),SQRT($T3+INDEX($T$3:$T$12,C$21)),TRUE)</f>
        <v>#NUM!</v>
      </c>
      <c r="D49" s="2" t="e">
        <f t="shared" si="40"/>
        <v>#NUM!</v>
      </c>
      <c r="E49" s="2" t="e">
        <f t="shared" si="40"/>
        <v>#NUM!</v>
      </c>
      <c r="F49" s="2" t="e">
        <f t="shared" si="40"/>
        <v>#NUM!</v>
      </c>
      <c r="G49" s="2" t="e">
        <f t="shared" si="40"/>
        <v>#NUM!</v>
      </c>
      <c r="H49" s="2" t="e">
        <f t="shared" si="40"/>
        <v>#NUM!</v>
      </c>
      <c r="I49" s="2" t="e">
        <f t="shared" si="40"/>
        <v>#NUM!</v>
      </c>
      <c r="J49" s="2" t="e">
        <f t="shared" si="40"/>
        <v>#NUM!</v>
      </c>
      <c r="K49" s="2" t="e">
        <f t="shared" si="40"/>
        <v>#NUM!</v>
      </c>
    </row>
    <row r="50" spans="1:20" x14ac:dyDescent="0.25">
      <c r="A50" t="s">
        <v>15</v>
      </c>
      <c r="B50" s="2" t="e">
        <f t="shared" ref="B50:K50" si="41">1-_xlfn.NORM.DIST(0,$S4-INDEX($S$3:$S$12,B$21),SQRT($T4+INDEX($T$3:$T$12,B$21)),TRUE)</f>
        <v>#NUM!</v>
      </c>
      <c r="C50" s="2" t="e">
        <f t="shared" si="41"/>
        <v>#NUM!</v>
      </c>
      <c r="D50" s="2" t="e">
        <f t="shared" si="41"/>
        <v>#NUM!</v>
      </c>
      <c r="E50" s="2" t="e">
        <f t="shared" si="41"/>
        <v>#NUM!</v>
      </c>
      <c r="F50" s="2" t="e">
        <f t="shared" si="41"/>
        <v>#NUM!</v>
      </c>
      <c r="G50" s="2" t="e">
        <f t="shared" si="41"/>
        <v>#NUM!</v>
      </c>
      <c r="H50" s="2" t="e">
        <f t="shared" si="41"/>
        <v>#NUM!</v>
      </c>
      <c r="I50" s="2" t="e">
        <f t="shared" si="41"/>
        <v>#NUM!</v>
      </c>
      <c r="J50" s="2" t="e">
        <f t="shared" si="41"/>
        <v>#NUM!</v>
      </c>
      <c r="K50" s="2" t="e">
        <f t="shared" si="41"/>
        <v>#NUM!</v>
      </c>
    </row>
    <row r="51" spans="1:20" x14ac:dyDescent="0.25">
      <c r="A51" t="s">
        <v>17</v>
      </c>
      <c r="B51" s="2" t="e">
        <f t="shared" ref="B51:K51" si="42">1-_xlfn.NORM.DIST(0,$S5-INDEX($S$3:$S$12,B$21),SQRT($T5+INDEX($T$3:$T$12,B$21)),TRUE)</f>
        <v>#NUM!</v>
      </c>
      <c r="C51" s="2" t="e">
        <f t="shared" si="42"/>
        <v>#NUM!</v>
      </c>
      <c r="D51" s="2" t="e">
        <f t="shared" si="42"/>
        <v>#NUM!</v>
      </c>
      <c r="E51" s="2" t="e">
        <f t="shared" si="42"/>
        <v>#NUM!</v>
      </c>
      <c r="F51" s="2" t="e">
        <f t="shared" si="42"/>
        <v>#NUM!</v>
      </c>
      <c r="G51" s="2" t="e">
        <f t="shared" si="42"/>
        <v>#NUM!</v>
      </c>
      <c r="H51" s="2" t="e">
        <f t="shared" si="42"/>
        <v>#NUM!</v>
      </c>
      <c r="I51" s="2" t="e">
        <f t="shared" si="42"/>
        <v>#NUM!</v>
      </c>
      <c r="J51" s="2" t="e">
        <f t="shared" si="42"/>
        <v>#NUM!</v>
      </c>
      <c r="K51" s="2" t="e">
        <f t="shared" si="42"/>
        <v>#NUM!</v>
      </c>
    </row>
    <row r="52" spans="1:20" x14ac:dyDescent="0.25">
      <c r="A52" t="s">
        <v>18</v>
      </c>
      <c r="B52" s="2" t="e">
        <f t="shared" ref="B52:K52" si="43">1-_xlfn.NORM.DIST(0,$S6-INDEX($S$3:$S$12,B$21),SQRT($T6+INDEX($T$3:$T$12,B$21)),TRUE)</f>
        <v>#NUM!</v>
      </c>
      <c r="C52" s="2" t="e">
        <f t="shared" si="43"/>
        <v>#NUM!</v>
      </c>
      <c r="D52" s="2" t="e">
        <f t="shared" si="43"/>
        <v>#NUM!</v>
      </c>
      <c r="E52" s="2" t="e">
        <f t="shared" si="43"/>
        <v>#NUM!</v>
      </c>
      <c r="F52" s="2" t="e">
        <f t="shared" si="43"/>
        <v>#NUM!</v>
      </c>
      <c r="G52" s="2" t="e">
        <f t="shared" si="43"/>
        <v>#NUM!</v>
      </c>
      <c r="H52" s="2" t="e">
        <f t="shared" si="43"/>
        <v>#NUM!</v>
      </c>
      <c r="I52" s="2" t="e">
        <f t="shared" si="43"/>
        <v>#NUM!</v>
      </c>
      <c r="J52" s="2" t="e">
        <f t="shared" si="43"/>
        <v>#NUM!</v>
      </c>
      <c r="K52" s="2" t="e">
        <f t="shared" si="43"/>
        <v>#NUM!</v>
      </c>
    </row>
    <row r="53" spans="1:20" x14ac:dyDescent="0.25">
      <c r="A53" t="s">
        <v>19</v>
      </c>
      <c r="B53" s="2" t="e">
        <f t="shared" ref="B53:K53" si="44">1-_xlfn.NORM.DIST(0,$S7-INDEX($S$3:$S$12,B$21),SQRT($T7+INDEX($T$3:$T$12,B$21)),TRUE)</f>
        <v>#NUM!</v>
      </c>
      <c r="C53" s="2" t="e">
        <f t="shared" si="44"/>
        <v>#NUM!</v>
      </c>
      <c r="D53" s="2" t="e">
        <f t="shared" si="44"/>
        <v>#NUM!</v>
      </c>
      <c r="E53" s="2" t="e">
        <f t="shared" si="44"/>
        <v>#NUM!</v>
      </c>
      <c r="F53" s="2" t="e">
        <f t="shared" si="44"/>
        <v>#NUM!</v>
      </c>
      <c r="G53" s="2" t="e">
        <f t="shared" si="44"/>
        <v>#NUM!</v>
      </c>
      <c r="H53" s="2" t="e">
        <f t="shared" si="44"/>
        <v>#NUM!</v>
      </c>
      <c r="I53" s="2" t="e">
        <f t="shared" si="44"/>
        <v>#NUM!</v>
      </c>
      <c r="J53" s="2" t="e">
        <f t="shared" si="44"/>
        <v>#NUM!</v>
      </c>
      <c r="K53" s="2" t="e">
        <f t="shared" si="44"/>
        <v>#NUM!</v>
      </c>
    </row>
    <row r="54" spans="1:20" x14ac:dyDescent="0.25">
      <c r="A54" t="s">
        <v>21</v>
      </c>
      <c r="B54" s="2" t="e">
        <f t="shared" ref="B54:K54" si="45">1-_xlfn.NORM.DIST(0,$S8-INDEX($S$3:$S$12,B$21),SQRT($T8+INDEX($T$3:$T$12,B$21)),TRUE)</f>
        <v>#NUM!</v>
      </c>
      <c r="C54" s="2" t="e">
        <f t="shared" si="45"/>
        <v>#NUM!</v>
      </c>
      <c r="D54" s="2" t="e">
        <f t="shared" si="45"/>
        <v>#NUM!</v>
      </c>
      <c r="E54" s="2" t="e">
        <f t="shared" si="45"/>
        <v>#NUM!</v>
      </c>
      <c r="F54" s="2" t="e">
        <f t="shared" si="45"/>
        <v>#NUM!</v>
      </c>
      <c r="G54" s="2" t="e">
        <f t="shared" si="45"/>
        <v>#NUM!</v>
      </c>
      <c r="H54" s="2" t="e">
        <f t="shared" si="45"/>
        <v>#NUM!</v>
      </c>
      <c r="I54" s="2" t="e">
        <f t="shared" si="45"/>
        <v>#NUM!</v>
      </c>
      <c r="J54" s="2" t="e">
        <f t="shared" si="45"/>
        <v>#NUM!</v>
      </c>
      <c r="K54" s="2" t="e">
        <f t="shared" si="45"/>
        <v>#NUM!</v>
      </c>
    </row>
    <row r="55" spans="1:20" x14ac:dyDescent="0.25">
      <c r="A55" t="s">
        <v>23</v>
      </c>
      <c r="B55" s="2" t="e">
        <f t="shared" ref="B55:K55" si="46">1-_xlfn.NORM.DIST(0,$S9-INDEX($S$3:$S$12,B$21),SQRT($T9+INDEX($T$3:$T$12,B$21)),TRUE)</f>
        <v>#NUM!</v>
      </c>
      <c r="C55" s="2" t="e">
        <f t="shared" si="46"/>
        <v>#NUM!</v>
      </c>
      <c r="D55" s="2" t="e">
        <f t="shared" si="46"/>
        <v>#NUM!</v>
      </c>
      <c r="E55" s="2" t="e">
        <f t="shared" si="46"/>
        <v>#NUM!</v>
      </c>
      <c r="F55" s="2" t="e">
        <f t="shared" si="46"/>
        <v>#NUM!</v>
      </c>
      <c r="G55" s="2" t="e">
        <f t="shared" si="46"/>
        <v>#NUM!</v>
      </c>
      <c r="H55" s="2" t="e">
        <f t="shared" si="46"/>
        <v>#NUM!</v>
      </c>
      <c r="I55" s="2" t="e">
        <f t="shared" si="46"/>
        <v>#NUM!</v>
      </c>
      <c r="J55" s="2" t="e">
        <f t="shared" si="46"/>
        <v>#NUM!</v>
      </c>
      <c r="K55" s="2" t="e">
        <f t="shared" si="46"/>
        <v>#NUM!</v>
      </c>
    </row>
    <row r="56" spans="1:20" x14ac:dyDescent="0.25">
      <c r="A56" t="s">
        <v>24</v>
      </c>
      <c r="B56" s="2" t="e">
        <f t="shared" ref="B56:K56" si="47">1-_xlfn.NORM.DIST(0,$S10-INDEX($S$3:$S$12,B$21),SQRT($T10+INDEX($T$3:$T$12,B$21)),TRUE)</f>
        <v>#NUM!</v>
      </c>
      <c r="C56" s="2" t="e">
        <f t="shared" si="47"/>
        <v>#NUM!</v>
      </c>
      <c r="D56" s="2" t="e">
        <f t="shared" si="47"/>
        <v>#NUM!</v>
      </c>
      <c r="E56" s="2" t="e">
        <f t="shared" si="47"/>
        <v>#NUM!</v>
      </c>
      <c r="F56" s="2" t="e">
        <f t="shared" si="47"/>
        <v>#NUM!</v>
      </c>
      <c r="G56" s="2" t="e">
        <f t="shared" si="47"/>
        <v>#NUM!</v>
      </c>
      <c r="H56" s="2" t="e">
        <f t="shared" si="47"/>
        <v>#NUM!</v>
      </c>
      <c r="I56" s="2" t="e">
        <f t="shared" si="47"/>
        <v>#NUM!</v>
      </c>
      <c r="J56" s="2" t="e">
        <f t="shared" si="47"/>
        <v>#NUM!</v>
      </c>
      <c r="K56" s="2" t="e">
        <f t="shared" si="47"/>
        <v>#NUM!</v>
      </c>
    </row>
    <row r="57" spans="1:20" x14ac:dyDescent="0.25">
      <c r="A57" t="s">
        <v>26</v>
      </c>
      <c r="B57" s="2" t="e">
        <f t="shared" ref="B57:K57" si="48">1-_xlfn.NORM.DIST(0,$S11-INDEX($S$3:$S$12,B$21),SQRT($T11+INDEX($T$3:$T$12,B$21)),TRUE)</f>
        <v>#NUM!</v>
      </c>
      <c r="C57" s="2" t="e">
        <f t="shared" si="48"/>
        <v>#NUM!</v>
      </c>
      <c r="D57" s="2" t="e">
        <f t="shared" si="48"/>
        <v>#NUM!</v>
      </c>
      <c r="E57" s="2" t="e">
        <f t="shared" si="48"/>
        <v>#NUM!</v>
      </c>
      <c r="F57" s="2" t="e">
        <f t="shared" si="48"/>
        <v>#NUM!</v>
      </c>
      <c r="G57" s="2" t="e">
        <f t="shared" si="48"/>
        <v>#NUM!</v>
      </c>
      <c r="H57" s="2" t="e">
        <f t="shared" si="48"/>
        <v>#NUM!</v>
      </c>
      <c r="I57" s="2" t="e">
        <f t="shared" si="48"/>
        <v>#NUM!</v>
      </c>
      <c r="J57" s="2" t="e">
        <f t="shared" si="48"/>
        <v>#NUM!</v>
      </c>
      <c r="K57" s="2" t="e">
        <f t="shared" si="48"/>
        <v>#NUM!</v>
      </c>
    </row>
    <row r="58" spans="1:20" x14ac:dyDescent="0.25">
      <c r="A58" t="s">
        <v>29</v>
      </c>
      <c r="B58" s="2" t="e">
        <f t="shared" ref="B58:K58" si="49">1-_xlfn.NORM.DIST(0,$S12-INDEX($S$3:$S$12,B$21),SQRT($T12+INDEX($T$3:$T$12,B$21)),TRUE)</f>
        <v>#NUM!</v>
      </c>
      <c r="C58" s="2" t="e">
        <f t="shared" si="49"/>
        <v>#NUM!</v>
      </c>
      <c r="D58" s="2" t="e">
        <f t="shared" si="49"/>
        <v>#NUM!</v>
      </c>
      <c r="E58" s="2" t="e">
        <f t="shared" si="49"/>
        <v>#NUM!</v>
      </c>
      <c r="F58" s="2" t="e">
        <f t="shared" si="49"/>
        <v>#NUM!</v>
      </c>
      <c r="G58" s="2" t="e">
        <f t="shared" si="49"/>
        <v>#NUM!</v>
      </c>
      <c r="H58" s="2" t="e">
        <f t="shared" si="49"/>
        <v>#NUM!</v>
      </c>
      <c r="I58" s="2" t="e">
        <f t="shared" si="49"/>
        <v>#NUM!</v>
      </c>
      <c r="J58" s="2" t="e">
        <f t="shared" si="49"/>
        <v>#NUM!</v>
      </c>
      <c r="K58" s="2" t="e">
        <f t="shared" si="49"/>
        <v>#NUM!</v>
      </c>
    </row>
    <row r="60" spans="1:20" x14ac:dyDescent="0.25">
      <c r="A60" t="s">
        <v>127</v>
      </c>
      <c r="B60" s="27" t="s">
        <v>11</v>
      </c>
      <c r="C60" t="s">
        <v>15</v>
      </c>
      <c r="D60" t="s">
        <v>17</v>
      </c>
      <c r="E60" s="27" t="s">
        <v>18</v>
      </c>
      <c r="F60" t="s">
        <v>19</v>
      </c>
      <c r="G60" s="27" t="s">
        <v>21</v>
      </c>
      <c r="H60" t="s">
        <v>23</v>
      </c>
      <c r="I60" s="27" t="s">
        <v>24</v>
      </c>
      <c r="J60" t="s">
        <v>26</v>
      </c>
      <c r="K60" s="27" t="s">
        <v>29</v>
      </c>
      <c r="P60" t="s">
        <v>128</v>
      </c>
      <c r="R60">
        <v>0.49399999999999999</v>
      </c>
      <c r="S60" s="21"/>
      <c r="T60" s="2"/>
    </row>
    <row r="61" spans="1:20" x14ac:dyDescent="0.25">
      <c r="A61" s="27" t="s">
        <v>11</v>
      </c>
      <c r="B61" s="26"/>
      <c r="C61" s="2" t="e">
        <f t="shared" ref="C61:K61" si="50">C23+(C36*C49)</f>
        <v>#NUM!</v>
      </c>
      <c r="D61" s="2" t="e">
        <f t="shared" si="50"/>
        <v>#NUM!</v>
      </c>
      <c r="E61" s="26" t="e">
        <f t="shared" si="50"/>
        <v>#NUM!</v>
      </c>
      <c r="F61" s="2" t="e">
        <f t="shared" si="50"/>
        <v>#NUM!</v>
      </c>
      <c r="G61" s="26" t="e">
        <f t="shared" si="50"/>
        <v>#NUM!</v>
      </c>
      <c r="H61" s="2" t="e">
        <f t="shared" si="50"/>
        <v>#NUM!</v>
      </c>
      <c r="I61" s="26" t="e">
        <f t="shared" si="50"/>
        <v>#NUM!</v>
      </c>
      <c r="J61" s="2" t="e">
        <f t="shared" si="50"/>
        <v>#NUM!</v>
      </c>
      <c r="K61" s="26" t="e">
        <f t="shared" si="50"/>
        <v>#NUM!</v>
      </c>
      <c r="L61" s="23" t="e">
        <f>PRODUCT(B61:K61)^(1/2.71)</f>
        <v>#NUM!</v>
      </c>
      <c r="P61" s="2">
        <v>0.16169</v>
      </c>
      <c r="Q61" s="2" t="e">
        <f>PRODUCT(B61,E61,G61,I61,K61)</f>
        <v>#NUM!</v>
      </c>
      <c r="R61" s="2" t="e">
        <f>Q61^(1/EXP($R$60))</f>
        <v>#NUM!</v>
      </c>
      <c r="S61" s="21" t="e">
        <f>AVERAGE(B61,E61,G61,I61,K61)</f>
        <v>#NUM!</v>
      </c>
      <c r="T61" s="2" t="e">
        <f>_xlfn.BINOM.DIST(4,4,S61,FALSE)</f>
        <v>#NUM!</v>
      </c>
    </row>
    <row r="62" spans="1:20" x14ac:dyDescent="0.25">
      <c r="A62" t="s">
        <v>15</v>
      </c>
      <c r="B62" s="2" t="e">
        <f t="shared" ref="B62:K62" si="51">B24+(B37*B50)</f>
        <v>#NUM!</v>
      </c>
      <c r="C62" s="2"/>
      <c r="D62" s="2" t="e">
        <f t="shared" si="51"/>
        <v>#NUM!</v>
      </c>
      <c r="E62" s="2" t="e">
        <f t="shared" si="51"/>
        <v>#NUM!</v>
      </c>
      <c r="F62" s="2" t="e">
        <f t="shared" si="51"/>
        <v>#NUM!</v>
      </c>
      <c r="G62" s="2" t="e">
        <f t="shared" si="51"/>
        <v>#NUM!</v>
      </c>
      <c r="H62" s="2" t="e">
        <f t="shared" si="51"/>
        <v>#NUM!</v>
      </c>
      <c r="I62" s="2" t="e">
        <f t="shared" si="51"/>
        <v>#NUM!</v>
      </c>
      <c r="J62" s="2" t="e">
        <f t="shared" si="51"/>
        <v>#NUM!</v>
      </c>
      <c r="K62" s="2" t="e">
        <f t="shared" si="51"/>
        <v>#NUM!</v>
      </c>
      <c r="L62" s="23" t="e">
        <f t="shared" ref="L62:L69" si="52">PRODUCT(B62:K62)^(1/2.71)</f>
        <v>#NUM!</v>
      </c>
      <c r="P62" s="2">
        <v>0.22408</v>
      </c>
      <c r="R62" s="2">
        <f t="shared" ref="R62:R70" si="53">Q62^(1/EXP($R$60))</f>
        <v>0</v>
      </c>
      <c r="S62" s="21"/>
      <c r="T62" s="2"/>
    </row>
    <row r="63" spans="1:20" x14ac:dyDescent="0.25">
      <c r="A63" t="s">
        <v>17</v>
      </c>
      <c r="B63" s="2" t="e">
        <f t="shared" ref="B63:K63" si="54">B25+(B38*B51)</f>
        <v>#NUM!</v>
      </c>
      <c r="C63" s="2" t="e">
        <f t="shared" si="54"/>
        <v>#NUM!</v>
      </c>
      <c r="D63" s="2"/>
      <c r="E63" s="2" t="e">
        <f t="shared" si="54"/>
        <v>#NUM!</v>
      </c>
      <c r="F63" s="2" t="e">
        <f t="shared" si="54"/>
        <v>#NUM!</v>
      </c>
      <c r="G63" s="2" t="e">
        <f t="shared" si="54"/>
        <v>#NUM!</v>
      </c>
      <c r="H63" s="2" t="e">
        <f t="shared" si="54"/>
        <v>#NUM!</v>
      </c>
      <c r="I63" s="2" t="e">
        <f t="shared" si="54"/>
        <v>#NUM!</v>
      </c>
      <c r="J63" s="2" t="e">
        <f t="shared" si="54"/>
        <v>#NUM!</v>
      </c>
      <c r="K63" s="2" t="e">
        <f t="shared" si="54"/>
        <v>#NUM!</v>
      </c>
      <c r="L63" s="23" t="e">
        <f t="shared" si="52"/>
        <v>#NUM!</v>
      </c>
      <c r="P63" s="2">
        <v>0.20044999999999999</v>
      </c>
      <c r="R63" s="2">
        <f t="shared" si="53"/>
        <v>0</v>
      </c>
      <c r="S63" s="21"/>
      <c r="T63" s="2"/>
    </row>
    <row r="64" spans="1:20" x14ac:dyDescent="0.25">
      <c r="A64" s="27" t="s">
        <v>18</v>
      </c>
      <c r="B64" s="26" t="e">
        <f t="shared" ref="B64:K64" si="55">B26+(B39*B52)</f>
        <v>#NUM!</v>
      </c>
      <c r="C64" s="2" t="e">
        <f t="shared" si="55"/>
        <v>#NUM!</v>
      </c>
      <c r="D64" s="2" t="e">
        <f t="shared" si="55"/>
        <v>#NUM!</v>
      </c>
      <c r="E64" s="26"/>
      <c r="F64" s="2" t="e">
        <f t="shared" si="55"/>
        <v>#NUM!</v>
      </c>
      <c r="G64" s="26" t="e">
        <f t="shared" si="55"/>
        <v>#NUM!</v>
      </c>
      <c r="H64" s="2" t="e">
        <f t="shared" si="55"/>
        <v>#NUM!</v>
      </c>
      <c r="I64" s="26" t="e">
        <f t="shared" si="55"/>
        <v>#NUM!</v>
      </c>
      <c r="J64" s="2" t="e">
        <f t="shared" si="55"/>
        <v>#NUM!</v>
      </c>
      <c r="K64" s="26" t="e">
        <f t="shared" si="55"/>
        <v>#NUM!</v>
      </c>
      <c r="L64" s="23" t="e">
        <f t="shared" si="52"/>
        <v>#NUM!</v>
      </c>
      <c r="P64" s="2">
        <v>0.13372000000000001</v>
      </c>
      <c r="Q64" s="2" t="e">
        <f>PRODUCT(B64,E64,G64,I64,K64)</f>
        <v>#NUM!</v>
      </c>
      <c r="R64" s="2" t="e">
        <f t="shared" si="53"/>
        <v>#NUM!</v>
      </c>
      <c r="S64" s="21" t="e">
        <f>AVERAGE(B64,E64,G64,I64,K64)</f>
        <v>#NUM!</v>
      </c>
      <c r="T64" s="2" t="e">
        <f>_xlfn.BINOM.DIST(4,4,S64,FALSE)</f>
        <v>#NUM!</v>
      </c>
    </row>
    <row r="65" spans="1:20" x14ac:dyDescent="0.25">
      <c r="A65" t="s">
        <v>19</v>
      </c>
      <c r="B65" s="2" t="e">
        <f t="shared" ref="B65:K65" si="56">B27+(B40*B53)</f>
        <v>#NUM!</v>
      </c>
      <c r="C65" s="2" t="e">
        <f t="shared" si="56"/>
        <v>#NUM!</v>
      </c>
      <c r="D65" s="2" t="e">
        <f t="shared" si="56"/>
        <v>#NUM!</v>
      </c>
      <c r="E65" s="2" t="e">
        <f t="shared" si="56"/>
        <v>#NUM!</v>
      </c>
      <c r="F65" s="2"/>
      <c r="G65" s="2" t="e">
        <f t="shared" si="56"/>
        <v>#NUM!</v>
      </c>
      <c r="H65" s="2" t="e">
        <f t="shared" si="56"/>
        <v>#NUM!</v>
      </c>
      <c r="I65" s="2" t="e">
        <f t="shared" si="56"/>
        <v>#NUM!</v>
      </c>
      <c r="J65" s="2" t="e">
        <f t="shared" si="56"/>
        <v>#NUM!</v>
      </c>
      <c r="K65" s="2" t="e">
        <f t="shared" si="56"/>
        <v>#NUM!</v>
      </c>
      <c r="L65" s="23" t="e">
        <f t="shared" si="52"/>
        <v>#NUM!</v>
      </c>
      <c r="P65" s="2">
        <v>0.27100999999999997</v>
      </c>
      <c r="R65" s="2">
        <f t="shared" si="53"/>
        <v>0</v>
      </c>
      <c r="S65" s="21"/>
      <c r="T65" s="2"/>
    </row>
    <row r="66" spans="1:20" x14ac:dyDescent="0.25">
      <c r="A66" s="27" t="s">
        <v>21</v>
      </c>
      <c r="B66" s="26" t="e">
        <f t="shared" ref="B66:K66" si="57">B28+(B41*B54)</f>
        <v>#NUM!</v>
      </c>
      <c r="C66" s="2" t="e">
        <f t="shared" si="57"/>
        <v>#NUM!</v>
      </c>
      <c r="D66" s="2" t="e">
        <f t="shared" si="57"/>
        <v>#NUM!</v>
      </c>
      <c r="E66" s="26" t="e">
        <f t="shared" si="57"/>
        <v>#NUM!</v>
      </c>
      <c r="F66" s="2" t="e">
        <f t="shared" si="57"/>
        <v>#NUM!</v>
      </c>
      <c r="G66" s="26"/>
      <c r="H66" s="2" t="e">
        <f t="shared" si="57"/>
        <v>#NUM!</v>
      </c>
      <c r="I66" s="26" t="e">
        <f t="shared" si="57"/>
        <v>#NUM!</v>
      </c>
      <c r="J66" s="2" t="e">
        <f t="shared" si="57"/>
        <v>#NUM!</v>
      </c>
      <c r="K66" s="26" t="e">
        <f t="shared" si="57"/>
        <v>#NUM!</v>
      </c>
      <c r="L66" s="23" t="e">
        <f t="shared" si="52"/>
        <v>#NUM!</v>
      </c>
      <c r="P66" s="2">
        <v>7.6270000000000004E-2</v>
      </c>
      <c r="Q66" s="2" t="e">
        <f>PRODUCT(B66,E66,G66,I66,K66)</f>
        <v>#NUM!</v>
      </c>
      <c r="R66" s="2" t="e">
        <f t="shared" si="53"/>
        <v>#NUM!</v>
      </c>
      <c r="S66" s="21" t="e">
        <f>AVERAGE(B66,E66,G66,I66,K66)</f>
        <v>#NUM!</v>
      </c>
      <c r="T66" s="2" t="e">
        <f>_xlfn.BINOM.DIST(4,4,S66,FALSE)</f>
        <v>#NUM!</v>
      </c>
    </row>
    <row r="67" spans="1:20" x14ac:dyDescent="0.25">
      <c r="A67" t="s">
        <v>23</v>
      </c>
      <c r="B67" s="2" t="e">
        <f t="shared" ref="B67:K67" si="58">B29+(B42*B55)</f>
        <v>#NUM!</v>
      </c>
      <c r="C67" s="2" t="e">
        <f t="shared" si="58"/>
        <v>#NUM!</v>
      </c>
      <c r="D67" s="2" t="e">
        <f t="shared" si="58"/>
        <v>#NUM!</v>
      </c>
      <c r="E67" s="2" t="e">
        <f t="shared" si="58"/>
        <v>#NUM!</v>
      </c>
      <c r="F67" s="2" t="e">
        <f t="shared" si="58"/>
        <v>#NUM!</v>
      </c>
      <c r="G67" s="2" t="e">
        <f t="shared" si="58"/>
        <v>#NUM!</v>
      </c>
      <c r="H67" s="2"/>
      <c r="I67" s="2" t="e">
        <f t="shared" si="58"/>
        <v>#NUM!</v>
      </c>
      <c r="J67" s="2" t="e">
        <f t="shared" si="58"/>
        <v>#NUM!</v>
      </c>
      <c r="K67" s="2" t="e">
        <f t="shared" si="58"/>
        <v>#NUM!</v>
      </c>
      <c r="L67" s="23" t="e">
        <f t="shared" si="52"/>
        <v>#NUM!</v>
      </c>
      <c r="P67" s="2">
        <v>0.15465999999999999</v>
      </c>
      <c r="R67" s="2">
        <f t="shared" si="53"/>
        <v>0</v>
      </c>
      <c r="S67" s="21"/>
      <c r="T67" s="2"/>
    </row>
    <row r="68" spans="1:20" x14ac:dyDescent="0.25">
      <c r="A68" s="27" t="s">
        <v>24</v>
      </c>
      <c r="B68" s="26" t="e">
        <f t="shared" ref="B68:K68" si="59">B30+(B43*B56)</f>
        <v>#NUM!</v>
      </c>
      <c r="C68" s="2" t="e">
        <f t="shared" si="59"/>
        <v>#NUM!</v>
      </c>
      <c r="D68" s="2" t="e">
        <f t="shared" si="59"/>
        <v>#NUM!</v>
      </c>
      <c r="E68" s="26" t="e">
        <f t="shared" si="59"/>
        <v>#NUM!</v>
      </c>
      <c r="F68" s="2" t="e">
        <f t="shared" si="59"/>
        <v>#NUM!</v>
      </c>
      <c r="G68" s="26" t="e">
        <f t="shared" si="59"/>
        <v>#NUM!</v>
      </c>
      <c r="H68" s="2" t="e">
        <f t="shared" si="59"/>
        <v>#NUM!</v>
      </c>
      <c r="I68" s="26"/>
      <c r="J68" s="2" t="e">
        <f t="shared" si="59"/>
        <v>#NUM!</v>
      </c>
      <c r="K68" s="26" t="e">
        <f t="shared" si="59"/>
        <v>#NUM!</v>
      </c>
      <c r="L68" s="23" t="e">
        <f t="shared" si="52"/>
        <v>#NUM!</v>
      </c>
      <c r="P68" s="2">
        <v>0.16475999999999999</v>
      </c>
      <c r="Q68" s="2" t="e">
        <f>PRODUCT(B68,E68,G68,I68,K68)</f>
        <v>#NUM!</v>
      </c>
      <c r="R68" s="2" t="e">
        <f t="shared" si="53"/>
        <v>#NUM!</v>
      </c>
      <c r="S68" s="21" t="e">
        <f>AVERAGE(B68,E68,G68,I68,K68)</f>
        <v>#NUM!</v>
      </c>
      <c r="T68" s="2" t="e">
        <f>_xlfn.BINOM.DIST(4,4,S68,FALSE)</f>
        <v>#NUM!</v>
      </c>
    </row>
    <row r="69" spans="1:20" x14ac:dyDescent="0.25">
      <c r="A69" t="s">
        <v>26</v>
      </c>
      <c r="B69" s="2" t="e">
        <f t="shared" ref="B69:K69" si="60">B31+(B44*B57)</f>
        <v>#NUM!</v>
      </c>
      <c r="C69" s="2" t="e">
        <f t="shared" si="60"/>
        <v>#NUM!</v>
      </c>
      <c r="D69" s="2" t="e">
        <f t="shared" si="60"/>
        <v>#NUM!</v>
      </c>
      <c r="E69" s="2" t="e">
        <f t="shared" si="60"/>
        <v>#NUM!</v>
      </c>
      <c r="F69" s="2" t="e">
        <f t="shared" si="60"/>
        <v>#NUM!</v>
      </c>
      <c r="G69" s="2" t="e">
        <f t="shared" si="60"/>
        <v>#NUM!</v>
      </c>
      <c r="H69" s="2" t="e">
        <f t="shared" si="60"/>
        <v>#NUM!</v>
      </c>
      <c r="I69" s="2" t="e">
        <f t="shared" si="60"/>
        <v>#NUM!</v>
      </c>
      <c r="J69" s="2"/>
      <c r="K69" s="2" t="e">
        <f t="shared" si="60"/>
        <v>#NUM!</v>
      </c>
      <c r="L69" s="23" t="e">
        <f t="shared" si="52"/>
        <v>#NUM!</v>
      </c>
      <c r="P69" s="2">
        <v>0.14979999999999999</v>
      </c>
      <c r="R69" s="2">
        <f t="shared" si="53"/>
        <v>0</v>
      </c>
      <c r="S69" s="21"/>
      <c r="T69" s="2"/>
    </row>
    <row r="70" spans="1:20" x14ac:dyDescent="0.25">
      <c r="A70" s="27" t="s">
        <v>29</v>
      </c>
      <c r="B70" s="26" t="e">
        <f t="shared" ref="B70:J70" si="61">B32+(B45*B58)</f>
        <v>#NUM!</v>
      </c>
      <c r="C70" s="2" t="e">
        <f t="shared" si="61"/>
        <v>#NUM!</v>
      </c>
      <c r="D70" s="2" t="e">
        <f t="shared" si="61"/>
        <v>#NUM!</v>
      </c>
      <c r="E70" s="26" t="e">
        <f t="shared" si="61"/>
        <v>#NUM!</v>
      </c>
      <c r="F70" s="2" t="e">
        <f t="shared" si="61"/>
        <v>#NUM!</v>
      </c>
      <c r="G70" s="26" t="e">
        <f t="shared" si="61"/>
        <v>#NUM!</v>
      </c>
      <c r="H70" s="2" t="e">
        <f t="shared" si="61"/>
        <v>#NUM!</v>
      </c>
      <c r="I70" s="26" t="e">
        <f t="shared" si="61"/>
        <v>#NUM!</v>
      </c>
      <c r="J70" s="2" t="e">
        <f t="shared" si="61"/>
        <v>#NUM!</v>
      </c>
      <c r="K70" s="26"/>
      <c r="L70" s="23" t="e">
        <f>PRODUCT(B70:K70)^(1/2.71)</f>
        <v>#NUM!</v>
      </c>
      <c r="P70" s="2">
        <v>0.46356000000000003</v>
      </c>
      <c r="Q70" s="2" t="e">
        <f>PRODUCT(B70,E70,G70,I70,K70)</f>
        <v>#NUM!</v>
      </c>
      <c r="R70" s="2" t="e">
        <f t="shared" si="53"/>
        <v>#NUM!</v>
      </c>
      <c r="S70" s="21" t="e">
        <f>AVERAGE(B70,E70,G70,I70,K70)</f>
        <v>#NUM!</v>
      </c>
      <c r="T70" s="2" t="e">
        <f>_xlfn.BINOM.DIST(4,4,S70,FALSE)</f>
        <v>#NUM!</v>
      </c>
    </row>
    <row r="71" spans="1:20" x14ac:dyDescent="0.25">
      <c r="Q71" s="2"/>
      <c r="R71" s="21" t="e">
        <f>SUM(R61:R70)</f>
        <v>#NUM!</v>
      </c>
      <c r="T71" s="21" t="e">
        <f>SUM(T61:T70)</f>
        <v>#NUM!</v>
      </c>
    </row>
    <row r="72" spans="1:20" x14ac:dyDescent="0.25">
      <c r="E72" s="2"/>
      <c r="G72" s="2"/>
    </row>
    <row r="74" spans="1:20" x14ac:dyDescent="0.25">
      <c r="A74" t="s">
        <v>29</v>
      </c>
      <c r="B74" t="s">
        <v>18</v>
      </c>
      <c r="C74" t="str">
        <f t="shared" ref="C74:C79" si="62">A74&amp;B74</f>
        <v>sethdevon</v>
      </c>
      <c r="D74" s="21" t="e">
        <f>E70</f>
        <v>#NUM!</v>
      </c>
    </row>
    <row r="75" spans="1:20" x14ac:dyDescent="0.25">
      <c r="A75" t="s">
        <v>29</v>
      </c>
      <c r="B75" t="s">
        <v>21</v>
      </c>
      <c r="C75" t="str">
        <f t="shared" si="62"/>
        <v>sethchad</v>
      </c>
      <c r="D75" s="21" t="e">
        <f>G70</f>
        <v>#NUM!</v>
      </c>
      <c r="E75" s="2" t="e">
        <f>D75*D74</f>
        <v>#NUM!</v>
      </c>
    </row>
    <row r="76" spans="1:20" x14ac:dyDescent="0.25">
      <c r="A76" t="s">
        <v>18</v>
      </c>
      <c r="B76" t="s">
        <v>29</v>
      </c>
      <c r="C76" t="str">
        <f t="shared" si="62"/>
        <v>devonseth</v>
      </c>
      <c r="D76" s="21" t="e">
        <f>1-D74</f>
        <v>#NUM!</v>
      </c>
    </row>
    <row r="77" spans="1:20" x14ac:dyDescent="0.25">
      <c r="A77" t="s">
        <v>21</v>
      </c>
      <c r="B77" t="s">
        <v>29</v>
      </c>
      <c r="C77" t="str">
        <f t="shared" si="62"/>
        <v>chadseth</v>
      </c>
      <c r="D77" s="21" t="e">
        <f>1-D75</f>
        <v>#NUM!</v>
      </c>
    </row>
    <row r="78" spans="1:20" x14ac:dyDescent="0.25">
      <c r="A78" t="s">
        <v>18</v>
      </c>
      <c r="B78" t="s">
        <v>21</v>
      </c>
      <c r="C78" t="str">
        <f t="shared" si="62"/>
        <v>devonchad</v>
      </c>
      <c r="D78" s="21" t="e">
        <f>G64</f>
        <v>#NUM!</v>
      </c>
    </row>
    <row r="79" spans="1:20" x14ac:dyDescent="0.25">
      <c r="A79" t="s">
        <v>21</v>
      </c>
      <c r="B79" t="s">
        <v>18</v>
      </c>
      <c r="C79" t="str">
        <f t="shared" si="62"/>
        <v>chaddevon</v>
      </c>
      <c r="D79" s="21" t="e">
        <f>1-D78</f>
        <v>#NUM!</v>
      </c>
    </row>
    <row r="80" spans="1:20" x14ac:dyDescent="0.25">
      <c r="E80" t="str">
        <f>D82</f>
        <v>devon</v>
      </c>
      <c r="F80" t="str">
        <f>D83</f>
        <v>chad</v>
      </c>
    </row>
    <row r="81" spans="4:11" x14ac:dyDescent="0.25">
      <c r="D81" t="s">
        <v>29</v>
      </c>
      <c r="E81" s="2" t="e">
        <f>VLOOKUP($D81&amp;E80,$C$74:$D$79,2,FALSE)</f>
        <v>#NUM!</v>
      </c>
      <c r="F81" s="2" t="e">
        <f>VLOOKUP($D81&amp;F80,$C$74:$D$79,2,FALSE)</f>
        <v>#NUM!</v>
      </c>
      <c r="G81" s="21" t="e">
        <f>1-(F81)*(1-F82)</f>
        <v>#NUM!</v>
      </c>
      <c r="H81" s="2" t="e">
        <f>E81*G81*F81</f>
        <v>#NUM!</v>
      </c>
    </row>
    <row r="82" spans="4:11" x14ac:dyDescent="0.25">
      <c r="D82" t="s">
        <v>18</v>
      </c>
      <c r="F82" s="2" t="e">
        <f>VLOOKUP($D82&amp;F80,$C$74:$D$79,2,FALSE)</f>
        <v>#NUM!</v>
      </c>
    </row>
    <row r="83" spans="4:11" x14ac:dyDescent="0.25">
      <c r="D83" t="s">
        <v>21</v>
      </c>
      <c r="F83" s="2"/>
    </row>
    <row r="84" spans="4:11" x14ac:dyDescent="0.25">
      <c r="E84" t="str">
        <f>D86</f>
        <v>chad</v>
      </c>
      <c r="F84" t="str">
        <f>D87</f>
        <v>devon</v>
      </c>
    </row>
    <row r="85" spans="4:11" x14ac:dyDescent="0.25">
      <c r="D85" t="s">
        <v>29</v>
      </c>
      <c r="E85" s="2" t="e">
        <f>VLOOKUP($D85&amp;E84,$C$74:$D$79,2,FALSE)</f>
        <v>#NUM!</v>
      </c>
      <c r="F85" s="2" t="e">
        <f>VLOOKUP($D85&amp;F84,$C$74:$D$79,2,FALSE)</f>
        <v>#NUM!</v>
      </c>
      <c r="G85" s="21" t="e">
        <f>1-(F85)*(1-F86)</f>
        <v>#NUM!</v>
      </c>
      <c r="H85" s="2" t="e">
        <f>E85*G85*F85</f>
        <v>#NUM!</v>
      </c>
      <c r="I85" s="21"/>
    </row>
    <row r="86" spans="4:11" x14ac:dyDescent="0.25">
      <c r="D86" t="s">
        <v>21</v>
      </c>
      <c r="F86" s="2" t="e">
        <f>VLOOKUP($D86&amp;F84,$C$74:$D$79,2,FALSE)</f>
        <v>#NUM!</v>
      </c>
    </row>
    <row r="87" spans="4:11" x14ac:dyDescent="0.25">
      <c r="D87" t="s">
        <v>18</v>
      </c>
      <c r="F87" s="2"/>
    </row>
    <row r="89" spans="4:11" x14ac:dyDescent="0.25">
      <c r="E89" t="str">
        <f>D91</f>
        <v>chad</v>
      </c>
      <c r="F89" t="str">
        <f>D92</f>
        <v>seth</v>
      </c>
    </row>
    <row r="90" spans="4:11" x14ac:dyDescent="0.25">
      <c r="D90" t="s">
        <v>18</v>
      </c>
      <c r="E90" s="2" t="e">
        <f>VLOOKUP($D90&amp;E89,$C$74:$D$79,2,FALSE)</f>
        <v>#NUM!</v>
      </c>
      <c r="F90" s="2" t="e">
        <f>VLOOKUP($D90&amp;F89,$C$74:$D$79,2,FALSE)</f>
        <v>#NUM!</v>
      </c>
      <c r="G90" s="21" t="e">
        <f>1-(F90)*(1-F91)</f>
        <v>#NUM!</v>
      </c>
      <c r="H90" s="2" t="e">
        <f>E90*G90*F90</f>
        <v>#NUM!</v>
      </c>
    </row>
    <row r="91" spans="4:11" x14ac:dyDescent="0.25">
      <c r="D91" t="s">
        <v>21</v>
      </c>
      <c r="F91" s="2" t="e">
        <f>VLOOKUP($D91&amp;F89,$C$74:$D$79,2,FALSE)</f>
        <v>#NUM!</v>
      </c>
    </row>
    <row r="92" spans="4:11" x14ac:dyDescent="0.25">
      <c r="D92" t="s">
        <v>29</v>
      </c>
      <c r="F92" s="2"/>
      <c r="K92" s="21" t="e">
        <f>SUM(H81:H108)</f>
        <v>#NUM!</v>
      </c>
    </row>
    <row r="94" spans="4:11" x14ac:dyDescent="0.25">
      <c r="E94" t="str">
        <f>D96</f>
        <v>seth</v>
      </c>
      <c r="F94" t="str">
        <f>D97</f>
        <v>chad</v>
      </c>
    </row>
    <row r="95" spans="4:11" x14ac:dyDescent="0.25">
      <c r="D95" t="s">
        <v>18</v>
      </c>
      <c r="E95" s="2" t="e">
        <f>VLOOKUP($D95&amp;E94,$C$74:$D$79,2,FALSE)</f>
        <v>#NUM!</v>
      </c>
      <c r="F95" s="2" t="e">
        <f>VLOOKUP($D95&amp;F94,$C$74:$D$79,2,FALSE)</f>
        <v>#NUM!</v>
      </c>
      <c r="G95" s="21" t="e">
        <f>1-(F95)*(1-F96)</f>
        <v>#NUM!</v>
      </c>
      <c r="H95" s="2" t="e">
        <f>E95*G95*F95</f>
        <v>#NUM!</v>
      </c>
      <c r="I95" s="21"/>
    </row>
    <row r="96" spans="4:11" x14ac:dyDescent="0.25">
      <c r="D96" t="s">
        <v>29</v>
      </c>
      <c r="F96" s="2" t="e">
        <f>VLOOKUP($D96&amp;F94,$C$74:$D$79,2,FALSE)</f>
        <v>#NUM!</v>
      </c>
    </row>
    <row r="97" spans="4:10" x14ac:dyDescent="0.25">
      <c r="D97" t="s">
        <v>21</v>
      </c>
      <c r="F97" s="2"/>
    </row>
    <row r="99" spans="4:10" x14ac:dyDescent="0.25">
      <c r="E99" t="str">
        <f>D101</f>
        <v>seth</v>
      </c>
      <c r="F99" t="str">
        <f>D102</f>
        <v>devon</v>
      </c>
    </row>
    <row r="100" spans="4:10" x14ac:dyDescent="0.25">
      <c r="D100" t="s">
        <v>21</v>
      </c>
      <c r="E100" s="2" t="e">
        <f>VLOOKUP($D100&amp;E99,$C$74:$D$79,2,FALSE)</f>
        <v>#NUM!</v>
      </c>
      <c r="F100" s="2" t="e">
        <f>VLOOKUP($D100&amp;F99,$C$74:$D$79,2,FALSE)</f>
        <v>#NUM!</v>
      </c>
      <c r="G100" s="21" t="e">
        <f>1-(F100)*(1-F101)</f>
        <v>#NUM!</v>
      </c>
      <c r="H100" s="2" t="e">
        <f>E100*G100*F100</f>
        <v>#NUM!</v>
      </c>
    </row>
    <row r="101" spans="4:10" x14ac:dyDescent="0.25">
      <c r="D101" t="s">
        <v>29</v>
      </c>
      <c r="F101" s="2" t="e">
        <f>VLOOKUP($D101&amp;F99,$C$74:$D$79,2,FALSE)</f>
        <v>#NUM!</v>
      </c>
    </row>
    <row r="102" spans="4:10" x14ac:dyDescent="0.25">
      <c r="D102" t="s">
        <v>18</v>
      </c>
      <c r="F102" s="2"/>
    </row>
    <row r="104" spans="4:10" x14ac:dyDescent="0.25">
      <c r="E104" t="str">
        <f>D106</f>
        <v>devon</v>
      </c>
      <c r="F104" t="str">
        <f>D107</f>
        <v>seth</v>
      </c>
    </row>
    <row r="105" spans="4:10" x14ac:dyDescent="0.25">
      <c r="D105" t="s">
        <v>21</v>
      </c>
      <c r="E105" s="2" t="e">
        <f>VLOOKUP($D105&amp;E104,$C$74:$D$79,2,FALSE)</f>
        <v>#NUM!</v>
      </c>
      <c r="F105" s="2" t="e">
        <f>VLOOKUP($D105&amp;F104,$C$74:$D$79,2,FALSE)</f>
        <v>#NUM!</v>
      </c>
      <c r="G105" s="21" t="e">
        <f>1-(F105)*(1-F106)</f>
        <v>#NUM!</v>
      </c>
      <c r="H105" s="2" t="e">
        <f>E105*G105*F105</f>
        <v>#NUM!</v>
      </c>
      <c r="I105" s="21"/>
      <c r="J105" s="22"/>
    </row>
    <row r="106" spans="4:10" x14ac:dyDescent="0.25">
      <c r="D106" t="s">
        <v>18</v>
      </c>
      <c r="F106" s="2" t="e">
        <f>VLOOKUP($D106&amp;F104,$C$74:$D$79,2,FALSE)</f>
        <v>#NUM!</v>
      </c>
    </row>
    <row r="107" spans="4:10" x14ac:dyDescent="0.25">
      <c r="D107" t="s">
        <v>29</v>
      </c>
      <c r="F107"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M102"/>
  <sheetViews>
    <sheetView tabSelected="1" topLeftCell="J1" zoomScale="70" zoomScaleNormal="70" workbookViewId="0">
      <selection activeCell="J14" sqref="J14"/>
    </sheetView>
  </sheetViews>
  <sheetFormatPr defaultRowHeight="15" x14ac:dyDescent="0.25"/>
  <cols>
    <col min="1" max="9" width="9.140625" hidden="1" customWidth="1"/>
    <col min="10" max="10" width="14.85546875" customWidth="1"/>
    <col min="11" max="11" width="13.42578125" customWidth="1"/>
    <col min="12" max="12" width="9.7109375" customWidth="1"/>
    <col min="13" max="13" width="4.28515625" customWidth="1"/>
    <col min="14" max="22" width="9.140625" hidden="1" customWidth="1"/>
    <col min="23" max="23" width="14.85546875" customWidth="1"/>
    <col min="24" max="24" width="13.42578125" customWidth="1"/>
    <col min="25" max="25" width="9.7109375" customWidth="1"/>
    <col min="26" max="26" width="4.28515625" customWidth="1"/>
    <col min="27" max="35" width="9.140625" customWidth="1"/>
    <col min="36" max="36" width="14.85546875" customWidth="1"/>
    <col min="37" max="37" width="13.42578125" customWidth="1"/>
    <col min="38" max="38" width="9.7109375" customWidth="1"/>
    <col min="39" max="39" width="4.28515625" customWidth="1"/>
    <col min="40" max="48" width="9.140625" customWidth="1"/>
    <col min="49" max="49" width="14.85546875" customWidth="1"/>
    <col min="50" max="50" width="13.42578125" customWidth="1"/>
    <col min="51" max="51" width="9.7109375" customWidth="1"/>
    <col min="52" max="52" width="4.28515625" customWidth="1"/>
    <col min="53" max="61" width="9.140625" customWidth="1"/>
    <col min="62" max="62" width="14.85546875" customWidth="1"/>
    <col min="63" max="63" width="13.42578125" customWidth="1"/>
    <col min="64" max="64" width="9.7109375" customWidth="1"/>
    <col min="67" max="67" width="14.85546875" customWidth="1"/>
  </cols>
  <sheetData>
    <row r="1" spans="1:65" ht="21" x14ac:dyDescent="0.35">
      <c r="A1" s="10"/>
      <c r="B1" s="10"/>
      <c r="C1" s="10"/>
      <c r="D1" s="10"/>
      <c r="E1" s="10"/>
      <c r="F1" s="10"/>
      <c r="G1" s="10"/>
      <c r="H1" s="10"/>
      <c r="I1" s="10"/>
      <c r="J1" s="98" t="str">
        <f>C3</f>
        <v>andrew</v>
      </c>
      <c r="K1" s="98"/>
      <c r="L1" s="98"/>
      <c r="M1" s="10"/>
      <c r="N1" s="10"/>
      <c r="O1" s="10"/>
      <c r="P1" s="10"/>
      <c r="Q1" s="10"/>
      <c r="R1" s="10"/>
      <c r="S1" s="10"/>
      <c r="T1" s="10"/>
      <c r="U1" s="10"/>
      <c r="V1" s="10"/>
      <c r="W1" s="98" t="str">
        <f>P3</f>
        <v>chris</v>
      </c>
      <c r="X1" s="98"/>
      <c r="Y1" s="98"/>
      <c r="Z1" s="10"/>
      <c r="AA1" s="6"/>
      <c r="BM1" s="10"/>
    </row>
    <row r="2" spans="1:65" x14ac:dyDescent="0.25">
      <c r="A2" s="10" t="s">
        <v>99</v>
      </c>
      <c r="B2" s="10" t="s">
        <v>102</v>
      </c>
      <c r="C2" s="10" t="s">
        <v>103</v>
      </c>
      <c r="D2" s="10" t="s">
        <v>104</v>
      </c>
      <c r="E2" s="10" t="s">
        <v>105</v>
      </c>
      <c r="F2" s="10" t="s">
        <v>101</v>
      </c>
      <c r="G2" s="10" t="s">
        <v>107</v>
      </c>
      <c r="H2" s="10" t="s">
        <v>109</v>
      </c>
      <c r="I2" s="10"/>
      <c r="J2" s="8" t="s">
        <v>110</v>
      </c>
      <c r="K2" s="8" t="s">
        <v>111</v>
      </c>
      <c r="L2" s="7" t="s">
        <v>108</v>
      </c>
      <c r="M2" s="10"/>
      <c r="N2" s="10" t="s">
        <v>99</v>
      </c>
      <c r="O2" s="10" t="s">
        <v>102</v>
      </c>
      <c r="P2" s="10" t="s">
        <v>103</v>
      </c>
      <c r="Q2" s="10" t="s">
        <v>104</v>
      </c>
      <c r="R2" s="10" t="s">
        <v>105</v>
      </c>
      <c r="S2" s="10" t="s">
        <v>101</v>
      </c>
      <c r="T2" s="10" t="s">
        <v>107</v>
      </c>
      <c r="U2" s="10" t="s">
        <v>109</v>
      </c>
      <c r="V2" s="10"/>
      <c r="W2" s="8" t="s">
        <v>110</v>
      </c>
      <c r="X2" s="8" t="s">
        <v>111</v>
      </c>
      <c r="Y2" s="7" t="s">
        <v>108</v>
      </c>
      <c r="Z2" s="10"/>
      <c r="AA2" s="6"/>
      <c r="BM2" s="10"/>
    </row>
    <row r="3" spans="1:65" x14ac:dyDescent="0.25">
      <c r="A3" s="10">
        <v>1</v>
      </c>
      <c r="B3" s="10">
        <v>1</v>
      </c>
      <c r="C3" s="10" t="str">
        <f>INDEX('Data Import'!$O$2:$O$11,B3)</f>
        <v>andrew</v>
      </c>
      <c r="D3" s="13">
        <f ca="1">SUMIF('Data Import'!$K$2:$K$1701,C3&amp;A3,'Data Import'!$I$2:$I$1531)</f>
        <v>100.5127</v>
      </c>
      <c r="E3" s="10">
        <f>INDEX('Data Import'!$AT$2:$AT$131,MATCH(A3&amp;"-"&amp;B3,'Data Import'!$AU$2:$AU$131,0))</f>
        <v>5</v>
      </c>
      <c r="F3" s="10" t="str">
        <f>INDEX('Data Import'!$O$2:$O$11,E3)</f>
        <v>alyssa</v>
      </c>
      <c r="G3" s="13">
        <f ca="1">SUMIF('Data Import'!$K$2:$K$1701,F3&amp;A3,'Data Import'!$I$2:$I$1531)</f>
        <v>103.6204</v>
      </c>
      <c r="H3" s="14">
        <f>INDEX('Data Import'!$P$15:$AB$24,B3,A3)</f>
        <v>1</v>
      </c>
      <c r="I3" s="10"/>
      <c r="J3" s="7" t="str">
        <f>"Wk "&amp;A3&amp;" - "&amp;F3</f>
        <v>Wk 1 - alyssa</v>
      </c>
      <c r="K3" s="8" t="str">
        <f ca="1">TEXT(D3,"0.0")&amp;" - "&amp;TEXT(G3,"0.0")</f>
        <v>100.5 - 103.6</v>
      </c>
      <c r="L3" s="9">
        <f>H3</f>
        <v>1</v>
      </c>
      <c r="M3" s="10"/>
      <c r="N3" s="10">
        <v>1</v>
      </c>
      <c r="O3" s="10">
        <v>6</v>
      </c>
      <c r="P3" s="10" t="str">
        <f>INDEX('Data Import'!$O$2:$O$11,O3)</f>
        <v>chris</v>
      </c>
      <c r="Q3" s="13">
        <f ca="1">SUMIF('Data Import'!$K$2:$K$1701,P3&amp;N3,'Data Import'!$I$2:$I$1531)</f>
        <v>83.828099999999992</v>
      </c>
      <c r="R3" s="10">
        <f>INDEX('Data Import'!$AT$2:$AT$131,MATCH(N3&amp;"-"&amp;O3,'Data Import'!$AU$2:$AU$131,0))</f>
        <v>7</v>
      </c>
      <c r="S3" s="10" t="str">
        <f>INDEX('Data Import'!$O$2:$O$11,R3)</f>
        <v>jordan</v>
      </c>
      <c r="T3" s="13">
        <f ca="1">SUMIF('Data Import'!$K$2:$K$1701,S3&amp;N3,'Data Import'!$I$2:$I$1531)</f>
        <v>106.45689999999999</v>
      </c>
      <c r="U3" s="14">
        <f>INDEX('Data Import'!$P$15:$AB$24,O3,N3)</f>
        <v>0</v>
      </c>
      <c r="V3" s="10"/>
      <c r="W3" s="7" t="str">
        <f t="shared" ref="W3:W15" si="0">"Wk "&amp;N3&amp;" - "&amp;S3</f>
        <v>Wk 1 - jordan</v>
      </c>
      <c r="X3" s="8" t="str">
        <f t="shared" ref="X3:X15" ca="1" si="1">TEXT(Q3,"0.0")&amp;" - "&amp;TEXT(T3,"0.0")</f>
        <v>83.8 - 106.5</v>
      </c>
      <c r="Y3" s="9">
        <f t="shared" ref="Y3:Y15" si="2">U3</f>
        <v>0</v>
      </c>
      <c r="Z3" s="10"/>
      <c r="AA3" s="6"/>
      <c r="BM3" s="10"/>
    </row>
    <row r="4" spans="1:65" x14ac:dyDescent="0.25">
      <c r="A4" s="10">
        <f>A3+1</f>
        <v>2</v>
      </c>
      <c r="B4" s="10">
        <v>1</v>
      </c>
      <c r="C4" s="10" t="str">
        <f>INDEX('Data Import'!$O$2:$O$11,B4)</f>
        <v>andrew</v>
      </c>
      <c r="D4" s="13">
        <f ca="1">SUMIF('Data Import'!$K$2:$K$1701,C4&amp;A4,'Data Import'!$I$2:$I$1531)</f>
        <v>99.391799999999989</v>
      </c>
      <c r="E4" s="10">
        <f>INDEX('Data Import'!$AT$2:$AT$131,MATCH(A4&amp;"-"&amp;B4,'Data Import'!$AU$2:$AU$131,0))</f>
        <v>2</v>
      </c>
      <c r="F4" s="10" t="str">
        <f>INDEX('Data Import'!$O$2:$O$11,E4)</f>
        <v>jake</v>
      </c>
      <c r="G4" s="13">
        <f ca="1">SUMIF('Data Import'!$K$2:$K$1701,F4&amp;A4,'Data Import'!$I$2:$I$1531)</f>
        <v>101.8458</v>
      </c>
      <c r="H4" s="14">
        <f>INDEX('Data Import'!$P$15:$AB$24,B4,A4)</f>
        <v>1</v>
      </c>
      <c r="I4" s="10"/>
      <c r="J4" s="7" t="str">
        <f t="shared" ref="J4:J14" si="3">"Wk "&amp;A4&amp;" - "&amp;F4</f>
        <v>Wk 2 - jake</v>
      </c>
      <c r="K4" s="8" t="str">
        <f t="shared" ref="K4:K14" ca="1" si="4">TEXT(D4,"0.0")&amp;" - "&amp;TEXT(G4,"0.0")</f>
        <v>99.4 - 101.8</v>
      </c>
      <c r="L4" s="9">
        <f t="shared" ref="L4:L14" si="5">H4</f>
        <v>1</v>
      </c>
      <c r="M4" s="10"/>
      <c r="N4" s="10">
        <f t="shared" ref="N4:N19" si="6">N3+1</f>
        <v>2</v>
      </c>
      <c r="O4" s="10">
        <v>6</v>
      </c>
      <c r="P4" s="10" t="str">
        <f>INDEX('Data Import'!$O$2:$O$11,O4)</f>
        <v>chris</v>
      </c>
      <c r="Q4" s="13">
        <f ca="1">SUMIF('Data Import'!$K$2:$K$1701,P4&amp;N4,'Data Import'!$I$2:$I$1531)</f>
        <v>80.594300000000004</v>
      </c>
      <c r="R4" s="10">
        <f>INDEX('Data Import'!$AT$2:$AT$131,MATCH(N4&amp;"-"&amp;O4,'Data Import'!$AU$2:$AU$131,0))</f>
        <v>10</v>
      </c>
      <c r="S4" s="10" t="str">
        <f>INDEX('Data Import'!$O$2:$O$11,R4)</f>
        <v>paul</v>
      </c>
      <c r="T4" s="13">
        <f ca="1">SUMIF('Data Import'!$K$2:$K$1701,S4&amp;N4,'Data Import'!$I$2:$I$1531)</f>
        <v>98.564599999999984</v>
      </c>
      <c r="U4" s="14">
        <f>INDEX('Data Import'!$P$15:$AB$24,O4,N4)</f>
        <v>1</v>
      </c>
      <c r="V4" s="10"/>
      <c r="W4" s="7" t="str">
        <f t="shared" si="0"/>
        <v>Wk 2 - paul</v>
      </c>
      <c r="X4" s="8" t="str">
        <f t="shared" ca="1" si="1"/>
        <v>80.6 - 98.6</v>
      </c>
      <c r="Y4" s="9">
        <f t="shared" si="2"/>
        <v>1</v>
      </c>
      <c r="Z4" s="10"/>
      <c r="AA4" s="6"/>
      <c r="BM4" s="10"/>
    </row>
    <row r="5" spans="1:65" x14ac:dyDescent="0.25">
      <c r="A5" s="10">
        <f t="shared" ref="A5:A14" si="7">A4+1</f>
        <v>3</v>
      </c>
      <c r="B5" s="10">
        <v>1</v>
      </c>
      <c r="C5" s="10" t="str">
        <f>INDEX('Data Import'!$O$2:$O$11,B5)</f>
        <v>andrew</v>
      </c>
      <c r="D5" s="13">
        <f ca="1">SUMIF('Data Import'!$K$2:$K$1701,C5&amp;A5,'Data Import'!$I$2:$I$1531)</f>
        <v>104.94350000000001</v>
      </c>
      <c r="E5" s="10">
        <f>INDEX('Data Import'!$AT$2:$AT$131,MATCH(A5&amp;"-"&amp;B5,'Data Import'!$AU$2:$AU$131,0))</f>
        <v>3</v>
      </c>
      <c r="F5" s="10" t="str">
        <f>INDEX('Data Import'!$O$2:$O$11,E5)</f>
        <v>breanna</v>
      </c>
      <c r="G5" s="13">
        <f ca="1">SUMIF('Data Import'!$K$2:$K$1701,F5&amp;A5,'Data Import'!$I$2:$I$1531)</f>
        <v>98.462800000000001</v>
      </c>
      <c r="H5" s="14">
        <f>INDEX('Data Import'!$P$15:$AB$24,B5,A5)</f>
        <v>0.58718000000000004</v>
      </c>
      <c r="I5" s="10"/>
      <c r="J5" s="7" t="str">
        <f t="shared" si="3"/>
        <v>Wk 3 - breanna</v>
      </c>
      <c r="K5" s="8" t="str">
        <f t="shared" ca="1" si="4"/>
        <v>104.9 - 98.5</v>
      </c>
      <c r="L5" s="9">
        <f t="shared" si="5"/>
        <v>0.58718000000000004</v>
      </c>
      <c r="M5" s="10"/>
      <c r="N5" s="10">
        <f t="shared" si="6"/>
        <v>3</v>
      </c>
      <c r="O5" s="10">
        <v>6</v>
      </c>
      <c r="P5" s="10" t="str">
        <f>INDEX('Data Import'!$O$2:$O$11,O5)</f>
        <v>chris</v>
      </c>
      <c r="Q5" s="13">
        <f ca="1">SUMIF('Data Import'!$K$2:$K$1701,P5&amp;N5,'Data Import'!$I$2:$I$1531)</f>
        <v>91.558400000000006</v>
      </c>
      <c r="R5" s="10">
        <f>INDEX('Data Import'!$AT$2:$AT$131,MATCH(N5&amp;"-"&amp;O5,'Data Import'!$AU$2:$AU$131,0))</f>
        <v>8</v>
      </c>
      <c r="S5" s="10" t="str">
        <f>INDEX('Data Import'!$O$2:$O$11,R5)</f>
        <v>alex</v>
      </c>
      <c r="T5" s="13">
        <f ca="1">SUMIF('Data Import'!$K$2:$K$1701,S5&amp;N5,'Data Import'!$I$2:$I$1531)</f>
        <v>108.61420000000001</v>
      </c>
      <c r="U5" s="14">
        <f>INDEX('Data Import'!$P$15:$AB$24,O5,N5)</f>
        <v>0.25779000000000002</v>
      </c>
      <c r="V5" s="10"/>
      <c r="W5" s="7" t="str">
        <f t="shared" si="0"/>
        <v>Wk 3 - alex</v>
      </c>
      <c r="X5" s="8" t="str">
        <f t="shared" ca="1" si="1"/>
        <v>91.6 - 108.6</v>
      </c>
      <c r="Y5" s="9">
        <f t="shared" si="2"/>
        <v>0.25779000000000002</v>
      </c>
      <c r="Z5" s="10"/>
      <c r="AA5" s="6"/>
      <c r="BM5" s="10"/>
    </row>
    <row r="6" spans="1:65" x14ac:dyDescent="0.25">
      <c r="A6" s="10">
        <f t="shared" si="7"/>
        <v>4</v>
      </c>
      <c r="B6" s="10">
        <v>1</v>
      </c>
      <c r="C6" s="10" t="str">
        <f>INDEX('Data Import'!$O$2:$O$11,B6)</f>
        <v>andrew</v>
      </c>
      <c r="D6" s="13">
        <f ca="1">SUMIF('Data Import'!$K$2:$K$1701,C6&amp;A6,'Data Import'!$I$2:$I$1531)</f>
        <v>99.797399999999996</v>
      </c>
      <c r="E6" s="10">
        <f>INDEX('Data Import'!$AT$2:$AT$131,MATCH(A6&amp;"-"&amp;B6,'Data Import'!$AU$2:$AU$131,0))</f>
        <v>10</v>
      </c>
      <c r="F6" s="10" t="str">
        <f>INDEX('Data Import'!$O$2:$O$11,E6)</f>
        <v>paul</v>
      </c>
      <c r="G6" s="13">
        <f ca="1">SUMIF('Data Import'!$K$2:$K$1701,F6&amp;A6,'Data Import'!$I$2:$I$1531)</f>
        <v>94.072500000000005</v>
      </c>
      <c r="H6" s="14">
        <f>INDEX('Data Import'!$P$15:$AB$24,B6,A6)</f>
        <v>0.58521999999999996</v>
      </c>
      <c r="I6" s="10"/>
      <c r="J6" s="7" t="str">
        <f t="shared" si="3"/>
        <v>Wk 4 - paul</v>
      </c>
      <c r="K6" s="8" t="str">
        <f t="shared" ca="1" si="4"/>
        <v>99.8 - 94.1</v>
      </c>
      <c r="L6" s="9">
        <f t="shared" si="5"/>
        <v>0.58521999999999996</v>
      </c>
      <c r="M6" s="10"/>
      <c r="N6" s="10">
        <f t="shared" si="6"/>
        <v>4</v>
      </c>
      <c r="O6" s="10">
        <v>6</v>
      </c>
      <c r="P6" s="10" t="str">
        <f>INDEX('Data Import'!$O$2:$O$11,O6)</f>
        <v>chris</v>
      </c>
      <c r="Q6" s="13">
        <f ca="1">SUMIF('Data Import'!$K$2:$K$1701,P6&amp;N6,'Data Import'!$I$2:$I$1531)</f>
        <v>92.487799999999993</v>
      </c>
      <c r="R6" s="10">
        <f>INDEX('Data Import'!$AT$2:$AT$131,MATCH(N6&amp;"-"&amp;O6,'Data Import'!$AU$2:$AU$131,0))</f>
        <v>9</v>
      </c>
      <c r="S6" s="10" t="str">
        <f>INDEX('Data Import'!$O$2:$O$11,R6)</f>
        <v>colin</v>
      </c>
      <c r="T6" s="13">
        <f ca="1">SUMIF('Data Import'!$K$2:$K$1701,S6&amp;N6,'Data Import'!$I$2:$I$1531)</f>
        <v>90.526399999999995</v>
      </c>
      <c r="U6" s="14">
        <f>INDEX('Data Import'!$P$15:$AB$24,O6,N6)</f>
        <v>0.52602000000000004</v>
      </c>
      <c r="V6" s="10"/>
      <c r="W6" s="7" t="str">
        <f t="shared" si="0"/>
        <v>Wk 4 - colin</v>
      </c>
      <c r="X6" s="8" t="str">
        <f t="shared" ca="1" si="1"/>
        <v>92.5 - 90.5</v>
      </c>
      <c r="Y6" s="9">
        <f t="shared" si="2"/>
        <v>0.52602000000000004</v>
      </c>
      <c r="Z6" s="10"/>
      <c r="AA6" s="6"/>
      <c r="BM6" s="10"/>
    </row>
    <row r="7" spans="1:65" x14ac:dyDescent="0.25">
      <c r="A7" s="10">
        <f t="shared" si="7"/>
        <v>5</v>
      </c>
      <c r="B7" s="10">
        <v>1</v>
      </c>
      <c r="C7" s="10" t="str">
        <f>INDEX('Data Import'!$O$2:$O$11,B7)</f>
        <v>andrew</v>
      </c>
      <c r="D7" s="13">
        <f ca="1">SUMIF('Data Import'!$K$2:$K$1701,C7&amp;A7,'Data Import'!$I$2:$I$1531)</f>
        <v>101.67399999999999</v>
      </c>
      <c r="E7" s="10">
        <f>INDEX('Data Import'!$AT$2:$AT$131,MATCH(A7&amp;"-"&amp;B7,'Data Import'!$AU$2:$AU$131,0))</f>
        <v>4</v>
      </c>
      <c r="F7" s="10" t="str">
        <f>INDEX('Data Import'!$O$2:$O$11,E7)</f>
        <v>joseph</v>
      </c>
      <c r="G7" s="13">
        <f ca="1">SUMIF('Data Import'!$K$2:$K$1701,F7&amp;A7,'Data Import'!$I$2:$I$1531)</f>
        <v>97.888000000000005</v>
      </c>
      <c r="H7" s="14">
        <f>INDEX('Data Import'!$P$15:$AB$24,B7,A7)</f>
        <v>0.54783999999999999</v>
      </c>
      <c r="I7" s="10"/>
      <c r="J7" s="7" t="str">
        <f t="shared" si="3"/>
        <v>Wk 5 - joseph</v>
      </c>
      <c r="K7" s="8" t="str">
        <f t="shared" ca="1" si="4"/>
        <v>101.7 - 97.9</v>
      </c>
      <c r="L7" s="9">
        <f t="shared" si="5"/>
        <v>0.54783999999999999</v>
      </c>
      <c r="M7" s="10"/>
      <c r="N7" s="10">
        <f t="shared" si="6"/>
        <v>5</v>
      </c>
      <c r="O7" s="10">
        <v>6</v>
      </c>
      <c r="P7" s="10" t="str">
        <f>INDEX('Data Import'!$O$2:$O$11,O7)</f>
        <v>chris</v>
      </c>
      <c r="Q7" s="13">
        <f ca="1">SUMIF('Data Import'!$K$2:$K$1701,P7&amp;N7,'Data Import'!$I$2:$I$1531)</f>
        <v>91.690399999999997</v>
      </c>
      <c r="R7" s="10">
        <f>INDEX('Data Import'!$AT$2:$AT$131,MATCH(N7&amp;"-"&amp;O7,'Data Import'!$AU$2:$AU$131,0))</f>
        <v>2</v>
      </c>
      <c r="S7" s="10" t="str">
        <f>INDEX('Data Import'!$O$2:$O$11,R7)</f>
        <v>jake</v>
      </c>
      <c r="T7" s="13">
        <f ca="1">SUMIF('Data Import'!$K$2:$K$1701,S7&amp;N7,'Data Import'!$I$2:$I$1531)</f>
        <v>99.001199999999997</v>
      </c>
      <c r="U7" s="14">
        <f>INDEX('Data Import'!$P$15:$AB$24,O7,N7)</f>
        <v>0.37289</v>
      </c>
      <c r="V7" s="10"/>
      <c r="W7" s="7" t="str">
        <f t="shared" si="0"/>
        <v>Wk 5 - jake</v>
      </c>
      <c r="X7" s="8" t="str">
        <f t="shared" ca="1" si="1"/>
        <v>91.7 - 99.0</v>
      </c>
      <c r="Y7" s="9">
        <f t="shared" si="2"/>
        <v>0.37289</v>
      </c>
      <c r="Z7" s="10"/>
      <c r="AA7" s="6"/>
      <c r="BM7" s="10"/>
    </row>
    <row r="8" spans="1:65" x14ac:dyDescent="0.25">
      <c r="A8" s="10">
        <f t="shared" si="7"/>
        <v>6</v>
      </c>
      <c r="B8" s="10">
        <v>1</v>
      </c>
      <c r="C8" s="10" t="str">
        <f>INDEX('Data Import'!$O$2:$O$11,B8)</f>
        <v>andrew</v>
      </c>
      <c r="D8" s="13">
        <f ca="1">SUMIF('Data Import'!$K$2:$K$1701,C8&amp;A8,'Data Import'!$I$2:$I$1531)</f>
        <v>109.79199999999999</v>
      </c>
      <c r="E8" s="10">
        <f>INDEX('Data Import'!$AT$2:$AT$131,MATCH(A8&amp;"-"&amp;B8,'Data Import'!$AU$2:$AU$131,0))</f>
        <v>9</v>
      </c>
      <c r="F8" s="10" t="str">
        <f>INDEX('Data Import'!$O$2:$O$11,E8)</f>
        <v>colin</v>
      </c>
      <c r="G8" s="13">
        <f ca="1">SUMIF('Data Import'!$K$2:$K$1701,F8&amp;A8,'Data Import'!$I$2:$I$1531)</f>
        <v>82.197399999999988</v>
      </c>
      <c r="H8" s="14">
        <f>INDEX('Data Import'!$P$15:$AB$24,B8,A8)</f>
        <v>0.86439999999999995</v>
      </c>
      <c r="I8" s="10"/>
      <c r="J8" s="7" t="str">
        <f t="shared" si="3"/>
        <v>Wk 6 - colin</v>
      </c>
      <c r="K8" s="8" t="str">
        <f t="shared" ca="1" si="4"/>
        <v>109.8 - 82.2</v>
      </c>
      <c r="L8" s="9">
        <f t="shared" si="5"/>
        <v>0.86439999999999995</v>
      </c>
      <c r="M8" s="10"/>
      <c r="N8" s="10">
        <f t="shared" si="6"/>
        <v>6</v>
      </c>
      <c r="O8" s="10">
        <v>6</v>
      </c>
      <c r="P8" s="10" t="str">
        <f>INDEX('Data Import'!$O$2:$O$11,O8)</f>
        <v>chris</v>
      </c>
      <c r="Q8" s="13">
        <f ca="1">SUMIF('Data Import'!$K$2:$K$1701,P8&amp;N8,'Data Import'!$I$2:$I$1531)</f>
        <v>87.972700000000003</v>
      </c>
      <c r="R8" s="10">
        <f>INDEX('Data Import'!$AT$2:$AT$131,MATCH(N8&amp;"-"&amp;O8,'Data Import'!$AU$2:$AU$131,0))</f>
        <v>4</v>
      </c>
      <c r="S8" s="10" t="str">
        <f>INDEX('Data Import'!$O$2:$O$11,R8)</f>
        <v>joseph</v>
      </c>
      <c r="T8" s="13">
        <f ca="1">SUMIF('Data Import'!$K$2:$K$1701,S8&amp;N8,'Data Import'!$I$2:$I$1531)</f>
        <v>107.7396</v>
      </c>
      <c r="U8" s="14">
        <f>INDEX('Data Import'!$P$15:$AB$24,O8,N8)</f>
        <v>0.20957000000000001</v>
      </c>
      <c r="V8" s="10"/>
      <c r="W8" s="7" t="str">
        <f t="shared" si="0"/>
        <v>Wk 6 - joseph</v>
      </c>
      <c r="X8" s="8" t="str">
        <f t="shared" ca="1" si="1"/>
        <v>88.0 - 107.7</v>
      </c>
      <c r="Y8" s="9">
        <f t="shared" si="2"/>
        <v>0.20957000000000001</v>
      </c>
      <c r="Z8" s="10"/>
      <c r="AA8" s="6"/>
      <c r="BM8" s="10"/>
    </row>
    <row r="9" spans="1:65" x14ac:dyDescent="0.25">
      <c r="A9" s="10">
        <f t="shared" si="7"/>
        <v>7</v>
      </c>
      <c r="B9" s="10">
        <v>1</v>
      </c>
      <c r="C9" s="10" t="str">
        <f>INDEX('Data Import'!$O$2:$O$11,B9)</f>
        <v>andrew</v>
      </c>
      <c r="D9" s="13">
        <f ca="1">SUMIF('Data Import'!$K$2:$K$1701,C9&amp;A9,'Data Import'!$I$2:$I$1531)</f>
        <v>85.660799999999995</v>
      </c>
      <c r="E9" s="10">
        <f>INDEX('Data Import'!$AT$2:$AT$131,MATCH(A9&amp;"-"&amp;B9,'Data Import'!$AU$2:$AU$131,0))</f>
        <v>7</v>
      </c>
      <c r="F9" s="10" t="str">
        <f>INDEX('Data Import'!$O$2:$O$11,E9)</f>
        <v>jordan</v>
      </c>
      <c r="G9" s="13">
        <f ca="1">SUMIF('Data Import'!$K$2:$K$1701,F9&amp;A9,'Data Import'!$I$2:$I$1531)</f>
        <v>104.60869999999998</v>
      </c>
      <c r="H9" s="14">
        <f>INDEX('Data Import'!$P$15:$AB$24,B9,A9)</f>
        <v>0.23463999999999999</v>
      </c>
      <c r="I9" s="10"/>
      <c r="J9" s="7" t="str">
        <f t="shared" si="3"/>
        <v>Wk 7 - jordan</v>
      </c>
      <c r="K9" s="8" t="str">
        <f t="shared" ca="1" si="4"/>
        <v>85.7 - 104.6</v>
      </c>
      <c r="L9" s="9">
        <f t="shared" si="5"/>
        <v>0.23463999999999999</v>
      </c>
      <c r="M9" s="10"/>
      <c r="N9" s="10">
        <f t="shared" si="6"/>
        <v>7</v>
      </c>
      <c r="O9" s="10">
        <v>6</v>
      </c>
      <c r="P9" s="10" t="str">
        <f>INDEX('Data Import'!$O$2:$O$11,O9)</f>
        <v>chris</v>
      </c>
      <c r="Q9" s="13">
        <f ca="1">SUMIF('Data Import'!$K$2:$K$1701,P9&amp;N9,'Data Import'!$I$2:$I$1531)</f>
        <v>89.7697</v>
      </c>
      <c r="R9" s="10">
        <f>INDEX('Data Import'!$AT$2:$AT$131,MATCH(N9&amp;"-"&amp;O9,'Data Import'!$AU$2:$AU$131,0))</f>
        <v>3</v>
      </c>
      <c r="S9" s="10" t="str">
        <f>INDEX('Data Import'!$O$2:$O$11,R9)</f>
        <v>breanna</v>
      </c>
      <c r="T9" s="13">
        <f ca="1">SUMIF('Data Import'!$K$2:$K$1701,S9&amp;N9,'Data Import'!$I$2:$I$1531)</f>
        <v>91.36099999999999</v>
      </c>
      <c r="U9" s="14">
        <f>INDEX('Data Import'!$P$15:$AB$24,O9,N9)</f>
        <v>0.46575</v>
      </c>
      <c r="V9" s="10"/>
      <c r="W9" s="7" t="str">
        <f t="shared" si="0"/>
        <v>Wk 7 - breanna</v>
      </c>
      <c r="X9" s="8" t="str">
        <f t="shared" ca="1" si="1"/>
        <v>89.8 - 91.4</v>
      </c>
      <c r="Y9" s="9">
        <f t="shared" si="2"/>
        <v>0.46575</v>
      </c>
      <c r="Z9" s="10"/>
      <c r="AA9" s="6"/>
      <c r="BM9" s="10"/>
    </row>
    <row r="10" spans="1:65" x14ac:dyDescent="0.25">
      <c r="A10" s="10">
        <f t="shared" si="7"/>
        <v>8</v>
      </c>
      <c r="B10" s="10">
        <v>1</v>
      </c>
      <c r="C10" s="10" t="str">
        <f>INDEX('Data Import'!$O$2:$O$11,B10)</f>
        <v>andrew</v>
      </c>
      <c r="D10" s="13">
        <f ca="1">SUMIF('Data Import'!$K$2:$K$1701,C10&amp;A10,'Data Import'!$I$2:$I$1531)</f>
        <v>104.90860000000001</v>
      </c>
      <c r="E10" s="10">
        <f>INDEX('Data Import'!$AT$2:$AT$131,MATCH(A10&amp;"-"&amp;B10,'Data Import'!$AU$2:$AU$131,0))</f>
        <v>8</v>
      </c>
      <c r="F10" s="10" t="str">
        <f>INDEX('Data Import'!$O$2:$O$11,E10)</f>
        <v>alex</v>
      </c>
      <c r="G10" s="13">
        <f ca="1">SUMIF('Data Import'!$K$2:$K$1701,F10&amp;A10,'Data Import'!$I$2:$I$1531)</f>
        <v>101.26499999999999</v>
      </c>
      <c r="H10" s="14">
        <f>INDEX('Data Import'!$P$15:$AB$24,B10,A10)</f>
        <v>0.55449999999999999</v>
      </c>
      <c r="I10" s="10"/>
      <c r="J10" s="7" t="str">
        <f t="shared" si="3"/>
        <v>Wk 8 - alex</v>
      </c>
      <c r="K10" s="8" t="str">
        <f t="shared" ca="1" si="4"/>
        <v>104.9 - 101.3</v>
      </c>
      <c r="L10" s="9">
        <f t="shared" si="5"/>
        <v>0.55449999999999999</v>
      </c>
      <c r="M10" s="10"/>
      <c r="N10" s="10">
        <f t="shared" si="6"/>
        <v>8</v>
      </c>
      <c r="O10" s="10">
        <v>6</v>
      </c>
      <c r="P10" s="10" t="str">
        <f>INDEX('Data Import'!$O$2:$O$11,O10)</f>
        <v>chris</v>
      </c>
      <c r="Q10" s="13">
        <f ca="1">SUMIF('Data Import'!$K$2:$K$1701,P10&amp;N10,'Data Import'!$I$2:$I$1531)</f>
        <v>82.972300000000004</v>
      </c>
      <c r="R10" s="10">
        <f>INDEX('Data Import'!$AT$2:$AT$131,MATCH(N10&amp;"-"&amp;O10,'Data Import'!$AU$2:$AU$131,0))</f>
        <v>5</v>
      </c>
      <c r="S10" s="10" t="str">
        <f>INDEX('Data Import'!$O$2:$O$11,R10)</f>
        <v>alyssa</v>
      </c>
      <c r="T10" s="13">
        <f ca="1">SUMIF('Data Import'!$K$2:$K$1701,S10&amp;N10,'Data Import'!$I$2:$I$1531)</f>
        <v>90.3279</v>
      </c>
      <c r="U10" s="14">
        <f>INDEX('Data Import'!$P$15:$AB$24,O10,N10)</f>
        <v>0.38045000000000001</v>
      </c>
      <c r="V10" s="10"/>
      <c r="W10" s="7" t="str">
        <f t="shared" si="0"/>
        <v>Wk 8 - alyssa</v>
      </c>
      <c r="X10" s="8" t="str">
        <f t="shared" ca="1" si="1"/>
        <v>83.0 - 90.3</v>
      </c>
      <c r="Y10" s="9">
        <f t="shared" si="2"/>
        <v>0.38045000000000001</v>
      </c>
      <c r="Z10" s="10"/>
      <c r="AA10" s="6"/>
      <c r="BM10" s="10"/>
    </row>
    <row r="11" spans="1:65" x14ac:dyDescent="0.25">
      <c r="A11" s="10">
        <f t="shared" si="7"/>
        <v>9</v>
      </c>
      <c r="B11" s="10">
        <v>1</v>
      </c>
      <c r="C11" s="10" t="str">
        <f>INDEX('Data Import'!$O$2:$O$11,B11)</f>
        <v>andrew</v>
      </c>
      <c r="D11" s="13">
        <f ca="1">SUMIF('Data Import'!$K$2:$K$1701,C11&amp;A11,'Data Import'!$I$2:$I$1531)</f>
        <v>103.6204</v>
      </c>
      <c r="E11" s="10">
        <f>INDEX('Data Import'!$AT$2:$AT$131,MATCH(A11&amp;"-"&amp;B11,'Data Import'!$AU$2:$AU$131,0))</f>
        <v>4</v>
      </c>
      <c r="F11" s="10" t="str">
        <f>INDEX('Data Import'!$O$2:$O$11,E11)</f>
        <v>joseph</v>
      </c>
      <c r="G11" s="13">
        <f ca="1">SUMIF('Data Import'!$K$2:$K$1701,F11&amp;A11,'Data Import'!$I$2:$I$1531)</f>
        <v>97.096699999999998</v>
      </c>
      <c r="H11" s="14">
        <f>INDEX('Data Import'!$P$15:$AB$24,B11,A11)</f>
        <v>0.59270999999999996</v>
      </c>
      <c r="I11" s="10"/>
      <c r="J11" s="7" t="str">
        <f t="shared" si="3"/>
        <v>Wk 9 - joseph</v>
      </c>
      <c r="K11" s="8" t="str">
        <f t="shared" ca="1" si="4"/>
        <v>103.6 - 97.1</v>
      </c>
      <c r="L11" s="9">
        <f t="shared" si="5"/>
        <v>0.59270999999999996</v>
      </c>
      <c r="M11" s="10"/>
      <c r="N11" s="10">
        <f t="shared" si="6"/>
        <v>9</v>
      </c>
      <c r="O11" s="10">
        <v>6</v>
      </c>
      <c r="P11" s="10" t="str">
        <f>INDEX('Data Import'!$O$2:$O$11,O11)</f>
        <v>chris</v>
      </c>
      <c r="Q11" s="13">
        <f ca="1">SUMIF('Data Import'!$K$2:$K$1701,P11&amp;N11,'Data Import'!$I$2:$I$1531)</f>
        <v>86.725400000000008</v>
      </c>
      <c r="R11" s="10">
        <f>INDEX('Data Import'!$AT$2:$AT$131,MATCH(N11&amp;"-"&amp;O11,'Data Import'!$AU$2:$AU$131,0))</f>
        <v>7</v>
      </c>
      <c r="S11" s="10" t="str">
        <f>INDEX('Data Import'!$O$2:$O$11,R11)</f>
        <v>jordan</v>
      </c>
      <c r="T11" s="13">
        <f ca="1">SUMIF('Data Import'!$K$2:$K$1701,S11&amp;N11,'Data Import'!$I$2:$I$1531)</f>
        <v>106.68339999999999</v>
      </c>
      <c r="U11" s="14">
        <f>INDEX('Data Import'!$P$15:$AB$24,O11,N11)</f>
        <v>0.20916999999999999</v>
      </c>
      <c r="V11" s="10"/>
      <c r="W11" s="7" t="str">
        <f t="shared" si="0"/>
        <v>Wk 9 - jordan</v>
      </c>
      <c r="X11" s="8" t="str">
        <f t="shared" ca="1" si="1"/>
        <v>86.7 - 106.7</v>
      </c>
      <c r="Y11" s="9">
        <f t="shared" si="2"/>
        <v>0.20916999999999999</v>
      </c>
      <c r="Z11" s="10"/>
      <c r="AA11" s="6"/>
      <c r="BM11" s="10"/>
    </row>
    <row r="12" spans="1:65" x14ac:dyDescent="0.25">
      <c r="A12" s="10">
        <f t="shared" si="7"/>
        <v>10</v>
      </c>
      <c r="B12" s="10">
        <v>1</v>
      </c>
      <c r="C12" s="10" t="str">
        <f>INDEX('Data Import'!$O$2:$O$11,B12)</f>
        <v>andrew</v>
      </c>
      <c r="D12" s="13">
        <f ca="1">SUMIF('Data Import'!$K$2:$K$1701,C12&amp;A12,'Data Import'!$I$2:$I$1531)</f>
        <v>105.31200000000001</v>
      </c>
      <c r="E12" s="10">
        <f>INDEX('Data Import'!$AT$2:$AT$131,MATCH(A12&amp;"-"&amp;B12,'Data Import'!$AU$2:$AU$131,0))</f>
        <v>5</v>
      </c>
      <c r="F12" s="10" t="str">
        <f>INDEX('Data Import'!$O$2:$O$11,E12)</f>
        <v>alyssa</v>
      </c>
      <c r="G12" s="13">
        <f ca="1">SUMIF('Data Import'!$K$2:$K$1701,F12&amp;A12,'Data Import'!$I$2:$I$1531)</f>
        <v>95.281899999999993</v>
      </c>
      <c r="H12" s="14">
        <f>INDEX('Data Import'!$P$15:$AB$24,B12,A12)</f>
        <v>0.6341</v>
      </c>
      <c r="I12" s="10"/>
      <c r="J12" s="7" t="str">
        <f t="shared" si="3"/>
        <v>Wk 10 - alyssa</v>
      </c>
      <c r="K12" s="8" t="str">
        <f t="shared" ca="1" si="4"/>
        <v>105.3 - 95.3</v>
      </c>
      <c r="L12" s="9">
        <f t="shared" si="5"/>
        <v>0.6341</v>
      </c>
      <c r="M12" s="10"/>
      <c r="N12" s="10">
        <f t="shared" si="6"/>
        <v>10</v>
      </c>
      <c r="O12" s="10">
        <v>6</v>
      </c>
      <c r="P12" s="10" t="str">
        <f>INDEX('Data Import'!$O$2:$O$11,O12)</f>
        <v>chris</v>
      </c>
      <c r="Q12" s="13">
        <f ca="1">SUMIF('Data Import'!$K$2:$K$1701,P12&amp;N12,'Data Import'!$I$2:$I$1531)</f>
        <v>91.973699999999994</v>
      </c>
      <c r="R12" s="10">
        <f>INDEX('Data Import'!$AT$2:$AT$131,MATCH(N12&amp;"-"&amp;O12,'Data Import'!$AU$2:$AU$131,0))</f>
        <v>10</v>
      </c>
      <c r="S12" s="10" t="str">
        <f>INDEX('Data Import'!$O$2:$O$11,R12)</f>
        <v>paul</v>
      </c>
      <c r="T12" s="13">
        <f ca="1">SUMIF('Data Import'!$K$2:$K$1701,S12&amp;N12,'Data Import'!$I$2:$I$1531)</f>
        <v>99.951999999999998</v>
      </c>
      <c r="U12" s="14">
        <f>INDEX('Data Import'!$P$15:$AB$24,O12,N12)</f>
        <v>0.36764999999999998</v>
      </c>
      <c r="V12" s="10"/>
      <c r="W12" s="7" t="str">
        <f t="shared" si="0"/>
        <v>Wk 10 - paul</v>
      </c>
      <c r="X12" s="8" t="str">
        <f t="shared" ca="1" si="1"/>
        <v>92.0 - 100.0</v>
      </c>
      <c r="Y12" s="9">
        <f t="shared" si="2"/>
        <v>0.36764999999999998</v>
      </c>
      <c r="Z12" s="10"/>
      <c r="AA12" s="6"/>
      <c r="BM12" s="10"/>
    </row>
    <row r="13" spans="1:65" x14ac:dyDescent="0.25">
      <c r="A13" s="10">
        <f t="shared" si="7"/>
        <v>11</v>
      </c>
      <c r="B13" s="10">
        <v>1</v>
      </c>
      <c r="C13" s="10" t="str">
        <f>INDEX('Data Import'!$O$2:$O$11,B13)</f>
        <v>andrew</v>
      </c>
      <c r="D13" s="13">
        <f ca="1">SUMIF('Data Import'!$K$2:$K$1701,C13&amp;A13,'Data Import'!$I$2:$I$1531)</f>
        <v>95.715599999999995</v>
      </c>
      <c r="E13" s="10">
        <f>INDEX('Data Import'!$AT$2:$AT$131,MATCH(A13&amp;"-"&amp;B13,'Data Import'!$AU$2:$AU$131,0))</f>
        <v>2</v>
      </c>
      <c r="F13" s="10" t="str">
        <f>INDEX('Data Import'!$O$2:$O$11,E13)</f>
        <v>jake</v>
      </c>
      <c r="G13" s="13">
        <f ca="1">SUMIF('Data Import'!$K$2:$K$1701,F13&amp;A13,'Data Import'!$I$2:$I$1531)</f>
        <v>99.776600000000002</v>
      </c>
      <c r="H13" s="14">
        <f>INDEX('Data Import'!$P$15:$AB$24,B13,A13)</f>
        <v>0.43980000000000002</v>
      </c>
      <c r="I13" s="10"/>
      <c r="J13" s="7" t="str">
        <f t="shared" si="3"/>
        <v>Wk 11 - jake</v>
      </c>
      <c r="K13" s="8" t="str">
        <f t="shared" ca="1" si="4"/>
        <v>95.7 - 99.8</v>
      </c>
      <c r="L13" s="9">
        <f t="shared" si="5"/>
        <v>0.43980000000000002</v>
      </c>
      <c r="M13" s="10"/>
      <c r="N13" s="10">
        <f t="shared" si="6"/>
        <v>11</v>
      </c>
      <c r="O13" s="10">
        <v>6</v>
      </c>
      <c r="P13" s="10" t="str">
        <f>INDEX('Data Import'!$O$2:$O$11,O13)</f>
        <v>chris</v>
      </c>
      <c r="Q13" s="13">
        <f ca="1">SUMIF('Data Import'!$K$2:$K$1701,P13&amp;N13,'Data Import'!$I$2:$I$1531)</f>
        <v>95.036500000000004</v>
      </c>
      <c r="R13" s="10">
        <f>INDEX('Data Import'!$AT$2:$AT$131,MATCH(N13&amp;"-"&amp;O13,'Data Import'!$AU$2:$AU$131,0))</f>
        <v>8</v>
      </c>
      <c r="S13" s="10" t="str">
        <f>INDEX('Data Import'!$O$2:$O$11,R13)</f>
        <v>alex</v>
      </c>
      <c r="T13" s="13">
        <f ca="1">SUMIF('Data Import'!$K$2:$K$1701,S13&amp;N13,'Data Import'!$I$2:$I$1531)</f>
        <v>106.67549999999999</v>
      </c>
      <c r="U13" s="14">
        <f>INDEX('Data Import'!$P$15:$AB$24,O13,N13)</f>
        <v>0.34090999999999999</v>
      </c>
      <c r="V13" s="10"/>
      <c r="W13" s="7" t="str">
        <f t="shared" si="0"/>
        <v>Wk 11 - alex</v>
      </c>
      <c r="X13" s="8" t="str">
        <f t="shared" ca="1" si="1"/>
        <v>95.0 - 106.7</v>
      </c>
      <c r="Y13" s="9">
        <f t="shared" si="2"/>
        <v>0.34090999999999999</v>
      </c>
      <c r="Z13" s="10"/>
      <c r="AA13" s="6"/>
      <c r="BM13" s="10"/>
    </row>
    <row r="14" spans="1:65" x14ac:dyDescent="0.25">
      <c r="A14" s="10">
        <f t="shared" si="7"/>
        <v>12</v>
      </c>
      <c r="B14" s="10">
        <v>1</v>
      </c>
      <c r="C14" s="10" t="str">
        <f>INDEX('Data Import'!$O$2:$O$11,B14)</f>
        <v>andrew</v>
      </c>
      <c r="D14" s="13">
        <f ca="1">SUMIF('Data Import'!$K$2:$K$1701,C14&amp;A14,'Data Import'!$I$2:$I$1531)</f>
        <v>103.9786</v>
      </c>
      <c r="E14" s="10">
        <f>INDEX('Data Import'!$AT$2:$AT$131,MATCH(A14&amp;"-"&amp;B14,'Data Import'!$AU$2:$AU$131,0))</f>
        <v>3</v>
      </c>
      <c r="F14" s="10" t="str">
        <f>INDEX('Data Import'!$O$2:$O$11,E14)</f>
        <v>breanna</v>
      </c>
      <c r="G14" s="13">
        <f ca="1">SUMIF('Data Import'!$K$2:$K$1701,F14&amp;A14,'Data Import'!$I$2:$I$1531)</f>
        <v>93.240200000000002</v>
      </c>
      <c r="H14" s="14">
        <f>INDEX('Data Import'!$P$15:$AB$24,B14,A14)</f>
        <v>0.64888999999999997</v>
      </c>
      <c r="I14" s="10"/>
      <c r="J14" s="7" t="str">
        <f t="shared" si="3"/>
        <v>Wk 12 - breanna</v>
      </c>
      <c r="K14" s="8" t="str">
        <f t="shared" ca="1" si="4"/>
        <v>104.0 - 93.2</v>
      </c>
      <c r="L14" s="9">
        <f t="shared" si="5"/>
        <v>0.64888999999999997</v>
      </c>
      <c r="M14" s="10"/>
      <c r="N14" s="10">
        <f t="shared" si="6"/>
        <v>12</v>
      </c>
      <c r="O14" s="10">
        <v>6</v>
      </c>
      <c r="P14" s="10" t="str">
        <f>INDEX('Data Import'!$O$2:$O$11,O14)</f>
        <v>chris</v>
      </c>
      <c r="Q14" s="13">
        <f ca="1">SUMIF('Data Import'!$K$2:$K$1701,P14&amp;N14,'Data Import'!$I$2:$I$1531)</f>
        <v>101.5924</v>
      </c>
      <c r="R14" s="10">
        <f>INDEX('Data Import'!$AT$2:$AT$131,MATCH(N14&amp;"-"&amp;O14,'Data Import'!$AU$2:$AU$131,0))</f>
        <v>9</v>
      </c>
      <c r="S14" s="10" t="str">
        <f>INDEX('Data Import'!$O$2:$O$11,R14)</f>
        <v>colin</v>
      </c>
      <c r="T14" s="13">
        <f ca="1">SUMIF('Data Import'!$K$2:$K$1701,S14&amp;N14,'Data Import'!$I$2:$I$1531)</f>
        <v>85.335200000000015</v>
      </c>
      <c r="U14" s="14">
        <f>INDEX('Data Import'!$P$15:$AB$24,O14,N14)</f>
        <v>0.74628000000000005</v>
      </c>
      <c r="V14" s="10"/>
      <c r="W14" s="7" t="str">
        <f t="shared" si="0"/>
        <v>Wk 12 - colin</v>
      </c>
      <c r="X14" s="8" t="str">
        <f t="shared" ca="1" si="1"/>
        <v>101.6 - 85.3</v>
      </c>
      <c r="Y14" s="9">
        <f t="shared" si="2"/>
        <v>0.74628000000000005</v>
      </c>
      <c r="Z14" s="10"/>
      <c r="AA14" s="6"/>
      <c r="BM14" s="10"/>
    </row>
    <row r="15" spans="1:65" x14ac:dyDescent="0.25">
      <c r="A15" s="10">
        <f>A14+1</f>
        <v>13</v>
      </c>
      <c r="B15" s="10">
        <v>1</v>
      </c>
      <c r="C15" s="10" t="str">
        <f>INDEX('Data Import'!$O$2:$O$11,B15)</f>
        <v>andrew</v>
      </c>
      <c r="D15" s="13">
        <f ca="1">SUMIF('Data Import'!$K$2:$K$1701,C15&amp;A15,'Data Import'!$I$2:$I$1531)</f>
        <v>108.34980000000002</v>
      </c>
      <c r="E15" s="10">
        <f>INDEX('Data Import'!$AT$2:$AT$131,MATCH(A15&amp;"-"&amp;B15,'Data Import'!$AU$2:$AU$131,0))</f>
        <v>6</v>
      </c>
      <c r="F15" s="10" t="str">
        <f>INDEX('Data Import'!$O$2:$O$11,E15)</f>
        <v>chris</v>
      </c>
      <c r="G15" s="13">
        <f ca="1">SUMIF('Data Import'!$K$2:$K$1701,F15&amp;A15,'Data Import'!$I$2:$I$1531)</f>
        <v>103.45369999999998</v>
      </c>
      <c r="H15" s="14">
        <f>INDEX('Data Import'!$P$15:$AB$24,B15,A15)</f>
        <v>0.57872999999999997</v>
      </c>
      <c r="I15" s="10"/>
      <c r="J15" s="7" t="str">
        <f>"Wk "&amp;A15&amp;" - "&amp;F15</f>
        <v>Wk 13 - chris</v>
      </c>
      <c r="K15" s="8" t="str">
        <f ca="1">TEXT(D15,"0.0")&amp;" - "&amp;TEXT(G15,"0.0")</f>
        <v>108.3 - 103.5</v>
      </c>
      <c r="L15" s="9">
        <f>H15</f>
        <v>0.57872999999999997</v>
      </c>
      <c r="M15" s="10"/>
      <c r="N15" s="10">
        <f t="shared" si="6"/>
        <v>13</v>
      </c>
      <c r="O15" s="10">
        <v>6</v>
      </c>
      <c r="P15" s="10" t="str">
        <f>INDEX('Data Import'!$O$2:$O$11,O15)</f>
        <v>chris</v>
      </c>
      <c r="Q15" s="13">
        <f ca="1">SUMIF('Data Import'!$K$2:$K$1701,P15&amp;N15,'Data Import'!$I$2:$I$1531)</f>
        <v>103.45369999999998</v>
      </c>
      <c r="R15" s="10">
        <f>INDEX('Data Import'!$AT$2:$AT$131,MATCH(N15&amp;"-"&amp;O15,'Data Import'!$AU$2:$AU$131,0))</f>
        <v>1</v>
      </c>
      <c r="S15" s="10" t="str">
        <f>INDEX('Data Import'!$O$2:$O$11,R15)</f>
        <v>andrew</v>
      </c>
      <c r="T15" s="13">
        <f ca="1">SUMIF('Data Import'!$K$2:$K$1701,S15&amp;N15,'Data Import'!$I$2:$I$1531)</f>
        <v>108.34980000000002</v>
      </c>
      <c r="U15" s="14">
        <f>INDEX('Data Import'!$P$15:$AB$24,O15,N15)</f>
        <v>0.42126999999999998</v>
      </c>
      <c r="V15" s="10"/>
      <c r="W15" s="7" t="str">
        <f t="shared" si="0"/>
        <v>Wk 13 - andrew</v>
      </c>
      <c r="X15" s="8" t="str">
        <f t="shared" ca="1" si="1"/>
        <v>103.5 - 108.3</v>
      </c>
      <c r="Y15" s="9">
        <f t="shared" si="2"/>
        <v>0.42126999999999998</v>
      </c>
      <c r="Z15" s="10"/>
      <c r="AA15" s="6"/>
      <c r="BM15" s="10"/>
    </row>
    <row r="16" spans="1:65" x14ac:dyDescent="0.25">
      <c r="A16" s="10">
        <f>A15+1</f>
        <v>14</v>
      </c>
      <c r="B16" s="10">
        <v>1</v>
      </c>
      <c r="C16" s="10" t="str">
        <f>INDEX('Data Import'!$O$2:$O$11,B16)</f>
        <v>andrew</v>
      </c>
      <c r="D16" s="13">
        <f ca="1">SUMIF('Data Import'!$K$2:$K$1701,C16&amp;A16,'Data Import'!$I$2:$I$1531)</f>
        <v>105.352</v>
      </c>
      <c r="E16" s="10" t="e">
        <f>INDEX('Data Import'!$AT$2:$AT$131,MATCH(A16&amp;"-"&amp;B16,'Data Import'!$AU$2:$AU$131,0))</f>
        <v>#N/A</v>
      </c>
      <c r="F16" s="10" t="e">
        <f>INDEX('Data Import'!$O$2:$O$11,E16)</f>
        <v>#N/A</v>
      </c>
      <c r="G16" s="13">
        <f ca="1">SUMIF('Data Import'!$K$2:$K$1701,F16&amp;A16,'Data Import'!$I$2:$I$1531)</f>
        <v>0</v>
      </c>
      <c r="H16" s="14"/>
      <c r="I16" s="10"/>
      <c r="J16" s="7" t="s">
        <v>112</v>
      </c>
      <c r="K16" s="8"/>
      <c r="L16" s="9">
        <f>VALUE(H17)</f>
        <v>0.40811999999999998</v>
      </c>
      <c r="M16" s="10"/>
      <c r="N16" s="10">
        <f t="shared" si="6"/>
        <v>14</v>
      </c>
      <c r="O16" s="10">
        <v>6</v>
      </c>
      <c r="P16" s="10" t="str">
        <f>INDEX('Data Import'!$O$2:$O$11,O16)</f>
        <v>chris</v>
      </c>
      <c r="Q16" s="13">
        <f ca="1">SUMIF('Data Import'!$K$2:$K$1701,P16&amp;N16,'Data Import'!$I$2:$I$1531)</f>
        <v>98.798400000000001</v>
      </c>
      <c r="R16" s="10" t="e">
        <f>INDEX('Data Import'!$AT$2:$AT$131,MATCH(N16&amp;"-"&amp;O16,'Data Import'!$AU$2:$AU$131,0))</f>
        <v>#N/A</v>
      </c>
      <c r="S16" s="10" t="e">
        <f>INDEX('Data Import'!$O$2:$O$11,R16)</f>
        <v>#N/A</v>
      </c>
      <c r="T16" s="13">
        <f ca="1">SUMIF('Data Import'!$K$2:$K$1701,S16&amp;N16,'Data Import'!$I$2:$I$1531)</f>
        <v>0</v>
      </c>
      <c r="U16" s="14"/>
      <c r="V16" s="10"/>
      <c r="W16" s="7" t="s">
        <v>112</v>
      </c>
      <c r="X16" s="8"/>
      <c r="Y16" s="9">
        <f>VALUE(U17)</f>
        <v>0.36931999999999998</v>
      </c>
      <c r="Z16" s="10"/>
      <c r="AA16" s="6"/>
      <c r="BM16" s="10"/>
    </row>
    <row r="17" spans="1:65" ht="15.75" thickBot="1" x14ac:dyDescent="0.3">
      <c r="A17" s="10">
        <f>A16+1</f>
        <v>15</v>
      </c>
      <c r="B17" s="10">
        <v>1</v>
      </c>
      <c r="C17" s="10" t="str">
        <f>INDEX('Data Import'!$O$2:$O$11,B17)</f>
        <v>andrew</v>
      </c>
      <c r="D17" s="13">
        <f ca="1">SUMIF('Data Import'!$K$2:$K$1701,C17&amp;A17,'Data Import'!$I$2:$I$1531)</f>
        <v>103.07040000000001</v>
      </c>
      <c r="E17" s="10" t="e">
        <f>INDEX('Data Import'!$AT$2:$AT$131,MATCH(A17&amp;"-"&amp;B17,'Data Import'!$AU$2:$AU$131,0))</f>
        <v>#N/A</v>
      </c>
      <c r="F17" s="10" t="e">
        <f>INDEX('Data Import'!$O$2:$O$11,E17)</f>
        <v>#N/A</v>
      </c>
      <c r="G17" s="13">
        <f ca="1">SUMIF('Data Import'!$K$2:$K$1701,F17&amp;A17,'Data Import'!$I$2:$I$1531)</f>
        <v>0</v>
      </c>
      <c r="H17" s="14" t="str">
        <f>INDEX('Data Import'!$P$2:$AG$11,B17,A17)</f>
        <v>0.40812</v>
      </c>
      <c r="I17" s="10"/>
      <c r="J17" s="7" t="s">
        <v>113</v>
      </c>
      <c r="K17" s="15">
        <f ca="1">SUM(D16:D17)</f>
        <v>208.42240000000001</v>
      </c>
      <c r="L17" s="17">
        <f>VALUE(H18)</f>
        <v>0.18514</v>
      </c>
      <c r="M17" s="10"/>
      <c r="N17" s="10">
        <f t="shared" si="6"/>
        <v>15</v>
      </c>
      <c r="O17" s="10">
        <v>6</v>
      </c>
      <c r="P17" s="10" t="str">
        <f>INDEX('Data Import'!$O$2:$O$11,O17)</f>
        <v>chris</v>
      </c>
      <c r="Q17" s="13">
        <f ca="1">SUMIF('Data Import'!$K$2:$K$1701,P17&amp;N17,'Data Import'!$I$2:$I$1531)</f>
        <v>102.79070000000002</v>
      </c>
      <c r="R17" s="10" t="e">
        <f>INDEX('Data Import'!$AT$2:$AT$131,MATCH(N17&amp;"-"&amp;O17,'Data Import'!$AU$2:$AU$131,0))</f>
        <v>#N/A</v>
      </c>
      <c r="S17" s="10" t="e">
        <f>INDEX('Data Import'!$O$2:$O$11,R17)</f>
        <v>#N/A</v>
      </c>
      <c r="T17" s="13">
        <f ca="1">SUMIF('Data Import'!$K$2:$K$1701,S17&amp;N17,'Data Import'!$I$2:$I$1531)</f>
        <v>0</v>
      </c>
      <c r="U17" s="14" t="str">
        <f>INDEX('Data Import'!$P$2:$AG$11,O17,N17)</f>
        <v>0.36932</v>
      </c>
      <c r="V17" s="10"/>
      <c r="W17" s="7" t="s">
        <v>113</v>
      </c>
      <c r="X17" s="15">
        <f ca="1">SUM(Q16:Q17)</f>
        <v>201.58910000000003</v>
      </c>
      <c r="Y17" s="17">
        <f>VALUE(U18)</f>
        <v>0.18761</v>
      </c>
      <c r="Z17" s="10"/>
      <c r="AA17" s="6"/>
      <c r="BM17" s="10"/>
    </row>
    <row r="18" spans="1:65" ht="15.75" thickBot="1" x14ac:dyDescent="0.3">
      <c r="A18" s="10">
        <f>A17+1</f>
        <v>16</v>
      </c>
      <c r="B18" s="10">
        <v>1</v>
      </c>
      <c r="C18" s="10" t="str">
        <f>INDEX('Data Import'!$O$2:$O$11,B18)</f>
        <v>andrew</v>
      </c>
      <c r="D18" s="13">
        <f ca="1">SUMIF('Data Import'!$K$2:$K$1701,C18&amp;A18,'Data Import'!$I$2:$I$1531)</f>
        <v>99.747399999999985</v>
      </c>
      <c r="E18" s="10" t="e">
        <f>INDEX('Data Import'!$AT$2:$AT$131,MATCH(A18&amp;"-"&amp;B18,'Data Import'!$AU$2:$AU$131,0))</f>
        <v>#N/A</v>
      </c>
      <c r="F18" s="10" t="e">
        <f>INDEX('Data Import'!$O$2:$O$11,E18)</f>
        <v>#N/A</v>
      </c>
      <c r="G18" s="13">
        <f ca="1">SUMIF('Data Import'!$K$2:$K$1701,F18&amp;A18,'Data Import'!$I$2:$I$1531)</f>
        <v>0</v>
      </c>
      <c r="H18" s="14" t="str">
        <f>INDEX('Data Import'!$P$2:$AG$11,B18,A18+1)</f>
        <v>0.18514</v>
      </c>
      <c r="I18" s="10"/>
      <c r="J18" s="7" t="s">
        <v>114</v>
      </c>
      <c r="K18" s="16">
        <f ca="1">SUM(D18:D19)</f>
        <v>195.96299999999999</v>
      </c>
      <c r="L18" s="18">
        <f>VALUE(H19)</f>
        <v>8.5750000000000007E-2</v>
      </c>
      <c r="M18" s="10"/>
      <c r="N18" s="10">
        <f t="shared" si="6"/>
        <v>16</v>
      </c>
      <c r="O18" s="10">
        <v>6</v>
      </c>
      <c r="P18" s="10" t="str">
        <f>INDEX('Data Import'!$O$2:$O$11,O18)</f>
        <v>chris</v>
      </c>
      <c r="Q18" s="13">
        <f ca="1">SUMIF('Data Import'!$K$2:$K$1701,P18&amp;N18,'Data Import'!$I$2:$I$1531)</f>
        <v>105.90960000000001</v>
      </c>
      <c r="R18" s="10" t="e">
        <f>INDEX('Data Import'!$AT$2:$AT$131,MATCH(N18&amp;"-"&amp;O18,'Data Import'!$AU$2:$AU$131,0))</f>
        <v>#N/A</v>
      </c>
      <c r="S18" s="10" t="e">
        <f>INDEX('Data Import'!$O$2:$O$11,R18)</f>
        <v>#N/A</v>
      </c>
      <c r="T18" s="13">
        <f ca="1">SUMIF('Data Import'!$K$2:$K$1701,S18&amp;N18,'Data Import'!$I$2:$I$1531)</f>
        <v>0</v>
      </c>
      <c r="U18" s="14" t="str">
        <f>INDEX('Data Import'!$P$2:$AG$11,O18,N18+1)</f>
        <v>0.18761</v>
      </c>
      <c r="V18" s="10"/>
      <c r="W18" s="7" t="s">
        <v>114</v>
      </c>
      <c r="X18" s="16">
        <f ca="1">SUM(Q18:Q19)</f>
        <v>208.44929999999999</v>
      </c>
      <c r="Y18" s="18">
        <f>VALUE(U19)</f>
        <v>9.5269999999999994E-2</v>
      </c>
      <c r="Z18" s="10"/>
      <c r="AA18" s="6"/>
      <c r="BM18" s="10"/>
    </row>
    <row r="19" spans="1:65" x14ac:dyDescent="0.25">
      <c r="A19" s="10">
        <f>A18+1</f>
        <v>17</v>
      </c>
      <c r="B19" s="10">
        <v>1</v>
      </c>
      <c r="C19" s="10" t="str">
        <f>INDEX('Data Import'!$O$2:$O$11,B19)</f>
        <v>andrew</v>
      </c>
      <c r="D19" s="13">
        <f ca="1">SUMIF('Data Import'!$K$2:$K$1701,C19&amp;A19,'Data Import'!$I$2:$I$1531)</f>
        <v>96.215600000000009</v>
      </c>
      <c r="E19" s="10" t="e">
        <f>INDEX('Data Import'!$AT$2:$AT$131,MATCH(A19&amp;"-"&amp;B19,'Data Import'!$AU$2:$AU$131,0))</f>
        <v>#N/A</v>
      </c>
      <c r="F19" s="10" t="e">
        <f>INDEX('Data Import'!$O$2:$O$11,E19)</f>
        <v>#N/A</v>
      </c>
      <c r="G19" s="13">
        <f ca="1">SUMIF('Data Import'!$K$2:$K$1701,F19&amp;A19,'Data Import'!$I$2:$I$1531)</f>
        <v>0</v>
      </c>
      <c r="H19" s="14" t="str">
        <f>INDEX('Data Import'!$P$2:$AG$11,B19,A19+1)</f>
        <v>0.08575</v>
      </c>
      <c r="I19" s="10"/>
      <c r="J19" s="10"/>
      <c r="K19" s="11"/>
      <c r="L19" s="12"/>
      <c r="M19" s="10"/>
      <c r="N19" s="10">
        <f t="shared" si="6"/>
        <v>17</v>
      </c>
      <c r="O19" s="10">
        <v>6</v>
      </c>
      <c r="P19" s="10" t="str">
        <f>INDEX('Data Import'!$O$2:$O$11,O19)</f>
        <v>chris</v>
      </c>
      <c r="Q19" s="13">
        <f ca="1">SUMIF('Data Import'!$K$2:$K$1701,P19&amp;N19,'Data Import'!$I$2:$I$1531)</f>
        <v>102.53969999999998</v>
      </c>
      <c r="R19" s="10" t="e">
        <f>INDEX('Data Import'!$AT$2:$AT$131,MATCH(N19&amp;"-"&amp;O19,'Data Import'!$AU$2:$AU$131,0))</f>
        <v>#N/A</v>
      </c>
      <c r="S19" s="10" t="e">
        <f>INDEX('Data Import'!$O$2:$O$11,R19)</f>
        <v>#N/A</v>
      </c>
      <c r="T19" s="13">
        <f ca="1">SUMIF('Data Import'!$K$2:$K$1701,S19&amp;N19,'Data Import'!$I$2:$I$1531)</f>
        <v>0</v>
      </c>
      <c r="U19" s="14" t="str">
        <f>INDEX('Data Import'!$P$2:$AG$11,O19,N19+1)</f>
        <v>0.09527</v>
      </c>
      <c r="V19" s="10"/>
      <c r="W19" s="10"/>
      <c r="X19" s="11"/>
      <c r="Y19" s="12"/>
      <c r="Z19" s="10"/>
      <c r="AA19" s="6"/>
      <c r="BM19" s="10"/>
    </row>
    <row r="20" spans="1:65"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6"/>
      <c r="AM20" s="10"/>
      <c r="AZ20" s="10"/>
      <c r="BM20" s="10"/>
    </row>
    <row r="21" spans="1:65" ht="21" x14ac:dyDescent="0.35">
      <c r="A21" s="10"/>
      <c r="B21" s="10"/>
      <c r="C21" s="10"/>
      <c r="D21" s="10"/>
      <c r="E21" s="10"/>
      <c r="F21" s="10"/>
      <c r="G21" s="10"/>
      <c r="H21" s="10"/>
      <c r="I21" s="10"/>
      <c r="J21" s="98" t="str">
        <f>C23</f>
        <v>jake</v>
      </c>
      <c r="K21" s="98"/>
      <c r="L21" s="98"/>
      <c r="M21" s="10"/>
      <c r="N21" s="10"/>
      <c r="O21" s="10"/>
      <c r="P21" s="10"/>
      <c r="Q21" s="10"/>
      <c r="R21" s="10"/>
      <c r="S21" s="10"/>
      <c r="T21" s="10"/>
      <c r="U21" s="10"/>
      <c r="V21" s="10"/>
      <c r="W21" s="98" t="str">
        <f>P23</f>
        <v>jordan</v>
      </c>
      <c r="X21" s="98"/>
      <c r="Y21" s="98"/>
      <c r="Z21" s="10"/>
      <c r="AA21" s="6"/>
      <c r="AZ21" s="10"/>
      <c r="BM21" s="10"/>
    </row>
    <row r="22" spans="1:65" x14ac:dyDescent="0.25">
      <c r="A22" s="10" t="s">
        <v>99</v>
      </c>
      <c r="B22" s="10" t="s">
        <v>102</v>
      </c>
      <c r="C22" s="10" t="s">
        <v>103</v>
      </c>
      <c r="D22" s="10" t="s">
        <v>104</v>
      </c>
      <c r="E22" s="10" t="s">
        <v>105</v>
      </c>
      <c r="F22" s="10" t="s">
        <v>101</v>
      </c>
      <c r="G22" s="10" t="s">
        <v>107</v>
      </c>
      <c r="H22" s="10" t="s">
        <v>109</v>
      </c>
      <c r="I22" s="10"/>
      <c r="J22" s="8" t="s">
        <v>110</v>
      </c>
      <c r="K22" s="8" t="s">
        <v>111</v>
      </c>
      <c r="L22" s="7" t="s">
        <v>108</v>
      </c>
      <c r="M22" s="10"/>
      <c r="N22" s="10" t="s">
        <v>99</v>
      </c>
      <c r="O22" s="10" t="s">
        <v>102</v>
      </c>
      <c r="P22" s="10" t="s">
        <v>103</v>
      </c>
      <c r="Q22" s="10" t="s">
        <v>104</v>
      </c>
      <c r="R22" s="10" t="s">
        <v>105</v>
      </c>
      <c r="S22" s="10" t="s">
        <v>101</v>
      </c>
      <c r="T22" s="10" t="s">
        <v>107</v>
      </c>
      <c r="U22" s="10" t="s">
        <v>109</v>
      </c>
      <c r="V22" s="10"/>
      <c r="W22" s="8" t="s">
        <v>110</v>
      </c>
      <c r="X22" s="8" t="s">
        <v>111</v>
      </c>
      <c r="Y22" s="7" t="s">
        <v>108</v>
      </c>
      <c r="Z22" s="10"/>
      <c r="AA22" s="6"/>
      <c r="AZ22" s="10"/>
      <c r="BM22" s="10"/>
    </row>
    <row r="23" spans="1:65" x14ac:dyDescent="0.25">
      <c r="A23" s="10">
        <v>1</v>
      </c>
      <c r="B23" s="10">
        <f>B3+1</f>
        <v>2</v>
      </c>
      <c r="C23" s="10" t="str">
        <f>INDEX('Data Import'!$O$2:$O$11,B23)</f>
        <v>jake</v>
      </c>
      <c r="D23" s="13">
        <f ca="1">SUMIF('Data Import'!$K$2:$K$1701,C23&amp;A23,'Data Import'!$I$2:$I$1531)</f>
        <v>107.37960000000001</v>
      </c>
      <c r="E23" s="10">
        <f>INDEX('Data Import'!$AT$2:$AT$131,MATCH(A23&amp;"-"&amp;B23,'Data Import'!$AU$2:$AU$131,0))</f>
        <v>3</v>
      </c>
      <c r="F23" s="10" t="str">
        <f>INDEX('Data Import'!$O$2:$O$11,E23)</f>
        <v>breanna</v>
      </c>
      <c r="G23" s="13">
        <f ca="1">SUMIF('Data Import'!$K$2:$K$1701,F23&amp;A23,'Data Import'!$I$2:$I$1531)</f>
        <v>98.875900000000001</v>
      </c>
      <c r="H23" s="14">
        <f>INDEX('Data Import'!$P$15:$AB$24,B23,A23)</f>
        <v>1</v>
      </c>
      <c r="I23" s="10"/>
      <c r="J23" s="7" t="str">
        <f t="shared" ref="J23:J35" si="8">"Wk "&amp;A23&amp;" - "&amp;F23</f>
        <v>Wk 1 - breanna</v>
      </c>
      <c r="K23" s="8" t="str">
        <f t="shared" ref="K23:K35" ca="1" si="9">TEXT(D23,"0.0")&amp;" - "&amp;TEXT(G23,"0.0")</f>
        <v>107.4 - 98.9</v>
      </c>
      <c r="L23" s="9">
        <f t="shared" ref="L23:L35" si="10">H23</f>
        <v>1</v>
      </c>
      <c r="M23" s="10"/>
      <c r="N23" s="10">
        <v>1</v>
      </c>
      <c r="O23" s="10">
        <f>O3+1</f>
        <v>7</v>
      </c>
      <c r="P23" s="10" t="str">
        <f>INDEX('Data Import'!$O$2:$O$11,O23)</f>
        <v>jordan</v>
      </c>
      <c r="Q23" s="13">
        <f ca="1">SUMIF('Data Import'!$K$2:$K$1701,P23&amp;N23,'Data Import'!$I$2:$I$1531)</f>
        <v>106.45689999999999</v>
      </c>
      <c r="R23" s="10">
        <f>INDEX('Data Import'!$AT$2:$AT$131,MATCH(N23&amp;"-"&amp;O23,'Data Import'!$AU$2:$AU$131,0))</f>
        <v>6</v>
      </c>
      <c r="S23" s="10" t="str">
        <f>INDEX('Data Import'!$O$2:$O$11,R23)</f>
        <v>chris</v>
      </c>
      <c r="T23" s="13">
        <f ca="1">SUMIF('Data Import'!$K$2:$K$1701,S23&amp;N23,'Data Import'!$I$2:$I$1531)</f>
        <v>83.828099999999992</v>
      </c>
      <c r="U23" s="14">
        <f>INDEX('Data Import'!$P$15:$AB$24,O23,N23)</f>
        <v>1</v>
      </c>
      <c r="V23" s="10"/>
      <c r="W23" s="7" t="str">
        <f t="shared" ref="W23:W35" si="11">"Wk "&amp;N23&amp;" - "&amp;S23</f>
        <v>Wk 1 - chris</v>
      </c>
      <c r="X23" s="8" t="str">
        <f t="shared" ref="X23:X35" ca="1" si="12">TEXT(Q23,"0.0")&amp;" - "&amp;TEXT(T23,"0.0")</f>
        <v>106.5 - 83.8</v>
      </c>
      <c r="Y23" s="9">
        <f t="shared" ref="Y23:Y35" si="13">U23</f>
        <v>1</v>
      </c>
      <c r="Z23" s="10"/>
      <c r="AA23" s="6"/>
      <c r="AZ23" s="10"/>
      <c r="BM23" s="10"/>
    </row>
    <row r="24" spans="1:65" x14ac:dyDescent="0.25">
      <c r="A24" s="10">
        <f t="shared" ref="A24:A39" si="14">A23+1</f>
        <v>2</v>
      </c>
      <c r="B24" s="10">
        <f t="shared" ref="B24:B39" si="15">B4+1</f>
        <v>2</v>
      </c>
      <c r="C24" s="10" t="str">
        <f>INDEX('Data Import'!$O$2:$O$11,B24)</f>
        <v>jake</v>
      </c>
      <c r="D24" s="13">
        <f ca="1">SUMIF('Data Import'!$K$2:$K$1701,C24&amp;A24,'Data Import'!$I$2:$I$1531)</f>
        <v>101.8458</v>
      </c>
      <c r="E24" s="10">
        <f>INDEX('Data Import'!$AT$2:$AT$131,MATCH(A24&amp;"-"&amp;B24,'Data Import'!$AU$2:$AU$131,0))</f>
        <v>1</v>
      </c>
      <c r="F24" s="10" t="str">
        <f>INDEX('Data Import'!$O$2:$O$11,E24)</f>
        <v>andrew</v>
      </c>
      <c r="G24" s="13">
        <f ca="1">SUMIF('Data Import'!$K$2:$K$1701,F24&amp;A24,'Data Import'!$I$2:$I$1531)</f>
        <v>99.391799999999989</v>
      </c>
      <c r="H24" s="14">
        <f>INDEX('Data Import'!$P$15:$AB$24,B24,A24)</f>
        <v>0</v>
      </c>
      <c r="I24" s="10"/>
      <c r="J24" s="7" t="str">
        <f t="shared" si="8"/>
        <v>Wk 2 - andrew</v>
      </c>
      <c r="K24" s="8" t="str">
        <f t="shared" ca="1" si="9"/>
        <v>101.8 - 99.4</v>
      </c>
      <c r="L24" s="9">
        <f t="shared" si="10"/>
        <v>0</v>
      </c>
      <c r="M24" s="10"/>
      <c r="N24" s="10">
        <f t="shared" ref="N24:N39" si="16">N23+1</f>
        <v>2</v>
      </c>
      <c r="O24" s="10">
        <f t="shared" ref="O24:O39" si="17">O4+1</f>
        <v>7</v>
      </c>
      <c r="P24" s="10" t="str">
        <f>INDEX('Data Import'!$O$2:$O$11,O24)</f>
        <v>jordan</v>
      </c>
      <c r="Q24" s="13">
        <f ca="1">SUMIF('Data Import'!$K$2:$K$1701,P24&amp;N24,'Data Import'!$I$2:$I$1531)</f>
        <v>107.5219</v>
      </c>
      <c r="R24" s="10">
        <f>INDEX('Data Import'!$AT$2:$AT$131,MATCH(N24&amp;"-"&amp;O24,'Data Import'!$AU$2:$AU$131,0))</f>
        <v>3</v>
      </c>
      <c r="S24" s="10" t="str">
        <f>INDEX('Data Import'!$O$2:$O$11,R24)</f>
        <v>breanna</v>
      </c>
      <c r="T24" s="13">
        <f ca="1">SUMIF('Data Import'!$K$2:$K$1701,S24&amp;N24,'Data Import'!$I$2:$I$1531)</f>
        <v>98.681699999999992</v>
      </c>
      <c r="U24" s="14">
        <f>INDEX('Data Import'!$P$15:$AB$24,O24,N24)</f>
        <v>1</v>
      </c>
      <c r="V24" s="10"/>
      <c r="W24" s="7" t="str">
        <f t="shared" si="11"/>
        <v>Wk 2 - breanna</v>
      </c>
      <c r="X24" s="8" t="str">
        <f t="shared" ca="1" si="12"/>
        <v>107.5 - 98.7</v>
      </c>
      <c r="Y24" s="9">
        <f t="shared" si="13"/>
        <v>1</v>
      </c>
      <c r="Z24" s="10"/>
      <c r="AA24" s="6"/>
      <c r="AZ24" s="10"/>
      <c r="BM24" s="10"/>
    </row>
    <row r="25" spans="1:65" x14ac:dyDescent="0.25">
      <c r="A25" s="10">
        <f t="shared" si="14"/>
        <v>3</v>
      </c>
      <c r="B25" s="10">
        <f t="shared" si="15"/>
        <v>2</v>
      </c>
      <c r="C25" s="10" t="str">
        <f>INDEX('Data Import'!$O$2:$O$11,B25)</f>
        <v>jake</v>
      </c>
      <c r="D25" s="13">
        <f ca="1">SUMIF('Data Import'!$K$2:$K$1701,C25&amp;A25,'Data Import'!$I$2:$I$1531)</f>
        <v>89.028100000000009</v>
      </c>
      <c r="E25" s="10">
        <f>INDEX('Data Import'!$AT$2:$AT$131,MATCH(A25&amp;"-"&amp;B25,'Data Import'!$AU$2:$AU$131,0))</f>
        <v>4</v>
      </c>
      <c r="F25" s="10" t="str">
        <f>INDEX('Data Import'!$O$2:$O$11,E25)</f>
        <v>joseph</v>
      </c>
      <c r="G25" s="13">
        <f ca="1">SUMIF('Data Import'!$K$2:$K$1701,F25&amp;A25,'Data Import'!$I$2:$I$1531)</f>
        <v>113.5214</v>
      </c>
      <c r="H25" s="14">
        <f>INDEX('Data Import'!$P$15:$AB$24,B25,A25)</f>
        <v>0.18856000000000001</v>
      </c>
      <c r="I25" s="10"/>
      <c r="J25" s="7" t="str">
        <f t="shared" si="8"/>
        <v>Wk 3 - joseph</v>
      </c>
      <c r="K25" s="8" t="str">
        <f t="shared" ca="1" si="9"/>
        <v>89.0 - 113.5</v>
      </c>
      <c r="L25" s="9">
        <f t="shared" si="10"/>
        <v>0.18856000000000001</v>
      </c>
      <c r="M25" s="10"/>
      <c r="N25" s="10">
        <f t="shared" si="16"/>
        <v>3</v>
      </c>
      <c r="O25" s="10">
        <f t="shared" si="17"/>
        <v>7</v>
      </c>
      <c r="P25" s="10" t="str">
        <f>INDEX('Data Import'!$O$2:$O$11,O25)</f>
        <v>jordan</v>
      </c>
      <c r="Q25" s="13">
        <f ca="1">SUMIF('Data Import'!$K$2:$K$1701,P25&amp;N25,'Data Import'!$I$2:$I$1531)</f>
        <v>101.62739999999999</v>
      </c>
      <c r="R25" s="10">
        <f>INDEX('Data Import'!$AT$2:$AT$131,MATCH(N25&amp;"-"&amp;O25,'Data Import'!$AU$2:$AU$131,0))</f>
        <v>10</v>
      </c>
      <c r="S25" s="10" t="str">
        <f>INDEX('Data Import'!$O$2:$O$11,R25)</f>
        <v>paul</v>
      </c>
      <c r="T25" s="13">
        <f ca="1">SUMIF('Data Import'!$K$2:$K$1701,S25&amp;N25,'Data Import'!$I$2:$I$1531)</f>
        <v>104.92000000000002</v>
      </c>
      <c r="U25" s="14">
        <f>INDEX('Data Import'!$P$15:$AB$24,O25,N25)</f>
        <v>0.46607999999999999</v>
      </c>
      <c r="V25" s="10"/>
      <c r="W25" s="7" t="str">
        <f t="shared" si="11"/>
        <v>Wk 3 - paul</v>
      </c>
      <c r="X25" s="8" t="str">
        <f t="shared" ca="1" si="12"/>
        <v>101.6 - 104.9</v>
      </c>
      <c r="Y25" s="9">
        <f t="shared" si="13"/>
        <v>0.46607999999999999</v>
      </c>
      <c r="Z25" s="10"/>
      <c r="AA25" s="6"/>
      <c r="AZ25" s="10"/>
      <c r="BM25" s="10"/>
    </row>
    <row r="26" spans="1:65" x14ac:dyDescent="0.25">
      <c r="A26" s="10">
        <f t="shared" si="14"/>
        <v>4</v>
      </c>
      <c r="B26" s="10">
        <f t="shared" si="15"/>
        <v>2</v>
      </c>
      <c r="C26" s="10" t="str">
        <f>INDEX('Data Import'!$O$2:$O$11,B26)</f>
        <v>jake</v>
      </c>
      <c r="D26" s="13">
        <f ca="1">SUMIF('Data Import'!$K$2:$K$1701,C26&amp;A26,'Data Import'!$I$2:$I$1531)</f>
        <v>96.797200000000004</v>
      </c>
      <c r="E26" s="10">
        <f>INDEX('Data Import'!$AT$2:$AT$131,MATCH(A26&amp;"-"&amp;B26,'Data Import'!$AU$2:$AU$131,0))</f>
        <v>5</v>
      </c>
      <c r="F26" s="10" t="str">
        <f>INDEX('Data Import'!$O$2:$O$11,E26)</f>
        <v>alyssa</v>
      </c>
      <c r="G26" s="13">
        <f ca="1">SUMIF('Data Import'!$K$2:$K$1701,F26&amp;A26,'Data Import'!$I$2:$I$1531)</f>
        <v>100.9349</v>
      </c>
      <c r="H26" s="14">
        <f>INDEX('Data Import'!$P$15:$AB$24,B26,A26)</f>
        <v>0.44097999999999998</v>
      </c>
      <c r="I26" s="10"/>
      <c r="J26" s="7" t="str">
        <f t="shared" si="8"/>
        <v>Wk 4 - alyssa</v>
      </c>
      <c r="K26" s="8" t="str">
        <f t="shared" ca="1" si="9"/>
        <v>96.8 - 100.9</v>
      </c>
      <c r="L26" s="9">
        <f t="shared" si="10"/>
        <v>0.44097999999999998</v>
      </c>
      <c r="M26" s="10"/>
      <c r="N26" s="10">
        <f t="shared" si="16"/>
        <v>4</v>
      </c>
      <c r="O26" s="10">
        <f t="shared" si="17"/>
        <v>7</v>
      </c>
      <c r="P26" s="10" t="str">
        <f>INDEX('Data Import'!$O$2:$O$11,O26)</f>
        <v>jordan</v>
      </c>
      <c r="Q26" s="13">
        <f ca="1">SUMIF('Data Import'!$K$2:$K$1701,P26&amp;N26,'Data Import'!$I$2:$I$1531)</f>
        <v>99.573900000000009</v>
      </c>
      <c r="R26" s="10">
        <f>INDEX('Data Import'!$AT$2:$AT$131,MATCH(N26&amp;"-"&amp;O26,'Data Import'!$AU$2:$AU$131,0))</f>
        <v>8</v>
      </c>
      <c r="S26" s="10" t="str">
        <f>INDEX('Data Import'!$O$2:$O$11,R26)</f>
        <v>alex</v>
      </c>
      <c r="T26" s="13">
        <f ca="1">SUMIF('Data Import'!$K$2:$K$1701,S26&amp;N26,'Data Import'!$I$2:$I$1531)</f>
        <v>106.0779</v>
      </c>
      <c r="U26" s="14">
        <f>INDEX('Data Import'!$P$15:$AB$24,O26,N26)</f>
        <v>0.41487000000000002</v>
      </c>
      <c r="V26" s="10"/>
      <c r="W26" s="7" t="str">
        <f t="shared" si="11"/>
        <v>Wk 4 - alex</v>
      </c>
      <c r="X26" s="8" t="str">
        <f t="shared" ca="1" si="12"/>
        <v>99.6 - 106.1</v>
      </c>
      <c r="Y26" s="9">
        <f t="shared" si="13"/>
        <v>0.41487000000000002</v>
      </c>
      <c r="Z26" s="10"/>
      <c r="AA26" s="6"/>
      <c r="AZ26" s="10"/>
      <c r="BM26" s="10"/>
    </row>
    <row r="27" spans="1:65" x14ac:dyDescent="0.25">
      <c r="A27" s="10">
        <f t="shared" si="14"/>
        <v>5</v>
      </c>
      <c r="B27" s="10">
        <f t="shared" si="15"/>
        <v>2</v>
      </c>
      <c r="C27" s="10" t="str">
        <f>INDEX('Data Import'!$O$2:$O$11,B27)</f>
        <v>jake</v>
      </c>
      <c r="D27" s="13">
        <f ca="1">SUMIF('Data Import'!$K$2:$K$1701,C27&amp;A27,'Data Import'!$I$2:$I$1531)</f>
        <v>99.001199999999997</v>
      </c>
      <c r="E27" s="10">
        <f>INDEX('Data Import'!$AT$2:$AT$131,MATCH(A27&amp;"-"&amp;B27,'Data Import'!$AU$2:$AU$131,0))</f>
        <v>6</v>
      </c>
      <c r="F27" s="10" t="str">
        <f>INDEX('Data Import'!$O$2:$O$11,E27)</f>
        <v>chris</v>
      </c>
      <c r="G27" s="13">
        <f ca="1">SUMIF('Data Import'!$K$2:$K$1701,F27&amp;A27,'Data Import'!$I$2:$I$1531)</f>
        <v>91.690399999999997</v>
      </c>
      <c r="H27" s="14">
        <f>INDEX('Data Import'!$P$15:$AB$24,B27,A27)</f>
        <v>0.62710999999999995</v>
      </c>
      <c r="I27" s="10"/>
      <c r="J27" s="7" t="str">
        <f t="shared" si="8"/>
        <v>Wk 5 - chris</v>
      </c>
      <c r="K27" s="8" t="str">
        <f t="shared" ca="1" si="9"/>
        <v>99.0 - 91.7</v>
      </c>
      <c r="L27" s="9">
        <f t="shared" si="10"/>
        <v>0.62710999999999995</v>
      </c>
      <c r="M27" s="10"/>
      <c r="N27" s="10">
        <f t="shared" si="16"/>
        <v>5</v>
      </c>
      <c r="O27" s="10">
        <f t="shared" si="17"/>
        <v>7</v>
      </c>
      <c r="P27" s="10" t="str">
        <f>INDEX('Data Import'!$O$2:$O$11,O27)</f>
        <v>jordan</v>
      </c>
      <c r="Q27" s="13">
        <f ca="1">SUMIF('Data Import'!$K$2:$K$1701,P27&amp;N27,'Data Import'!$I$2:$I$1531)</f>
        <v>107.06309999999999</v>
      </c>
      <c r="R27" s="10">
        <f>INDEX('Data Import'!$AT$2:$AT$131,MATCH(N27&amp;"-"&amp;O27,'Data Import'!$AU$2:$AU$131,0))</f>
        <v>9</v>
      </c>
      <c r="S27" s="10" t="str">
        <f>INDEX('Data Import'!$O$2:$O$11,R27)</f>
        <v>colin</v>
      </c>
      <c r="T27" s="13">
        <f ca="1">SUMIF('Data Import'!$K$2:$K$1701,S27&amp;N27,'Data Import'!$I$2:$I$1531)</f>
        <v>90.247</v>
      </c>
      <c r="U27" s="14">
        <f>INDEX('Data Import'!$P$15:$AB$24,O27,N27)</f>
        <v>0.73295999999999994</v>
      </c>
      <c r="V27" s="10"/>
      <c r="W27" s="7" t="str">
        <f t="shared" si="11"/>
        <v>Wk 5 - colin</v>
      </c>
      <c r="X27" s="8" t="str">
        <f t="shared" ca="1" si="12"/>
        <v>107.1 - 90.2</v>
      </c>
      <c r="Y27" s="9">
        <f t="shared" si="13"/>
        <v>0.73295999999999994</v>
      </c>
      <c r="Z27" s="10"/>
      <c r="AA27" s="6"/>
      <c r="AZ27" s="10"/>
      <c r="BM27" s="10"/>
    </row>
    <row r="28" spans="1:65" x14ac:dyDescent="0.25">
      <c r="A28" s="10">
        <f t="shared" si="14"/>
        <v>6</v>
      </c>
      <c r="B28" s="10">
        <f t="shared" si="15"/>
        <v>2</v>
      </c>
      <c r="C28" s="10" t="str">
        <f>INDEX('Data Import'!$O$2:$O$11,B28)</f>
        <v>jake</v>
      </c>
      <c r="D28" s="13">
        <f ca="1">SUMIF('Data Import'!$K$2:$K$1701,C28&amp;A28,'Data Import'!$I$2:$I$1531)</f>
        <v>96.762399999999985</v>
      </c>
      <c r="E28" s="10">
        <f>INDEX('Data Import'!$AT$2:$AT$131,MATCH(A28&amp;"-"&amp;B28,'Data Import'!$AU$2:$AU$131,0))</f>
        <v>10</v>
      </c>
      <c r="F28" s="10" t="str">
        <f>INDEX('Data Import'!$O$2:$O$11,E28)</f>
        <v>paul</v>
      </c>
      <c r="G28" s="13">
        <f ca="1">SUMIF('Data Import'!$K$2:$K$1701,F28&amp;A28,'Data Import'!$I$2:$I$1531)</f>
        <v>109.06379999999999</v>
      </c>
      <c r="H28" s="14">
        <f>INDEX('Data Import'!$P$15:$AB$24,B28,A28)</f>
        <v>0.32917000000000002</v>
      </c>
      <c r="I28" s="10"/>
      <c r="J28" s="7" t="str">
        <f t="shared" si="8"/>
        <v>Wk 6 - paul</v>
      </c>
      <c r="K28" s="8" t="str">
        <f t="shared" ca="1" si="9"/>
        <v>96.8 - 109.1</v>
      </c>
      <c r="L28" s="9">
        <f t="shared" si="10"/>
        <v>0.32917000000000002</v>
      </c>
      <c r="M28" s="10"/>
      <c r="N28" s="10">
        <f t="shared" si="16"/>
        <v>6</v>
      </c>
      <c r="O28" s="10">
        <f t="shared" si="17"/>
        <v>7</v>
      </c>
      <c r="P28" s="10" t="str">
        <f>INDEX('Data Import'!$O$2:$O$11,O28)</f>
        <v>jordan</v>
      </c>
      <c r="Q28" s="13">
        <f ca="1">SUMIF('Data Import'!$K$2:$K$1701,P28&amp;N28,'Data Import'!$I$2:$I$1531)</f>
        <v>99.735500000000002</v>
      </c>
      <c r="R28" s="10">
        <f>INDEX('Data Import'!$AT$2:$AT$131,MATCH(N28&amp;"-"&amp;O28,'Data Import'!$AU$2:$AU$131,0))</f>
        <v>5</v>
      </c>
      <c r="S28" s="10" t="str">
        <f>INDEX('Data Import'!$O$2:$O$11,R28)</f>
        <v>alyssa</v>
      </c>
      <c r="T28" s="13">
        <f ca="1">SUMIF('Data Import'!$K$2:$K$1701,S28&amp;N28,'Data Import'!$I$2:$I$1531)</f>
        <v>100.57899999999999</v>
      </c>
      <c r="U28" s="14">
        <f>INDEX('Data Import'!$P$15:$AB$24,O28,N28)</f>
        <v>0.48372999999999999</v>
      </c>
      <c r="V28" s="10"/>
      <c r="W28" s="7" t="str">
        <f t="shared" si="11"/>
        <v>Wk 6 - alyssa</v>
      </c>
      <c r="X28" s="8" t="str">
        <f t="shared" ca="1" si="12"/>
        <v>99.7 - 100.6</v>
      </c>
      <c r="Y28" s="9">
        <f t="shared" si="13"/>
        <v>0.48372999999999999</v>
      </c>
      <c r="Z28" s="10"/>
      <c r="AA28" s="6"/>
      <c r="AZ28" s="10"/>
      <c r="BM28" s="10"/>
    </row>
    <row r="29" spans="1:65" x14ac:dyDescent="0.25">
      <c r="A29" s="10">
        <f t="shared" si="14"/>
        <v>7</v>
      </c>
      <c r="B29" s="10">
        <f t="shared" si="15"/>
        <v>2</v>
      </c>
      <c r="C29" s="10" t="str">
        <f>INDEX('Data Import'!$O$2:$O$11,B29)</f>
        <v>jake</v>
      </c>
      <c r="D29" s="13">
        <f ca="1">SUMIF('Data Import'!$K$2:$K$1701,C29&amp;A29,'Data Import'!$I$2:$I$1531)</f>
        <v>101.63040000000001</v>
      </c>
      <c r="E29" s="10">
        <f>INDEX('Data Import'!$AT$2:$AT$131,MATCH(A29&amp;"-"&amp;B29,'Data Import'!$AU$2:$AU$131,0))</f>
        <v>9</v>
      </c>
      <c r="F29" s="10" t="str">
        <f>INDEX('Data Import'!$O$2:$O$11,E29)</f>
        <v>colin</v>
      </c>
      <c r="G29" s="13">
        <f ca="1">SUMIF('Data Import'!$K$2:$K$1701,F29&amp;A29,'Data Import'!$I$2:$I$1531)</f>
        <v>90.000599999999991</v>
      </c>
      <c r="H29" s="14">
        <f>INDEX('Data Import'!$P$15:$AB$24,B29,A29)</f>
        <v>0.68628999999999996</v>
      </c>
      <c r="I29" s="10"/>
      <c r="J29" s="7" t="str">
        <f t="shared" si="8"/>
        <v>Wk 7 - colin</v>
      </c>
      <c r="K29" s="8" t="str">
        <f t="shared" ca="1" si="9"/>
        <v>101.6 - 90.0</v>
      </c>
      <c r="L29" s="9">
        <f t="shared" si="10"/>
        <v>0.68628999999999996</v>
      </c>
      <c r="M29" s="10"/>
      <c r="N29" s="10">
        <f t="shared" si="16"/>
        <v>7</v>
      </c>
      <c r="O29" s="10">
        <f t="shared" si="17"/>
        <v>7</v>
      </c>
      <c r="P29" s="10" t="str">
        <f>INDEX('Data Import'!$O$2:$O$11,O29)</f>
        <v>jordan</v>
      </c>
      <c r="Q29" s="13">
        <f ca="1">SUMIF('Data Import'!$K$2:$K$1701,P29&amp;N29,'Data Import'!$I$2:$I$1531)</f>
        <v>104.60869999999998</v>
      </c>
      <c r="R29" s="10">
        <f>INDEX('Data Import'!$AT$2:$AT$131,MATCH(N29&amp;"-"&amp;O29,'Data Import'!$AU$2:$AU$131,0))</f>
        <v>1</v>
      </c>
      <c r="S29" s="10" t="str">
        <f>INDEX('Data Import'!$O$2:$O$11,R29)</f>
        <v>andrew</v>
      </c>
      <c r="T29" s="13">
        <f ca="1">SUMIF('Data Import'!$K$2:$K$1701,S29&amp;N29,'Data Import'!$I$2:$I$1531)</f>
        <v>85.660799999999995</v>
      </c>
      <c r="U29" s="14">
        <f>INDEX('Data Import'!$P$15:$AB$24,O29,N29)</f>
        <v>0.76536000000000004</v>
      </c>
      <c r="V29" s="10"/>
      <c r="W29" s="7" t="str">
        <f t="shared" si="11"/>
        <v>Wk 7 - andrew</v>
      </c>
      <c r="X29" s="8" t="str">
        <f t="shared" ca="1" si="12"/>
        <v>104.6 - 85.7</v>
      </c>
      <c r="Y29" s="9">
        <f t="shared" si="13"/>
        <v>0.76536000000000004</v>
      </c>
      <c r="Z29" s="10"/>
      <c r="AA29" s="6"/>
      <c r="AZ29" s="10"/>
      <c r="BM29" s="10"/>
    </row>
    <row r="30" spans="1:65" x14ac:dyDescent="0.25">
      <c r="A30" s="10">
        <f t="shared" si="14"/>
        <v>8</v>
      </c>
      <c r="B30" s="10">
        <f t="shared" si="15"/>
        <v>2</v>
      </c>
      <c r="C30" s="10" t="str">
        <f>INDEX('Data Import'!$O$2:$O$11,B30)</f>
        <v>jake</v>
      </c>
      <c r="D30" s="13">
        <f ca="1">SUMIF('Data Import'!$K$2:$K$1701,C30&amp;A30,'Data Import'!$I$2:$I$1531)</f>
        <v>97.111399999999989</v>
      </c>
      <c r="E30" s="10">
        <f>INDEX('Data Import'!$AT$2:$AT$131,MATCH(A30&amp;"-"&amp;B30,'Data Import'!$AU$2:$AU$131,0))</f>
        <v>7</v>
      </c>
      <c r="F30" s="10" t="str">
        <f>INDEX('Data Import'!$O$2:$O$11,E30)</f>
        <v>jordan</v>
      </c>
      <c r="G30" s="13">
        <f ca="1">SUMIF('Data Import'!$K$2:$K$1701,F30&amp;A30,'Data Import'!$I$2:$I$1531)</f>
        <v>106.0821</v>
      </c>
      <c r="H30" s="14">
        <f>INDEX('Data Import'!$P$15:$AB$24,B30,A30)</f>
        <v>0.36142999999999997</v>
      </c>
      <c r="I30" s="10"/>
      <c r="J30" s="7" t="str">
        <f t="shared" si="8"/>
        <v>Wk 8 - jordan</v>
      </c>
      <c r="K30" s="8" t="str">
        <f t="shared" ca="1" si="9"/>
        <v>97.1 - 106.1</v>
      </c>
      <c r="L30" s="9">
        <f t="shared" si="10"/>
        <v>0.36142999999999997</v>
      </c>
      <c r="M30" s="10"/>
      <c r="N30" s="10">
        <f t="shared" si="16"/>
        <v>8</v>
      </c>
      <c r="O30" s="10">
        <f t="shared" si="17"/>
        <v>7</v>
      </c>
      <c r="P30" s="10" t="str">
        <f>INDEX('Data Import'!$O$2:$O$11,O30)</f>
        <v>jordan</v>
      </c>
      <c r="Q30" s="13">
        <f ca="1">SUMIF('Data Import'!$K$2:$K$1701,P30&amp;N30,'Data Import'!$I$2:$I$1531)</f>
        <v>106.0821</v>
      </c>
      <c r="R30" s="10">
        <f>INDEX('Data Import'!$AT$2:$AT$131,MATCH(N30&amp;"-"&amp;O30,'Data Import'!$AU$2:$AU$131,0))</f>
        <v>2</v>
      </c>
      <c r="S30" s="10" t="str">
        <f>INDEX('Data Import'!$O$2:$O$11,R30)</f>
        <v>jake</v>
      </c>
      <c r="T30" s="13">
        <f ca="1">SUMIF('Data Import'!$K$2:$K$1701,S30&amp;N30,'Data Import'!$I$2:$I$1531)</f>
        <v>97.111399999999989</v>
      </c>
      <c r="U30" s="14">
        <f>INDEX('Data Import'!$P$15:$AB$24,O30,N30)</f>
        <v>0.63856999999999997</v>
      </c>
      <c r="V30" s="10"/>
      <c r="W30" s="7" t="str">
        <f t="shared" si="11"/>
        <v>Wk 8 - jake</v>
      </c>
      <c r="X30" s="8" t="str">
        <f t="shared" ca="1" si="12"/>
        <v>106.1 - 97.1</v>
      </c>
      <c r="Y30" s="9">
        <f t="shared" si="13"/>
        <v>0.63856999999999997</v>
      </c>
      <c r="Z30" s="10"/>
      <c r="AA30" s="6"/>
      <c r="AZ30" s="10"/>
      <c r="BM30" s="10"/>
    </row>
    <row r="31" spans="1:65" x14ac:dyDescent="0.25">
      <c r="A31" s="10">
        <f t="shared" si="14"/>
        <v>9</v>
      </c>
      <c r="B31" s="10">
        <f t="shared" si="15"/>
        <v>2</v>
      </c>
      <c r="C31" s="10" t="str">
        <f>INDEX('Data Import'!$O$2:$O$11,B31)</f>
        <v>jake</v>
      </c>
      <c r="D31" s="13">
        <f ca="1">SUMIF('Data Import'!$K$2:$K$1701,C31&amp;A31,'Data Import'!$I$2:$I$1531)</f>
        <v>84.629000000000019</v>
      </c>
      <c r="E31" s="10">
        <f>INDEX('Data Import'!$AT$2:$AT$131,MATCH(A31&amp;"-"&amp;B31,'Data Import'!$AU$2:$AU$131,0))</f>
        <v>8</v>
      </c>
      <c r="F31" s="10" t="str">
        <f>INDEX('Data Import'!$O$2:$O$11,E31)</f>
        <v>alex</v>
      </c>
      <c r="G31" s="13">
        <f ca="1">SUMIF('Data Import'!$K$2:$K$1701,F31&amp;A31,'Data Import'!$I$2:$I$1531)</f>
        <v>98.580600000000004</v>
      </c>
      <c r="H31" s="14">
        <f>INDEX('Data Import'!$P$15:$AB$24,B31,A31)</f>
        <v>0.29333999999999999</v>
      </c>
      <c r="I31" s="10"/>
      <c r="J31" s="7" t="str">
        <f t="shared" si="8"/>
        <v>Wk 9 - alex</v>
      </c>
      <c r="K31" s="8" t="str">
        <f t="shared" ca="1" si="9"/>
        <v>84.6 - 98.6</v>
      </c>
      <c r="L31" s="9">
        <f t="shared" si="10"/>
        <v>0.29333999999999999</v>
      </c>
      <c r="M31" s="10"/>
      <c r="N31" s="10">
        <f t="shared" si="16"/>
        <v>9</v>
      </c>
      <c r="O31" s="10">
        <f t="shared" si="17"/>
        <v>7</v>
      </c>
      <c r="P31" s="10" t="str">
        <f>INDEX('Data Import'!$O$2:$O$11,O31)</f>
        <v>jordan</v>
      </c>
      <c r="Q31" s="13">
        <f ca="1">SUMIF('Data Import'!$K$2:$K$1701,P31&amp;N31,'Data Import'!$I$2:$I$1531)</f>
        <v>106.68339999999999</v>
      </c>
      <c r="R31" s="10">
        <f>INDEX('Data Import'!$AT$2:$AT$131,MATCH(N31&amp;"-"&amp;O31,'Data Import'!$AU$2:$AU$131,0))</f>
        <v>6</v>
      </c>
      <c r="S31" s="10" t="str">
        <f>INDEX('Data Import'!$O$2:$O$11,R31)</f>
        <v>chris</v>
      </c>
      <c r="T31" s="13">
        <f ca="1">SUMIF('Data Import'!$K$2:$K$1701,S31&amp;N31,'Data Import'!$I$2:$I$1531)</f>
        <v>86.725400000000008</v>
      </c>
      <c r="U31" s="14">
        <f>INDEX('Data Import'!$P$15:$AB$24,O31,N31)</f>
        <v>0.79083000000000003</v>
      </c>
      <c r="V31" s="10"/>
      <c r="W31" s="7" t="str">
        <f t="shared" si="11"/>
        <v>Wk 9 - chris</v>
      </c>
      <c r="X31" s="8" t="str">
        <f t="shared" ca="1" si="12"/>
        <v>106.7 - 86.7</v>
      </c>
      <c r="Y31" s="9">
        <f t="shared" si="13"/>
        <v>0.79083000000000003</v>
      </c>
      <c r="Z31" s="10"/>
      <c r="AA31" s="6"/>
      <c r="AZ31" s="10"/>
      <c r="BM31" s="10"/>
    </row>
    <row r="32" spans="1:65" x14ac:dyDescent="0.25">
      <c r="A32" s="10">
        <f t="shared" si="14"/>
        <v>10</v>
      </c>
      <c r="B32" s="10">
        <f t="shared" si="15"/>
        <v>2</v>
      </c>
      <c r="C32" s="10" t="str">
        <f>INDEX('Data Import'!$O$2:$O$11,B32)</f>
        <v>jake</v>
      </c>
      <c r="D32" s="13">
        <f ca="1">SUMIF('Data Import'!$K$2:$K$1701,C32&amp;A32,'Data Import'!$I$2:$I$1531)</f>
        <v>104.3887</v>
      </c>
      <c r="E32" s="10">
        <f>INDEX('Data Import'!$AT$2:$AT$131,MATCH(A32&amp;"-"&amp;B32,'Data Import'!$AU$2:$AU$131,0))</f>
        <v>3</v>
      </c>
      <c r="F32" s="10" t="str">
        <f>INDEX('Data Import'!$O$2:$O$11,E32)</f>
        <v>breanna</v>
      </c>
      <c r="G32" s="13">
        <f ca="1">SUMIF('Data Import'!$K$2:$K$1701,F32&amp;A32,'Data Import'!$I$2:$I$1531)</f>
        <v>96.891999999999996</v>
      </c>
      <c r="H32" s="14">
        <f>INDEX('Data Import'!$P$15:$AB$24,B32,A32)</f>
        <v>0.61073999999999995</v>
      </c>
      <c r="I32" s="10"/>
      <c r="J32" s="7" t="str">
        <f t="shared" si="8"/>
        <v>Wk 10 - breanna</v>
      </c>
      <c r="K32" s="8" t="str">
        <f t="shared" ca="1" si="9"/>
        <v>104.4 - 96.9</v>
      </c>
      <c r="L32" s="9">
        <f t="shared" si="10"/>
        <v>0.61073999999999995</v>
      </c>
      <c r="M32" s="10"/>
      <c r="N32" s="10">
        <f t="shared" si="16"/>
        <v>10</v>
      </c>
      <c r="O32" s="10">
        <f t="shared" si="17"/>
        <v>7</v>
      </c>
      <c r="P32" s="10" t="str">
        <f>INDEX('Data Import'!$O$2:$O$11,O32)</f>
        <v>jordan</v>
      </c>
      <c r="Q32" s="13">
        <f ca="1">SUMIF('Data Import'!$K$2:$K$1701,P32&amp;N32,'Data Import'!$I$2:$I$1531)</f>
        <v>111.2304</v>
      </c>
      <c r="R32" s="10">
        <f>INDEX('Data Import'!$AT$2:$AT$131,MATCH(N32&amp;"-"&amp;O32,'Data Import'!$AU$2:$AU$131,0))</f>
        <v>4</v>
      </c>
      <c r="S32" s="10" t="str">
        <f>INDEX('Data Import'!$O$2:$O$11,R32)</f>
        <v>joseph</v>
      </c>
      <c r="T32" s="13">
        <f ca="1">SUMIF('Data Import'!$K$2:$K$1701,S32&amp;N32,'Data Import'!$I$2:$I$1531)</f>
        <v>99.190500000000014</v>
      </c>
      <c r="U32" s="14">
        <f>INDEX('Data Import'!$P$15:$AB$24,O32,N32)</f>
        <v>0.66217000000000004</v>
      </c>
      <c r="V32" s="10"/>
      <c r="W32" s="7" t="str">
        <f t="shared" si="11"/>
        <v>Wk 10 - joseph</v>
      </c>
      <c r="X32" s="8" t="str">
        <f t="shared" ca="1" si="12"/>
        <v>111.2 - 99.2</v>
      </c>
      <c r="Y32" s="9">
        <f t="shared" si="13"/>
        <v>0.66217000000000004</v>
      </c>
      <c r="Z32" s="10"/>
      <c r="AA32" s="6"/>
      <c r="AZ32" s="10"/>
      <c r="BM32" s="10"/>
    </row>
    <row r="33" spans="1:65" x14ac:dyDescent="0.25">
      <c r="A33" s="10">
        <f t="shared" si="14"/>
        <v>11</v>
      </c>
      <c r="B33" s="10">
        <f t="shared" si="15"/>
        <v>2</v>
      </c>
      <c r="C33" s="10" t="str">
        <f>INDEX('Data Import'!$O$2:$O$11,B33)</f>
        <v>jake</v>
      </c>
      <c r="D33" s="13">
        <f ca="1">SUMIF('Data Import'!$K$2:$K$1701,C33&amp;A33,'Data Import'!$I$2:$I$1531)</f>
        <v>99.776600000000002</v>
      </c>
      <c r="E33" s="10">
        <f>INDEX('Data Import'!$AT$2:$AT$131,MATCH(A33&amp;"-"&amp;B33,'Data Import'!$AU$2:$AU$131,0))</f>
        <v>1</v>
      </c>
      <c r="F33" s="10" t="str">
        <f>INDEX('Data Import'!$O$2:$O$11,E33)</f>
        <v>andrew</v>
      </c>
      <c r="G33" s="13">
        <f ca="1">SUMIF('Data Import'!$K$2:$K$1701,F33&amp;A33,'Data Import'!$I$2:$I$1531)</f>
        <v>95.715599999999995</v>
      </c>
      <c r="H33" s="14">
        <f>INDEX('Data Import'!$P$15:$AB$24,B33,A33)</f>
        <v>0.56020000000000003</v>
      </c>
      <c r="I33" s="10"/>
      <c r="J33" s="7" t="str">
        <f t="shared" si="8"/>
        <v>Wk 11 - andrew</v>
      </c>
      <c r="K33" s="8" t="str">
        <f t="shared" ca="1" si="9"/>
        <v>99.8 - 95.7</v>
      </c>
      <c r="L33" s="9">
        <f t="shared" si="10"/>
        <v>0.56020000000000003</v>
      </c>
      <c r="M33" s="10"/>
      <c r="N33" s="10">
        <f t="shared" si="16"/>
        <v>11</v>
      </c>
      <c r="O33" s="10">
        <f t="shared" si="17"/>
        <v>7</v>
      </c>
      <c r="P33" s="10" t="str">
        <f>INDEX('Data Import'!$O$2:$O$11,O33)</f>
        <v>jordan</v>
      </c>
      <c r="Q33" s="13">
        <f ca="1">SUMIF('Data Import'!$K$2:$K$1701,P33&amp;N33,'Data Import'!$I$2:$I$1531)</f>
        <v>99.331299999999999</v>
      </c>
      <c r="R33" s="10">
        <f>INDEX('Data Import'!$AT$2:$AT$131,MATCH(N33&amp;"-"&amp;O33,'Data Import'!$AU$2:$AU$131,0))</f>
        <v>10</v>
      </c>
      <c r="S33" s="10" t="str">
        <f>INDEX('Data Import'!$O$2:$O$11,R33)</f>
        <v>paul</v>
      </c>
      <c r="T33" s="13">
        <f ca="1">SUMIF('Data Import'!$K$2:$K$1701,S33&amp;N33,'Data Import'!$I$2:$I$1531)</f>
        <v>99.365499999999997</v>
      </c>
      <c r="U33" s="14">
        <f>INDEX('Data Import'!$P$15:$AB$24,O33,N33)</f>
        <v>0.51434000000000002</v>
      </c>
      <c r="V33" s="10"/>
      <c r="W33" s="7" t="str">
        <f t="shared" si="11"/>
        <v>Wk 11 - paul</v>
      </c>
      <c r="X33" s="8" t="str">
        <f t="shared" ca="1" si="12"/>
        <v>99.3 - 99.4</v>
      </c>
      <c r="Y33" s="9">
        <f t="shared" si="13"/>
        <v>0.51434000000000002</v>
      </c>
      <c r="Z33" s="10"/>
      <c r="AA33" s="6"/>
      <c r="AZ33" s="10"/>
      <c r="BM33" s="10"/>
    </row>
    <row r="34" spans="1:65" x14ac:dyDescent="0.25">
      <c r="A34" s="10">
        <f t="shared" si="14"/>
        <v>12</v>
      </c>
      <c r="B34" s="10">
        <f t="shared" si="15"/>
        <v>2</v>
      </c>
      <c r="C34" s="10" t="str">
        <f>INDEX('Data Import'!$O$2:$O$11,B34)</f>
        <v>jake</v>
      </c>
      <c r="D34" s="13">
        <f ca="1">SUMIF('Data Import'!$K$2:$K$1701,C34&amp;A34,'Data Import'!$I$2:$I$1531)</f>
        <v>98.238699999999994</v>
      </c>
      <c r="E34" s="10">
        <f>INDEX('Data Import'!$AT$2:$AT$131,MATCH(A34&amp;"-"&amp;B34,'Data Import'!$AU$2:$AU$131,0))</f>
        <v>4</v>
      </c>
      <c r="F34" s="10" t="str">
        <f>INDEX('Data Import'!$O$2:$O$11,E34)</f>
        <v>joseph</v>
      </c>
      <c r="G34" s="13">
        <f ca="1">SUMIF('Data Import'!$K$2:$K$1701,F34&amp;A34,'Data Import'!$I$2:$I$1531)</f>
        <v>102.4162</v>
      </c>
      <c r="H34" s="14">
        <f>INDEX('Data Import'!$P$15:$AB$24,B34,A34)</f>
        <v>0.43942999999999999</v>
      </c>
      <c r="I34" s="10"/>
      <c r="J34" s="7" t="str">
        <f t="shared" si="8"/>
        <v>Wk 12 - joseph</v>
      </c>
      <c r="K34" s="8" t="str">
        <f t="shared" ca="1" si="9"/>
        <v>98.2 - 102.4</v>
      </c>
      <c r="L34" s="9">
        <f t="shared" si="10"/>
        <v>0.43942999999999999</v>
      </c>
      <c r="M34" s="10"/>
      <c r="N34" s="10">
        <f t="shared" si="16"/>
        <v>12</v>
      </c>
      <c r="O34" s="10">
        <f t="shared" si="17"/>
        <v>7</v>
      </c>
      <c r="P34" s="10" t="str">
        <f>INDEX('Data Import'!$O$2:$O$11,O34)</f>
        <v>jordan</v>
      </c>
      <c r="Q34" s="13">
        <f ca="1">SUMIF('Data Import'!$K$2:$K$1701,P34&amp;N34,'Data Import'!$I$2:$I$1531)</f>
        <v>96.542899999999989</v>
      </c>
      <c r="R34" s="10">
        <f>INDEX('Data Import'!$AT$2:$AT$131,MATCH(N34&amp;"-"&amp;O34,'Data Import'!$AU$2:$AU$131,0))</f>
        <v>8</v>
      </c>
      <c r="S34" s="10" t="str">
        <f>INDEX('Data Import'!$O$2:$O$11,R34)</f>
        <v>alex</v>
      </c>
      <c r="T34" s="13">
        <f ca="1">SUMIF('Data Import'!$K$2:$K$1701,S34&amp;N34,'Data Import'!$I$2:$I$1531)</f>
        <v>105.46860000000001</v>
      </c>
      <c r="U34" s="14">
        <f>INDEX('Data Import'!$P$15:$AB$24,O34,N34)</f>
        <v>0.38418000000000002</v>
      </c>
      <c r="V34" s="10"/>
      <c r="W34" s="7" t="str">
        <f t="shared" si="11"/>
        <v>Wk 12 - alex</v>
      </c>
      <c r="X34" s="8" t="str">
        <f t="shared" ca="1" si="12"/>
        <v>96.5 - 105.5</v>
      </c>
      <c r="Y34" s="9">
        <f t="shared" si="13"/>
        <v>0.38418000000000002</v>
      </c>
      <c r="Z34" s="10"/>
      <c r="AA34" s="6"/>
      <c r="AZ34" s="10"/>
      <c r="BM34" s="10"/>
    </row>
    <row r="35" spans="1:65" x14ac:dyDescent="0.25">
      <c r="A35" s="10">
        <f t="shared" si="14"/>
        <v>13</v>
      </c>
      <c r="B35" s="10">
        <f t="shared" si="15"/>
        <v>2</v>
      </c>
      <c r="C35" s="10" t="str">
        <f>INDEX('Data Import'!$O$2:$O$11,B35)</f>
        <v>jake</v>
      </c>
      <c r="D35" s="13">
        <f ca="1">SUMIF('Data Import'!$K$2:$K$1701,C35&amp;A35,'Data Import'!$I$2:$I$1531)</f>
        <v>94.126599999999996</v>
      </c>
      <c r="E35" s="10">
        <f>INDEX('Data Import'!$AT$2:$AT$131,MATCH(A35&amp;"-"&amp;B35,'Data Import'!$AU$2:$AU$131,0))</f>
        <v>5</v>
      </c>
      <c r="F35" s="10" t="str">
        <f>INDEX('Data Import'!$O$2:$O$11,E35)</f>
        <v>alyssa</v>
      </c>
      <c r="G35" s="13">
        <f ca="1">SUMIF('Data Import'!$K$2:$K$1701,F35&amp;A35,'Data Import'!$I$2:$I$1531)</f>
        <v>109.83009999999999</v>
      </c>
      <c r="H35" s="14">
        <f>INDEX('Data Import'!$P$15:$AB$24,B35,A35)</f>
        <v>0.28717999999999999</v>
      </c>
      <c r="I35" s="10"/>
      <c r="J35" s="7" t="str">
        <f t="shared" si="8"/>
        <v>Wk 13 - alyssa</v>
      </c>
      <c r="K35" s="8" t="str">
        <f t="shared" ca="1" si="9"/>
        <v>94.1 - 109.8</v>
      </c>
      <c r="L35" s="9">
        <f t="shared" si="10"/>
        <v>0.28717999999999999</v>
      </c>
      <c r="M35" s="10"/>
      <c r="N35" s="10">
        <f t="shared" si="16"/>
        <v>13</v>
      </c>
      <c r="O35" s="10">
        <f t="shared" si="17"/>
        <v>7</v>
      </c>
      <c r="P35" s="10" t="str">
        <f>INDEX('Data Import'!$O$2:$O$11,O35)</f>
        <v>jordan</v>
      </c>
      <c r="Q35" s="13">
        <f ca="1">SUMIF('Data Import'!$K$2:$K$1701,P35&amp;N35,'Data Import'!$I$2:$I$1531)</f>
        <v>109.51179999999999</v>
      </c>
      <c r="R35" s="10">
        <f>INDEX('Data Import'!$AT$2:$AT$131,MATCH(N35&amp;"-"&amp;O35,'Data Import'!$AU$2:$AU$131,0))</f>
        <v>9</v>
      </c>
      <c r="S35" s="10" t="str">
        <f>INDEX('Data Import'!$O$2:$O$11,R35)</f>
        <v>colin</v>
      </c>
      <c r="T35" s="13">
        <f ca="1">SUMIF('Data Import'!$K$2:$K$1701,S35&amp;N35,'Data Import'!$I$2:$I$1531)</f>
        <v>89.811500000000009</v>
      </c>
      <c r="U35" s="14">
        <f>INDEX('Data Import'!$P$15:$AB$24,O35,N35)</f>
        <v>0.76844000000000001</v>
      </c>
      <c r="V35" s="10"/>
      <c r="W35" s="7" t="str">
        <f t="shared" si="11"/>
        <v>Wk 13 - colin</v>
      </c>
      <c r="X35" s="8" t="str">
        <f t="shared" ca="1" si="12"/>
        <v>109.5 - 89.8</v>
      </c>
      <c r="Y35" s="9">
        <f t="shared" si="13"/>
        <v>0.76844000000000001</v>
      </c>
      <c r="Z35" s="10"/>
      <c r="AA35" s="6"/>
      <c r="AZ35" s="10"/>
      <c r="BM35" s="10"/>
    </row>
    <row r="36" spans="1:65" x14ac:dyDescent="0.25">
      <c r="A36" s="10">
        <f t="shared" si="14"/>
        <v>14</v>
      </c>
      <c r="B36" s="10">
        <f t="shared" si="15"/>
        <v>2</v>
      </c>
      <c r="C36" s="10" t="str">
        <f>INDEX('Data Import'!$O$2:$O$11,B36)</f>
        <v>jake</v>
      </c>
      <c r="D36" s="13">
        <f ca="1">SUMIF('Data Import'!$K$2:$K$1701,C36&amp;A36,'Data Import'!$I$2:$I$1531)</f>
        <v>102.33</v>
      </c>
      <c r="E36" s="10" t="e">
        <f>INDEX('Data Import'!$AT$2:$AT$131,MATCH(A36&amp;"-"&amp;B36,'Data Import'!$AU$2:$AU$131,0))</f>
        <v>#N/A</v>
      </c>
      <c r="F36" s="10" t="e">
        <f>INDEX('Data Import'!$O$2:$O$11,E36)</f>
        <v>#N/A</v>
      </c>
      <c r="G36" s="13">
        <f ca="1">SUMIF('Data Import'!$K$2:$K$1701,F36&amp;A36,'Data Import'!$I$2:$I$1531)</f>
        <v>0</v>
      </c>
      <c r="H36" s="14"/>
      <c r="I36" s="10"/>
      <c r="J36" s="7" t="s">
        <v>112</v>
      </c>
      <c r="K36" s="8"/>
      <c r="L36" s="9">
        <f>VALUE(H37)</f>
        <v>0.42355999999999999</v>
      </c>
      <c r="M36" s="10"/>
      <c r="N36" s="10">
        <f t="shared" si="16"/>
        <v>14</v>
      </c>
      <c r="O36" s="10">
        <f t="shared" si="17"/>
        <v>7</v>
      </c>
      <c r="P36" s="10" t="str">
        <f>INDEX('Data Import'!$O$2:$O$11,O36)</f>
        <v>jordan</v>
      </c>
      <c r="Q36" s="13">
        <f ca="1">SUMIF('Data Import'!$K$2:$K$1701,P36&amp;N36,'Data Import'!$I$2:$I$1531)</f>
        <v>109.5752</v>
      </c>
      <c r="R36" s="10" t="e">
        <f>INDEX('Data Import'!$AT$2:$AT$131,MATCH(N36&amp;"-"&amp;O36,'Data Import'!$AU$2:$AU$131,0))</f>
        <v>#N/A</v>
      </c>
      <c r="S36" s="10" t="e">
        <f>INDEX('Data Import'!$O$2:$O$11,R36)</f>
        <v>#N/A</v>
      </c>
      <c r="T36" s="13">
        <f ca="1">SUMIF('Data Import'!$K$2:$K$1701,S36&amp;N36,'Data Import'!$I$2:$I$1531)</f>
        <v>0</v>
      </c>
      <c r="U36" s="14"/>
      <c r="V36" s="10"/>
      <c r="W36" s="7" t="s">
        <v>112</v>
      </c>
      <c r="X36" s="8"/>
      <c r="Y36" s="9">
        <f>VALUE(U37)</f>
        <v>0.50539000000000001</v>
      </c>
      <c r="Z36" s="10"/>
      <c r="AA36" s="6"/>
      <c r="AZ36" s="10"/>
      <c r="BM36" s="10"/>
    </row>
    <row r="37" spans="1:65" ht="15.75" thickBot="1" x14ac:dyDescent="0.3">
      <c r="A37" s="10">
        <f t="shared" si="14"/>
        <v>15</v>
      </c>
      <c r="B37" s="10">
        <f t="shared" si="15"/>
        <v>2</v>
      </c>
      <c r="C37" s="10" t="str">
        <f>INDEX('Data Import'!$O$2:$O$11,B37)</f>
        <v>jake</v>
      </c>
      <c r="D37" s="13">
        <f ca="1">SUMIF('Data Import'!$K$2:$K$1701,C37&amp;A37,'Data Import'!$I$2:$I$1531)</f>
        <v>103.5039</v>
      </c>
      <c r="E37" s="10" t="e">
        <f>INDEX('Data Import'!$AT$2:$AT$131,MATCH(A37&amp;"-"&amp;B37,'Data Import'!$AU$2:$AU$131,0))</f>
        <v>#N/A</v>
      </c>
      <c r="F37" s="10" t="e">
        <f>INDEX('Data Import'!$O$2:$O$11,E37)</f>
        <v>#N/A</v>
      </c>
      <c r="G37" s="13">
        <f ca="1">SUMIF('Data Import'!$K$2:$K$1701,F37&amp;A37,'Data Import'!$I$2:$I$1531)</f>
        <v>0</v>
      </c>
      <c r="H37" s="14" t="str">
        <f>INDEX('Data Import'!$P$2:$AG$11,B37,A37)</f>
        <v>0.42356</v>
      </c>
      <c r="I37" s="10"/>
      <c r="J37" s="7" t="s">
        <v>113</v>
      </c>
      <c r="K37" s="15">
        <f ca="1">SUM(D36:D37)</f>
        <v>205.8339</v>
      </c>
      <c r="L37" s="17">
        <f>VALUE(H38)</f>
        <v>0.24335000000000001</v>
      </c>
      <c r="M37" s="6"/>
      <c r="N37" s="10">
        <f t="shared" si="16"/>
        <v>15</v>
      </c>
      <c r="O37" s="10">
        <f t="shared" si="17"/>
        <v>7</v>
      </c>
      <c r="P37" s="10" t="str">
        <f>INDEX('Data Import'!$O$2:$O$11,O37)</f>
        <v>jordan</v>
      </c>
      <c r="Q37" s="13">
        <f ca="1">SUMIF('Data Import'!$K$2:$K$1701,P37&amp;N37,'Data Import'!$I$2:$I$1531)</f>
        <v>105.0675</v>
      </c>
      <c r="R37" s="10" t="e">
        <f>INDEX('Data Import'!$AT$2:$AT$131,MATCH(N37&amp;"-"&amp;O37,'Data Import'!$AU$2:$AU$131,0))</f>
        <v>#N/A</v>
      </c>
      <c r="S37" s="10" t="e">
        <f>INDEX('Data Import'!$O$2:$O$11,R37)</f>
        <v>#N/A</v>
      </c>
      <c r="T37" s="13">
        <f ca="1">SUMIF('Data Import'!$K$2:$K$1701,S37&amp;N37,'Data Import'!$I$2:$I$1531)</f>
        <v>0</v>
      </c>
      <c r="U37" s="14" t="str">
        <f>INDEX('Data Import'!$P$2:$AG$11,O37,N37)</f>
        <v>0.50539</v>
      </c>
      <c r="V37" s="10"/>
      <c r="W37" s="7" t="s">
        <v>113</v>
      </c>
      <c r="X37" s="15">
        <f ca="1">SUM(Q36:Q37)</f>
        <v>214.64269999999999</v>
      </c>
      <c r="Y37" s="17">
        <f>VALUE(U38)</f>
        <v>0.26647999999999999</v>
      </c>
      <c r="Z37" s="6"/>
      <c r="AA37" s="6"/>
      <c r="AZ37" s="6"/>
      <c r="BM37" s="6"/>
    </row>
    <row r="38" spans="1:65" ht="15.75" thickBot="1" x14ac:dyDescent="0.3">
      <c r="A38" s="10">
        <f t="shared" si="14"/>
        <v>16</v>
      </c>
      <c r="B38" s="10">
        <f t="shared" si="15"/>
        <v>2</v>
      </c>
      <c r="C38" s="10" t="str">
        <f>INDEX('Data Import'!$O$2:$O$11,B38)</f>
        <v>jake</v>
      </c>
      <c r="D38" s="13">
        <f ca="1">SUMIF('Data Import'!$K$2:$K$1701,C38&amp;A38,'Data Import'!$I$2:$I$1531)</f>
        <v>92.659000000000006</v>
      </c>
      <c r="E38" s="10" t="e">
        <f>INDEX('Data Import'!$AT$2:$AT$131,MATCH(A38&amp;"-"&amp;B38,'Data Import'!$AU$2:$AU$131,0))</f>
        <v>#N/A</v>
      </c>
      <c r="F38" s="10" t="e">
        <f>INDEX('Data Import'!$O$2:$O$11,E38)</f>
        <v>#N/A</v>
      </c>
      <c r="G38" s="13">
        <f ca="1">SUMIF('Data Import'!$K$2:$K$1701,F38&amp;A38,'Data Import'!$I$2:$I$1531)</f>
        <v>0</v>
      </c>
      <c r="H38" s="14" t="str">
        <f>INDEX('Data Import'!$P$2:$AG$11,B38,A38+1)</f>
        <v>0.24335</v>
      </c>
      <c r="I38" s="10"/>
      <c r="J38" s="7" t="s">
        <v>114</v>
      </c>
      <c r="K38" s="16">
        <f ca="1">SUM(D38:D39)</f>
        <v>193.14019999999999</v>
      </c>
      <c r="L38" s="18">
        <f>VALUE(H39)</f>
        <v>9.7320000000000004E-2</v>
      </c>
      <c r="M38" s="6"/>
      <c r="N38" s="10">
        <f t="shared" si="16"/>
        <v>16</v>
      </c>
      <c r="O38" s="10">
        <f t="shared" si="17"/>
        <v>7</v>
      </c>
      <c r="P38" s="10" t="str">
        <f>INDEX('Data Import'!$O$2:$O$11,O38)</f>
        <v>jordan</v>
      </c>
      <c r="Q38" s="13">
        <f ca="1">SUMIF('Data Import'!$K$2:$K$1701,P38&amp;N38,'Data Import'!$I$2:$I$1531)</f>
        <v>114.2371</v>
      </c>
      <c r="R38" s="10" t="e">
        <f>INDEX('Data Import'!$AT$2:$AT$131,MATCH(N38&amp;"-"&amp;O38,'Data Import'!$AU$2:$AU$131,0))</f>
        <v>#N/A</v>
      </c>
      <c r="S38" s="10" t="e">
        <f>INDEX('Data Import'!$O$2:$O$11,R38)</f>
        <v>#N/A</v>
      </c>
      <c r="T38" s="13">
        <f ca="1">SUMIF('Data Import'!$K$2:$K$1701,S38&amp;N38,'Data Import'!$I$2:$I$1531)</f>
        <v>0</v>
      </c>
      <c r="U38" s="14" t="str">
        <f>INDEX('Data Import'!$P$2:$AG$11,O38,N38+1)</f>
        <v>0.26648</v>
      </c>
      <c r="V38" s="10"/>
      <c r="W38" s="7" t="s">
        <v>114</v>
      </c>
      <c r="X38" s="16">
        <f ca="1">SUM(Q38:Q39)</f>
        <v>224.69579999999999</v>
      </c>
      <c r="Y38" s="18">
        <f>VALUE(U39)</f>
        <v>0.1988</v>
      </c>
      <c r="Z38" s="6"/>
      <c r="AA38" s="6"/>
      <c r="AZ38" s="6"/>
      <c r="BM38" s="6"/>
    </row>
    <row r="39" spans="1:65" x14ac:dyDescent="0.25">
      <c r="A39" s="10">
        <f t="shared" si="14"/>
        <v>17</v>
      </c>
      <c r="B39" s="10">
        <f t="shared" si="15"/>
        <v>2</v>
      </c>
      <c r="C39" s="10" t="str">
        <f>INDEX('Data Import'!$O$2:$O$11,B39)</f>
        <v>jake</v>
      </c>
      <c r="D39" s="13">
        <f ca="1">SUMIF('Data Import'!$K$2:$K$1701,C39&amp;A39,'Data Import'!$I$2:$I$1531)</f>
        <v>100.4812</v>
      </c>
      <c r="E39" s="10" t="e">
        <f>INDEX('Data Import'!$AT$2:$AT$131,MATCH(A39&amp;"-"&amp;B39,'Data Import'!$AU$2:$AU$131,0))</f>
        <v>#N/A</v>
      </c>
      <c r="F39" s="10" t="e">
        <f>INDEX('Data Import'!$O$2:$O$11,E39)</f>
        <v>#N/A</v>
      </c>
      <c r="G39" s="13">
        <f ca="1">SUMIF('Data Import'!$K$2:$K$1701,F39&amp;A39,'Data Import'!$I$2:$I$1531)</f>
        <v>0</v>
      </c>
      <c r="H39" s="14" t="str">
        <f>INDEX('Data Import'!$P$2:$AG$11,B39,A39+1)</f>
        <v>0.09732</v>
      </c>
      <c r="I39" s="10"/>
      <c r="J39" s="10"/>
      <c r="K39" s="11"/>
      <c r="L39" s="12"/>
      <c r="M39" s="6"/>
      <c r="N39" s="10">
        <f t="shared" si="16"/>
        <v>17</v>
      </c>
      <c r="O39" s="10">
        <f t="shared" si="17"/>
        <v>7</v>
      </c>
      <c r="P39" s="10" t="str">
        <f>INDEX('Data Import'!$O$2:$O$11,O39)</f>
        <v>jordan</v>
      </c>
      <c r="Q39" s="13">
        <f ca="1">SUMIF('Data Import'!$K$2:$K$1701,P39&amp;N39,'Data Import'!$I$2:$I$1531)</f>
        <v>110.45869999999999</v>
      </c>
      <c r="R39" s="10" t="e">
        <f>INDEX('Data Import'!$AT$2:$AT$131,MATCH(N39&amp;"-"&amp;O39,'Data Import'!$AU$2:$AU$131,0))</f>
        <v>#N/A</v>
      </c>
      <c r="S39" s="10" t="e">
        <f>INDEX('Data Import'!$O$2:$O$11,R39)</f>
        <v>#N/A</v>
      </c>
      <c r="T39" s="13">
        <f ca="1">SUMIF('Data Import'!$K$2:$K$1701,S39&amp;N39,'Data Import'!$I$2:$I$1531)</f>
        <v>0</v>
      </c>
      <c r="U39" s="14" t="str">
        <f>INDEX('Data Import'!$P$2:$AG$11,O39,N39+1)</f>
        <v>0.1988</v>
      </c>
      <c r="V39" s="10"/>
      <c r="W39" s="10"/>
      <c r="X39" s="11"/>
      <c r="Y39" s="12"/>
      <c r="Z39" s="6"/>
      <c r="AA39" s="6"/>
      <c r="AZ39" s="6"/>
      <c r="BM39" s="6"/>
    </row>
    <row r="40" spans="1:65"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N40" s="6"/>
      <c r="AO40" s="6"/>
      <c r="AP40" s="6"/>
      <c r="AQ40" s="6"/>
      <c r="AR40" s="6"/>
      <c r="AS40" s="6"/>
      <c r="AT40" s="6"/>
      <c r="AU40" s="6"/>
      <c r="AV40" s="6"/>
      <c r="AW40" s="6"/>
      <c r="AX40" s="6"/>
      <c r="AY40" s="6"/>
      <c r="AZ40" s="6"/>
      <c r="BM40" s="6"/>
    </row>
    <row r="41" spans="1:65" ht="21" x14ac:dyDescent="0.35">
      <c r="A41" s="10"/>
      <c r="B41" s="10"/>
      <c r="C41" s="10"/>
      <c r="D41" s="10"/>
      <c r="E41" s="10"/>
      <c r="F41" s="10"/>
      <c r="G41" s="10"/>
      <c r="H41" s="10"/>
      <c r="I41" s="10"/>
      <c r="J41" s="98" t="str">
        <f>C43</f>
        <v>breanna</v>
      </c>
      <c r="K41" s="98"/>
      <c r="L41" s="98"/>
      <c r="M41" s="6"/>
      <c r="N41" s="6"/>
      <c r="O41" s="10"/>
      <c r="P41" s="6"/>
      <c r="Q41" s="6"/>
      <c r="R41" s="6"/>
      <c r="S41" s="6"/>
      <c r="T41" s="6"/>
      <c r="U41" s="6"/>
      <c r="V41" s="6"/>
      <c r="W41" s="98" t="str">
        <f>P43</f>
        <v>alex</v>
      </c>
      <c r="X41" s="98"/>
      <c r="Y41" s="98"/>
      <c r="Z41" s="6"/>
      <c r="AA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row>
    <row r="42" spans="1:65" x14ac:dyDescent="0.25">
      <c r="A42" s="10" t="s">
        <v>99</v>
      </c>
      <c r="B42" s="10" t="s">
        <v>102</v>
      </c>
      <c r="C42" s="10" t="s">
        <v>103</v>
      </c>
      <c r="D42" s="10" t="s">
        <v>104</v>
      </c>
      <c r="E42" s="10" t="s">
        <v>105</v>
      </c>
      <c r="F42" s="10" t="s">
        <v>101</v>
      </c>
      <c r="G42" s="10" t="s">
        <v>107</v>
      </c>
      <c r="H42" s="10" t="s">
        <v>109</v>
      </c>
      <c r="I42" s="10"/>
      <c r="J42" s="8" t="s">
        <v>110</v>
      </c>
      <c r="K42" s="8" t="s">
        <v>111</v>
      </c>
      <c r="L42" s="7" t="s">
        <v>108</v>
      </c>
      <c r="M42" s="6"/>
      <c r="N42" s="10" t="s">
        <v>99</v>
      </c>
      <c r="O42" s="10" t="s">
        <v>102</v>
      </c>
      <c r="P42" s="10" t="s">
        <v>103</v>
      </c>
      <c r="Q42" s="10" t="s">
        <v>104</v>
      </c>
      <c r="R42" s="10" t="s">
        <v>105</v>
      </c>
      <c r="S42" s="10" t="s">
        <v>101</v>
      </c>
      <c r="T42" s="10" t="s">
        <v>107</v>
      </c>
      <c r="U42" s="10" t="s">
        <v>109</v>
      </c>
      <c r="V42" s="10"/>
      <c r="W42" s="8" t="s">
        <v>110</v>
      </c>
      <c r="X42" s="8" t="s">
        <v>111</v>
      </c>
      <c r="Y42" s="7" t="s">
        <v>108</v>
      </c>
      <c r="Z42" s="6"/>
      <c r="AA42" s="6"/>
      <c r="BK42" s="100">
        <f ca="1">NOW()</f>
        <v>43361.52839699074</v>
      </c>
      <c r="BL42" s="100"/>
    </row>
    <row r="43" spans="1:65" x14ac:dyDescent="0.25">
      <c r="A43" s="10">
        <v>1</v>
      </c>
      <c r="B43" s="10">
        <f>B23+1</f>
        <v>3</v>
      </c>
      <c r="C43" s="10" t="str">
        <f>INDEX('Data Import'!$O$2:$O$11,B43)</f>
        <v>breanna</v>
      </c>
      <c r="D43" s="13">
        <f ca="1">SUMIF('Data Import'!$K$2:$K$1701,C43&amp;A43,'Data Import'!$I$2:$I$1531)</f>
        <v>98.875900000000001</v>
      </c>
      <c r="E43" s="10">
        <f>INDEX('Data Import'!$AT$2:$AT$131,MATCH(A43&amp;"-"&amp;B43,'Data Import'!$AU$2:$AU$131,0))</f>
        <v>2</v>
      </c>
      <c r="F43" s="10" t="str">
        <f>INDEX('Data Import'!$O$2:$O$11,E43)</f>
        <v>jake</v>
      </c>
      <c r="G43" s="13">
        <f ca="1">SUMIF('Data Import'!$K$2:$K$1701,F43&amp;A43,'Data Import'!$I$2:$I$1531)</f>
        <v>107.37960000000001</v>
      </c>
      <c r="H43" s="14">
        <f>INDEX('Data Import'!$P$15:$AB$24,B43,A43)</f>
        <v>0</v>
      </c>
      <c r="I43" s="10"/>
      <c r="J43" s="7" t="str">
        <f t="shared" ref="J43:J55" si="18">"Wk "&amp;A43&amp;" - "&amp;F43</f>
        <v>Wk 1 - jake</v>
      </c>
      <c r="K43" s="8" t="str">
        <f t="shared" ref="K43:K55" ca="1" si="19">TEXT(D43,"0.0")&amp;" - "&amp;TEXT(G43,"0.0")</f>
        <v>98.9 - 107.4</v>
      </c>
      <c r="L43" s="9">
        <f t="shared" ref="L43:L55" si="20">H43</f>
        <v>0</v>
      </c>
      <c r="M43" s="6"/>
      <c r="N43" s="10">
        <v>1</v>
      </c>
      <c r="O43" s="10">
        <f>O23+1</f>
        <v>8</v>
      </c>
      <c r="P43" s="10" t="str">
        <f>INDEX('Data Import'!$O$2:$O$11,O43)</f>
        <v>alex</v>
      </c>
      <c r="Q43" s="13">
        <f ca="1">SUMIF('Data Import'!$K$2:$K$1701,P43&amp;N43,'Data Import'!$I$2:$I$1531)</f>
        <v>92.403699999999986</v>
      </c>
      <c r="R43" s="10">
        <f>INDEX('Data Import'!$AT$2:$AT$131,MATCH(N43&amp;"-"&amp;O43,'Data Import'!$AU$2:$AU$131,0))</f>
        <v>4</v>
      </c>
      <c r="S43" s="10" t="str">
        <f>INDEX('Data Import'!$O$2:$O$11,R43)</f>
        <v>joseph</v>
      </c>
      <c r="T43" s="13">
        <f ca="1">SUMIF('Data Import'!$K$2:$K$1701,S43&amp;N43,'Data Import'!$I$2:$I$1531)</f>
        <v>103.50240000000001</v>
      </c>
      <c r="U43" s="14">
        <f>INDEX('Data Import'!$P$15:$AB$24,O43,N43)</f>
        <v>1</v>
      </c>
      <c r="V43" s="10"/>
      <c r="W43" s="7" t="str">
        <f>"Wk "&amp;N43&amp;" - "&amp;S43</f>
        <v>Wk 1 - joseph</v>
      </c>
      <c r="X43" s="8" t="str">
        <f ca="1">TEXT(Q43,"0.0")&amp;" - "&amp;TEXT(T43,"0.0")</f>
        <v>92.4 - 103.5</v>
      </c>
      <c r="Y43" s="9">
        <f>U43</f>
        <v>1</v>
      </c>
      <c r="Z43" s="6"/>
      <c r="AA43" s="6"/>
    </row>
    <row r="44" spans="1:65" x14ac:dyDescent="0.25">
      <c r="A44" s="10">
        <f t="shared" ref="A44:A59" si="21">A43+1</f>
        <v>2</v>
      </c>
      <c r="B44" s="10">
        <f t="shared" ref="B44:B59" si="22">B24+1</f>
        <v>3</v>
      </c>
      <c r="C44" s="10" t="str">
        <f>INDEX('Data Import'!$O$2:$O$11,B44)</f>
        <v>breanna</v>
      </c>
      <c r="D44" s="13">
        <f ca="1">SUMIF('Data Import'!$K$2:$K$1701,C44&amp;A44,'Data Import'!$I$2:$I$1531)</f>
        <v>98.681699999999992</v>
      </c>
      <c r="E44" s="10">
        <f>INDEX('Data Import'!$AT$2:$AT$131,MATCH(A44&amp;"-"&amp;B44,'Data Import'!$AU$2:$AU$131,0))</f>
        <v>7</v>
      </c>
      <c r="F44" s="10" t="str">
        <f>INDEX('Data Import'!$O$2:$O$11,E44)</f>
        <v>jordan</v>
      </c>
      <c r="G44" s="13">
        <f ca="1">SUMIF('Data Import'!$K$2:$K$1701,F44&amp;A44,'Data Import'!$I$2:$I$1531)</f>
        <v>107.5219</v>
      </c>
      <c r="H44" s="14">
        <f>INDEX('Data Import'!$P$15:$AB$24,B44,A44)</f>
        <v>0</v>
      </c>
      <c r="I44" s="10"/>
      <c r="J44" s="7" t="str">
        <f t="shared" si="18"/>
        <v>Wk 2 - jordan</v>
      </c>
      <c r="K44" s="8" t="str">
        <f t="shared" ca="1" si="19"/>
        <v>98.7 - 107.5</v>
      </c>
      <c r="L44" s="9">
        <f t="shared" si="20"/>
        <v>0</v>
      </c>
      <c r="M44" s="6"/>
      <c r="N44" s="10">
        <f>N43+1</f>
        <v>2</v>
      </c>
      <c r="O44" s="10">
        <f t="shared" ref="O44:O59" si="23">O24+1</f>
        <v>8</v>
      </c>
      <c r="P44" s="10" t="str">
        <f>INDEX('Data Import'!$O$2:$O$11,O44)</f>
        <v>alex</v>
      </c>
      <c r="Q44" s="13">
        <f ca="1">SUMIF('Data Import'!$K$2:$K$1701,P44&amp;N44,'Data Import'!$I$2:$I$1531)</f>
        <v>98.629099999999994</v>
      </c>
      <c r="R44" s="10">
        <f>INDEX('Data Import'!$AT$2:$AT$131,MATCH(N44&amp;"-"&amp;O44,'Data Import'!$AU$2:$AU$131,0))</f>
        <v>9</v>
      </c>
      <c r="S44" s="10" t="str">
        <f>INDEX('Data Import'!$O$2:$O$11,R44)</f>
        <v>colin</v>
      </c>
      <c r="T44" s="13">
        <f ca="1">SUMIF('Data Import'!$K$2:$K$1701,S44&amp;N44,'Data Import'!$I$2:$I$1531)</f>
        <v>97.73769999999999</v>
      </c>
      <c r="U44" s="14">
        <f>INDEX('Data Import'!$P$15:$AB$24,O44,N44)</f>
        <v>1</v>
      </c>
      <c r="V44" s="10"/>
      <c r="W44" s="7" t="str">
        <f t="shared" ref="W44:W54" si="24">"Wk "&amp;N44&amp;" - "&amp;S44</f>
        <v>Wk 2 - colin</v>
      </c>
      <c r="X44" s="8" t="str">
        <f t="shared" ref="X44:X54" ca="1" si="25">TEXT(Q44,"0.0")&amp;" - "&amp;TEXT(T44,"0.0")</f>
        <v>98.6 - 97.7</v>
      </c>
      <c r="Y44" s="9">
        <f t="shared" ref="Y44:Y54" si="26">U44</f>
        <v>1</v>
      </c>
      <c r="Z44" s="6"/>
      <c r="AA44" s="6"/>
    </row>
    <row r="45" spans="1:65" x14ac:dyDescent="0.25">
      <c r="A45" s="10">
        <f t="shared" si="21"/>
        <v>3</v>
      </c>
      <c r="B45" s="10">
        <f t="shared" si="22"/>
        <v>3</v>
      </c>
      <c r="C45" s="10" t="str">
        <f>INDEX('Data Import'!$O$2:$O$11,B45)</f>
        <v>breanna</v>
      </c>
      <c r="D45" s="13">
        <f ca="1">SUMIF('Data Import'!$K$2:$K$1701,C45&amp;A45,'Data Import'!$I$2:$I$1531)</f>
        <v>98.462800000000001</v>
      </c>
      <c r="E45" s="10">
        <f>INDEX('Data Import'!$AT$2:$AT$131,MATCH(A45&amp;"-"&amp;B45,'Data Import'!$AU$2:$AU$131,0))</f>
        <v>1</v>
      </c>
      <c r="F45" s="10" t="str">
        <f>INDEX('Data Import'!$O$2:$O$11,E45)</f>
        <v>andrew</v>
      </c>
      <c r="G45" s="13">
        <f ca="1">SUMIF('Data Import'!$K$2:$K$1701,F45&amp;A45,'Data Import'!$I$2:$I$1531)</f>
        <v>104.94350000000001</v>
      </c>
      <c r="H45" s="14">
        <f>INDEX('Data Import'!$P$15:$AB$24,B45,A45)</f>
        <v>0.41282000000000002</v>
      </c>
      <c r="I45" s="10"/>
      <c r="J45" s="7" t="str">
        <f t="shared" si="18"/>
        <v>Wk 3 - andrew</v>
      </c>
      <c r="K45" s="8" t="str">
        <f t="shared" ca="1" si="19"/>
        <v>98.5 - 104.9</v>
      </c>
      <c r="L45" s="9">
        <f t="shared" si="20"/>
        <v>0.41282000000000002</v>
      </c>
      <c r="M45" s="6"/>
      <c r="N45" s="10">
        <f t="shared" ref="N45:N54" si="27">N44+1</f>
        <v>3</v>
      </c>
      <c r="O45" s="10">
        <f t="shared" si="23"/>
        <v>8</v>
      </c>
      <c r="P45" s="10" t="str">
        <f>INDEX('Data Import'!$O$2:$O$11,O45)</f>
        <v>alex</v>
      </c>
      <c r="Q45" s="13">
        <f ca="1">SUMIF('Data Import'!$K$2:$K$1701,P45&amp;N45,'Data Import'!$I$2:$I$1531)</f>
        <v>108.61420000000001</v>
      </c>
      <c r="R45" s="10">
        <f>INDEX('Data Import'!$AT$2:$AT$131,MATCH(N45&amp;"-"&amp;O45,'Data Import'!$AU$2:$AU$131,0))</f>
        <v>6</v>
      </c>
      <c r="S45" s="10" t="str">
        <f>INDEX('Data Import'!$O$2:$O$11,R45)</f>
        <v>chris</v>
      </c>
      <c r="T45" s="13">
        <f ca="1">SUMIF('Data Import'!$K$2:$K$1701,S45&amp;N45,'Data Import'!$I$2:$I$1531)</f>
        <v>91.558400000000006</v>
      </c>
      <c r="U45" s="14">
        <f>INDEX('Data Import'!$P$15:$AB$24,O45,N45)</f>
        <v>0.74221000000000004</v>
      </c>
      <c r="V45" s="10"/>
      <c r="W45" s="7" t="str">
        <f t="shared" si="24"/>
        <v>Wk 3 - chris</v>
      </c>
      <c r="X45" s="8" t="str">
        <f t="shared" ca="1" si="25"/>
        <v>108.6 - 91.6</v>
      </c>
      <c r="Y45" s="9">
        <f t="shared" si="26"/>
        <v>0.74221000000000004</v>
      </c>
      <c r="Z45" s="6"/>
      <c r="AA45" s="6"/>
    </row>
    <row r="46" spans="1:65" x14ac:dyDescent="0.25">
      <c r="A46" s="10">
        <f t="shared" si="21"/>
        <v>4</v>
      </c>
      <c r="B46" s="10">
        <f t="shared" si="22"/>
        <v>3</v>
      </c>
      <c r="C46" s="10" t="str">
        <f>INDEX('Data Import'!$O$2:$O$11,B46)</f>
        <v>breanna</v>
      </c>
      <c r="D46" s="13">
        <f ca="1">SUMIF('Data Import'!$K$2:$K$1701,C46&amp;A46,'Data Import'!$I$2:$I$1531)</f>
        <v>96.381</v>
      </c>
      <c r="E46" s="10">
        <f>INDEX('Data Import'!$AT$2:$AT$131,MATCH(A46&amp;"-"&amp;B46,'Data Import'!$AU$2:$AU$131,0))</f>
        <v>4</v>
      </c>
      <c r="F46" s="10" t="str">
        <f>INDEX('Data Import'!$O$2:$O$11,E46)</f>
        <v>joseph</v>
      </c>
      <c r="G46" s="13">
        <f ca="1">SUMIF('Data Import'!$K$2:$K$1701,F46&amp;A46,'Data Import'!$I$2:$I$1531)</f>
        <v>103.42289999999998</v>
      </c>
      <c r="H46" s="14">
        <f>INDEX('Data Import'!$P$15:$AB$24,B46,A46)</f>
        <v>0.38590000000000002</v>
      </c>
      <c r="I46" s="10"/>
      <c r="J46" s="7" t="str">
        <f t="shared" si="18"/>
        <v>Wk 4 - joseph</v>
      </c>
      <c r="K46" s="8" t="str">
        <f t="shared" ca="1" si="19"/>
        <v>96.4 - 103.4</v>
      </c>
      <c r="L46" s="9">
        <f t="shared" si="20"/>
        <v>0.38590000000000002</v>
      </c>
      <c r="M46" s="6"/>
      <c r="N46" s="10">
        <f t="shared" si="27"/>
        <v>4</v>
      </c>
      <c r="O46" s="10">
        <f t="shared" si="23"/>
        <v>8</v>
      </c>
      <c r="P46" s="10" t="str">
        <f>INDEX('Data Import'!$O$2:$O$11,O46)</f>
        <v>alex</v>
      </c>
      <c r="Q46" s="13">
        <f ca="1">SUMIF('Data Import'!$K$2:$K$1701,P46&amp;N46,'Data Import'!$I$2:$I$1531)</f>
        <v>106.0779</v>
      </c>
      <c r="R46" s="10">
        <f>INDEX('Data Import'!$AT$2:$AT$131,MATCH(N46&amp;"-"&amp;O46,'Data Import'!$AU$2:$AU$131,0))</f>
        <v>7</v>
      </c>
      <c r="S46" s="10" t="str">
        <f>INDEX('Data Import'!$O$2:$O$11,R46)</f>
        <v>jordan</v>
      </c>
      <c r="T46" s="13">
        <f ca="1">SUMIF('Data Import'!$K$2:$K$1701,S46&amp;N46,'Data Import'!$I$2:$I$1531)</f>
        <v>99.573900000000009</v>
      </c>
      <c r="U46" s="14">
        <f>INDEX('Data Import'!$P$15:$AB$24,O46,N46)</f>
        <v>0.58513000000000004</v>
      </c>
      <c r="V46" s="10"/>
      <c r="W46" s="7" t="str">
        <f t="shared" si="24"/>
        <v>Wk 4 - jordan</v>
      </c>
      <c r="X46" s="8" t="str">
        <f t="shared" ca="1" si="25"/>
        <v>106.1 - 99.6</v>
      </c>
      <c r="Y46" s="9">
        <f t="shared" si="26"/>
        <v>0.58513000000000004</v>
      </c>
      <c r="Z46" s="6"/>
      <c r="AA46" s="6"/>
    </row>
    <row r="47" spans="1:65" x14ac:dyDescent="0.25">
      <c r="A47" s="10">
        <f t="shared" si="21"/>
        <v>5</v>
      </c>
      <c r="B47" s="10">
        <f t="shared" si="22"/>
        <v>3</v>
      </c>
      <c r="C47" s="10" t="str">
        <f>INDEX('Data Import'!$O$2:$O$11,B47)</f>
        <v>breanna</v>
      </c>
      <c r="D47" s="13">
        <f ca="1">SUMIF('Data Import'!$K$2:$K$1701,C47&amp;A47,'Data Import'!$I$2:$I$1531)</f>
        <v>97.439800000000005</v>
      </c>
      <c r="E47" s="10">
        <f>INDEX('Data Import'!$AT$2:$AT$131,MATCH(A47&amp;"-"&amp;B47,'Data Import'!$AU$2:$AU$131,0))</f>
        <v>5</v>
      </c>
      <c r="F47" s="10" t="str">
        <f>INDEX('Data Import'!$O$2:$O$11,E47)</f>
        <v>alyssa</v>
      </c>
      <c r="G47" s="13">
        <f ca="1">SUMIF('Data Import'!$K$2:$K$1701,F47&amp;A47,'Data Import'!$I$2:$I$1531)</f>
        <v>100.6617</v>
      </c>
      <c r="H47" s="14">
        <f>INDEX('Data Import'!$P$15:$AB$24,B47,A47)</f>
        <v>0.45078000000000001</v>
      </c>
      <c r="I47" s="10"/>
      <c r="J47" s="7" t="str">
        <f t="shared" si="18"/>
        <v>Wk 5 - alyssa</v>
      </c>
      <c r="K47" s="8" t="str">
        <f t="shared" ca="1" si="19"/>
        <v>97.4 - 100.7</v>
      </c>
      <c r="L47" s="9">
        <f t="shared" si="20"/>
        <v>0.45078000000000001</v>
      </c>
      <c r="M47" s="6"/>
      <c r="N47" s="10">
        <f t="shared" si="27"/>
        <v>5</v>
      </c>
      <c r="O47" s="10">
        <f t="shared" si="23"/>
        <v>8</v>
      </c>
      <c r="P47" s="10" t="str">
        <f>INDEX('Data Import'!$O$2:$O$11,O47)</f>
        <v>alex</v>
      </c>
      <c r="Q47" s="13">
        <f ca="1">SUMIF('Data Import'!$K$2:$K$1701,P47&amp;N47,'Data Import'!$I$2:$I$1531)</f>
        <v>89.521100000000004</v>
      </c>
      <c r="R47" s="10">
        <f>INDEX('Data Import'!$AT$2:$AT$131,MATCH(N47&amp;"-"&amp;O47,'Data Import'!$AU$2:$AU$131,0))</f>
        <v>10</v>
      </c>
      <c r="S47" s="10" t="str">
        <f>INDEX('Data Import'!$O$2:$O$11,R47)</f>
        <v>paul</v>
      </c>
      <c r="T47" s="13">
        <f ca="1">SUMIF('Data Import'!$K$2:$K$1701,S47&amp;N47,'Data Import'!$I$2:$I$1531)</f>
        <v>109.5926</v>
      </c>
      <c r="U47" s="14">
        <f>INDEX('Data Import'!$P$15:$AB$24,O47,N47)</f>
        <v>0.21987999999999999</v>
      </c>
      <c r="V47" s="10"/>
      <c r="W47" s="7" t="str">
        <f t="shared" si="24"/>
        <v>Wk 5 - paul</v>
      </c>
      <c r="X47" s="8" t="str">
        <f t="shared" ca="1" si="25"/>
        <v>89.5 - 109.6</v>
      </c>
      <c r="Y47" s="9">
        <f t="shared" si="26"/>
        <v>0.21987999999999999</v>
      </c>
      <c r="Z47" s="6"/>
      <c r="AA47" s="6"/>
    </row>
    <row r="48" spans="1:65" x14ac:dyDescent="0.25">
      <c r="A48" s="10">
        <f t="shared" si="21"/>
        <v>6</v>
      </c>
      <c r="B48" s="10">
        <f t="shared" si="22"/>
        <v>3</v>
      </c>
      <c r="C48" s="10" t="str">
        <f>INDEX('Data Import'!$O$2:$O$11,B48)</f>
        <v>breanna</v>
      </c>
      <c r="D48" s="13">
        <f ca="1">SUMIF('Data Import'!$K$2:$K$1701,C48&amp;A48,'Data Import'!$I$2:$I$1531)</f>
        <v>91.622399999999999</v>
      </c>
      <c r="E48" s="10">
        <f>INDEX('Data Import'!$AT$2:$AT$131,MATCH(A48&amp;"-"&amp;B48,'Data Import'!$AU$2:$AU$131,0))</f>
        <v>8</v>
      </c>
      <c r="F48" s="10" t="str">
        <f>INDEX('Data Import'!$O$2:$O$11,E48)</f>
        <v>alex</v>
      </c>
      <c r="G48" s="13">
        <f ca="1">SUMIF('Data Import'!$K$2:$K$1701,F48&amp;A48,'Data Import'!$I$2:$I$1531)</f>
        <v>108.41860000000001</v>
      </c>
      <c r="H48" s="14">
        <f>INDEX('Data Import'!$P$15:$AB$24,B48,A48)</f>
        <v>0.27993000000000001</v>
      </c>
      <c r="I48" s="10"/>
      <c r="J48" s="7" t="str">
        <f t="shared" si="18"/>
        <v>Wk 6 - alex</v>
      </c>
      <c r="K48" s="8" t="str">
        <f t="shared" ca="1" si="19"/>
        <v>91.6 - 108.4</v>
      </c>
      <c r="L48" s="9">
        <f t="shared" si="20"/>
        <v>0.27993000000000001</v>
      </c>
      <c r="M48" s="6"/>
      <c r="N48" s="10">
        <f t="shared" si="27"/>
        <v>6</v>
      </c>
      <c r="O48" s="10">
        <f t="shared" si="23"/>
        <v>8</v>
      </c>
      <c r="P48" s="10" t="str">
        <f>INDEX('Data Import'!$O$2:$O$11,O48)</f>
        <v>alex</v>
      </c>
      <c r="Q48" s="13">
        <f ca="1">SUMIF('Data Import'!$K$2:$K$1701,P48&amp;N48,'Data Import'!$I$2:$I$1531)</f>
        <v>108.41860000000001</v>
      </c>
      <c r="R48" s="10">
        <f>INDEX('Data Import'!$AT$2:$AT$131,MATCH(N48&amp;"-"&amp;O48,'Data Import'!$AU$2:$AU$131,0))</f>
        <v>3</v>
      </c>
      <c r="S48" s="10" t="str">
        <f>INDEX('Data Import'!$O$2:$O$11,R48)</f>
        <v>breanna</v>
      </c>
      <c r="T48" s="13">
        <f ca="1">SUMIF('Data Import'!$K$2:$K$1701,S48&amp;N48,'Data Import'!$I$2:$I$1531)</f>
        <v>91.622399999999999</v>
      </c>
      <c r="U48" s="14">
        <f>INDEX('Data Import'!$P$15:$AB$24,O48,N48)</f>
        <v>0.72006999999999999</v>
      </c>
      <c r="V48" s="10"/>
      <c r="W48" s="7" t="str">
        <f t="shared" si="24"/>
        <v>Wk 6 - breanna</v>
      </c>
      <c r="X48" s="8" t="str">
        <f t="shared" ca="1" si="25"/>
        <v>108.4 - 91.6</v>
      </c>
      <c r="Y48" s="9">
        <f t="shared" si="26"/>
        <v>0.72006999999999999</v>
      </c>
      <c r="Z48" s="6"/>
      <c r="AA48" s="6"/>
    </row>
    <row r="49" spans="1:27" x14ac:dyDescent="0.25">
      <c r="A49" s="10">
        <f t="shared" si="21"/>
        <v>7</v>
      </c>
      <c r="B49" s="10">
        <f t="shared" si="22"/>
        <v>3</v>
      </c>
      <c r="C49" s="10" t="str">
        <f>INDEX('Data Import'!$O$2:$O$11,B49)</f>
        <v>breanna</v>
      </c>
      <c r="D49" s="13">
        <f ca="1">SUMIF('Data Import'!$K$2:$K$1701,C49&amp;A49,'Data Import'!$I$2:$I$1531)</f>
        <v>91.36099999999999</v>
      </c>
      <c r="E49" s="10">
        <f>INDEX('Data Import'!$AT$2:$AT$131,MATCH(A49&amp;"-"&amp;B49,'Data Import'!$AU$2:$AU$131,0))</f>
        <v>6</v>
      </c>
      <c r="F49" s="10" t="str">
        <f>INDEX('Data Import'!$O$2:$O$11,E49)</f>
        <v>chris</v>
      </c>
      <c r="G49" s="13">
        <f ca="1">SUMIF('Data Import'!$K$2:$K$1701,F49&amp;A49,'Data Import'!$I$2:$I$1531)</f>
        <v>89.7697</v>
      </c>
      <c r="H49" s="14">
        <f>INDEX('Data Import'!$P$15:$AB$24,B49,A49)</f>
        <v>0.53425</v>
      </c>
      <c r="I49" s="10"/>
      <c r="J49" s="7" t="str">
        <f t="shared" si="18"/>
        <v>Wk 7 - chris</v>
      </c>
      <c r="K49" s="8" t="str">
        <f t="shared" ca="1" si="19"/>
        <v>91.4 - 89.8</v>
      </c>
      <c r="L49" s="9">
        <f t="shared" si="20"/>
        <v>0.53425</v>
      </c>
      <c r="M49" s="6"/>
      <c r="N49" s="10">
        <f t="shared" si="27"/>
        <v>7</v>
      </c>
      <c r="O49" s="10">
        <f t="shared" si="23"/>
        <v>8</v>
      </c>
      <c r="P49" s="10" t="str">
        <f>INDEX('Data Import'!$O$2:$O$11,O49)</f>
        <v>alex</v>
      </c>
      <c r="Q49" s="13">
        <f ca="1">SUMIF('Data Import'!$K$2:$K$1701,P49&amp;N49,'Data Import'!$I$2:$I$1531)</f>
        <v>100.40809999999999</v>
      </c>
      <c r="R49" s="10">
        <f>INDEX('Data Import'!$AT$2:$AT$131,MATCH(N49&amp;"-"&amp;O49,'Data Import'!$AU$2:$AU$131,0))</f>
        <v>5</v>
      </c>
      <c r="S49" s="10" t="str">
        <f>INDEX('Data Import'!$O$2:$O$11,R49)</f>
        <v>alyssa</v>
      </c>
      <c r="T49" s="13">
        <f ca="1">SUMIF('Data Import'!$K$2:$K$1701,S49&amp;N49,'Data Import'!$I$2:$I$1531)</f>
        <v>99.743800000000007</v>
      </c>
      <c r="U49" s="14">
        <f>INDEX('Data Import'!$P$15:$AB$24,O49,N49)</f>
        <v>0.50915999999999995</v>
      </c>
      <c r="V49" s="10"/>
      <c r="W49" s="7" t="str">
        <f t="shared" si="24"/>
        <v>Wk 7 - alyssa</v>
      </c>
      <c r="X49" s="8" t="str">
        <f t="shared" ca="1" si="25"/>
        <v>100.4 - 99.7</v>
      </c>
      <c r="Y49" s="9">
        <f t="shared" si="26"/>
        <v>0.50915999999999995</v>
      </c>
      <c r="Z49" s="6"/>
      <c r="AA49" s="6"/>
    </row>
    <row r="50" spans="1:27" x14ac:dyDescent="0.25">
      <c r="A50" s="10">
        <f t="shared" si="21"/>
        <v>8</v>
      </c>
      <c r="B50" s="10">
        <f t="shared" si="22"/>
        <v>3</v>
      </c>
      <c r="C50" s="10" t="str">
        <f>INDEX('Data Import'!$O$2:$O$11,B50)</f>
        <v>breanna</v>
      </c>
      <c r="D50" s="13">
        <f ca="1">SUMIF('Data Import'!$K$2:$K$1701,C50&amp;A50,'Data Import'!$I$2:$I$1531)</f>
        <v>99.287499999999994</v>
      </c>
      <c r="E50" s="10">
        <f>INDEX('Data Import'!$AT$2:$AT$131,MATCH(A50&amp;"-"&amp;B50,'Data Import'!$AU$2:$AU$131,0))</f>
        <v>10</v>
      </c>
      <c r="F50" s="10" t="str">
        <f>INDEX('Data Import'!$O$2:$O$11,E50)</f>
        <v>paul</v>
      </c>
      <c r="G50" s="13">
        <f ca="1">SUMIF('Data Import'!$K$2:$K$1701,F50&amp;A50,'Data Import'!$I$2:$I$1531)</f>
        <v>97.461499999999987</v>
      </c>
      <c r="H50" s="14">
        <f>INDEX('Data Import'!$P$15:$AB$24,B50,A50)</f>
        <v>0.53907000000000005</v>
      </c>
      <c r="I50" s="10"/>
      <c r="J50" s="7" t="str">
        <f t="shared" si="18"/>
        <v>Wk 8 - paul</v>
      </c>
      <c r="K50" s="8" t="str">
        <f t="shared" ca="1" si="19"/>
        <v>99.3 - 97.5</v>
      </c>
      <c r="L50" s="9">
        <f t="shared" si="20"/>
        <v>0.53907000000000005</v>
      </c>
      <c r="M50" s="6"/>
      <c r="N50" s="10">
        <f t="shared" si="27"/>
        <v>8</v>
      </c>
      <c r="O50" s="10">
        <f t="shared" si="23"/>
        <v>8</v>
      </c>
      <c r="P50" s="10" t="str">
        <f>INDEX('Data Import'!$O$2:$O$11,O50)</f>
        <v>alex</v>
      </c>
      <c r="Q50" s="13">
        <f ca="1">SUMIF('Data Import'!$K$2:$K$1701,P50&amp;N50,'Data Import'!$I$2:$I$1531)</f>
        <v>101.26499999999999</v>
      </c>
      <c r="R50" s="10">
        <f>INDEX('Data Import'!$AT$2:$AT$131,MATCH(N50&amp;"-"&amp;O50,'Data Import'!$AU$2:$AU$131,0))</f>
        <v>1</v>
      </c>
      <c r="S50" s="10" t="str">
        <f>INDEX('Data Import'!$O$2:$O$11,R50)</f>
        <v>andrew</v>
      </c>
      <c r="T50" s="13">
        <f ca="1">SUMIF('Data Import'!$K$2:$K$1701,S50&amp;N50,'Data Import'!$I$2:$I$1531)</f>
        <v>104.90860000000001</v>
      </c>
      <c r="U50" s="14">
        <f>INDEX('Data Import'!$P$15:$AB$24,O50,N50)</f>
        <v>0.44550000000000001</v>
      </c>
      <c r="V50" s="10"/>
      <c r="W50" s="7" t="str">
        <f t="shared" si="24"/>
        <v>Wk 8 - andrew</v>
      </c>
      <c r="X50" s="8" t="str">
        <f t="shared" ca="1" si="25"/>
        <v>101.3 - 104.9</v>
      </c>
      <c r="Y50" s="9">
        <f t="shared" si="26"/>
        <v>0.44550000000000001</v>
      </c>
      <c r="Z50" s="6"/>
      <c r="AA50" s="6"/>
    </row>
    <row r="51" spans="1:27" x14ac:dyDescent="0.25">
      <c r="A51" s="10">
        <f t="shared" si="21"/>
        <v>9</v>
      </c>
      <c r="B51" s="10">
        <f t="shared" si="22"/>
        <v>3</v>
      </c>
      <c r="C51" s="10" t="str">
        <f>INDEX('Data Import'!$O$2:$O$11,B51)</f>
        <v>breanna</v>
      </c>
      <c r="D51" s="13">
        <f ca="1">SUMIF('Data Import'!$K$2:$K$1701,C51&amp;A51,'Data Import'!$I$2:$I$1531)</f>
        <v>96.595699999999994</v>
      </c>
      <c r="E51" s="10">
        <f>INDEX('Data Import'!$AT$2:$AT$131,MATCH(A51&amp;"-"&amp;B51,'Data Import'!$AU$2:$AU$131,0))</f>
        <v>5</v>
      </c>
      <c r="F51" s="10" t="str">
        <f>INDEX('Data Import'!$O$2:$O$11,E51)</f>
        <v>alyssa</v>
      </c>
      <c r="G51" s="13">
        <f ca="1">SUMIF('Data Import'!$K$2:$K$1701,F51&amp;A51,'Data Import'!$I$2:$I$1531)</f>
        <v>99.310599999999994</v>
      </c>
      <c r="H51" s="14">
        <f>INDEX('Data Import'!$P$15:$AB$24,B51,A51)</f>
        <v>0.46367999999999998</v>
      </c>
      <c r="I51" s="10"/>
      <c r="J51" s="7" t="str">
        <f t="shared" si="18"/>
        <v>Wk 9 - alyssa</v>
      </c>
      <c r="K51" s="8" t="str">
        <f t="shared" ca="1" si="19"/>
        <v>96.6 - 99.3</v>
      </c>
      <c r="L51" s="9">
        <f t="shared" si="20"/>
        <v>0.46367999999999998</v>
      </c>
      <c r="M51" s="6"/>
      <c r="N51" s="10">
        <f t="shared" si="27"/>
        <v>9</v>
      </c>
      <c r="O51" s="10">
        <f t="shared" si="23"/>
        <v>8</v>
      </c>
      <c r="P51" s="10" t="str">
        <f>INDEX('Data Import'!$O$2:$O$11,O51)</f>
        <v>alex</v>
      </c>
      <c r="Q51" s="13">
        <f ca="1">SUMIF('Data Import'!$K$2:$K$1701,P51&amp;N51,'Data Import'!$I$2:$I$1531)</f>
        <v>98.580600000000004</v>
      </c>
      <c r="R51" s="10">
        <f>INDEX('Data Import'!$AT$2:$AT$131,MATCH(N51&amp;"-"&amp;O51,'Data Import'!$AU$2:$AU$131,0))</f>
        <v>2</v>
      </c>
      <c r="S51" s="10" t="str">
        <f>INDEX('Data Import'!$O$2:$O$11,R51)</f>
        <v>jake</v>
      </c>
      <c r="T51" s="13">
        <f ca="1">SUMIF('Data Import'!$K$2:$K$1701,S51&amp;N51,'Data Import'!$I$2:$I$1531)</f>
        <v>84.629000000000019</v>
      </c>
      <c r="U51" s="14">
        <f>INDEX('Data Import'!$P$15:$AB$24,O51,N51)</f>
        <v>0.70665999999999995</v>
      </c>
      <c r="V51" s="10"/>
      <c r="W51" s="7" t="str">
        <f t="shared" si="24"/>
        <v>Wk 9 - jake</v>
      </c>
      <c r="X51" s="8" t="str">
        <f t="shared" ca="1" si="25"/>
        <v>98.6 - 84.6</v>
      </c>
      <c r="Y51" s="9">
        <f t="shared" si="26"/>
        <v>0.70665999999999995</v>
      </c>
      <c r="Z51" s="6"/>
      <c r="AA51" s="6"/>
    </row>
    <row r="52" spans="1:27" x14ac:dyDescent="0.25">
      <c r="A52" s="10">
        <f t="shared" si="21"/>
        <v>10</v>
      </c>
      <c r="B52" s="10">
        <f t="shared" si="22"/>
        <v>3</v>
      </c>
      <c r="C52" s="10" t="str">
        <f>INDEX('Data Import'!$O$2:$O$11,B52)</f>
        <v>breanna</v>
      </c>
      <c r="D52" s="13">
        <f ca="1">SUMIF('Data Import'!$K$2:$K$1701,C52&amp;A52,'Data Import'!$I$2:$I$1531)</f>
        <v>96.891999999999996</v>
      </c>
      <c r="E52" s="10">
        <f>INDEX('Data Import'!$AT$2:$AT$131,MATCH(A52&amp;"-"&amp;B52,'Data Import'!$AU$2:$AU$131,0))</f>
        <v>2</v>
      </c>
      <c r="F52" s="10" t="str">
        <f>INDEX('Data Import'!$O$2:$O$11,E52)</f>
        <v>jake</v>
      </c>
      <c r="G52" s="13">
        <f ca="1">SUMIF('Data Import'!$K$2:$K$1701,F52&amp;A52,'Data Import'!$I$2:$I$1531)</f>
        <v>104.3887</v>
      </c>
      <c r="H52" s="14">
        <f>INDEX('Data Import'!$P$15:$AB$24,B52,A52)</f>
        <v>0.38925999999999999</v>
      </c>
      <c r="I52" s="10"/>
      <c r="J52" s="7" t="str">
        <f t="shared" si="18"/>
        <v>Wk 10 - jake</v>
      </c>
      <c r="K52" s="8" t="str">
        <f t="shared" ca="1" si="19"/>
        <v>96.9 - 104.4</v>
      </c>
      <c r="L52" s="9">
        <f t="shared" si="20"/>
        <v>0.38925999999999999</v>
      </c>
      <c r="M52" s="6"/>
      <c r="N52" s="10">
        <f t="shared" si="27"/>
        <v>10</v>
      </c>
      <c r="O52" s="10">
        <f t="shared" si="23"/>
        <v>8</v>
      </c>
      <c r="P52" s="10" t="str">
        <f>INDEX('Data Import'!$O$2:$O$11,O52)</f>
        <v>alex</v>
      </c>
      <c r="Q52" s="13">
        <f ca="1">SUMIF('Data Import'!$K$2:$K$1701,P52&amp;N52,'Data Import'!$I$2:$I$1531)</f>
        <v>96.670599999999993</v>
      </c>
      <c r="R52" s="10">
        <f>INDEX('Data Import'!$AT$2:$AT$131,MATCH(N52&amp;"-"&amp;O52,'Data Import'!$AU$2:$AU$131,0))</f>
        <v>9</v>
      </c>
      <c r="S52" s="10" t="str">
        <f>INDEX('Data Import'!$O$2:$O$11,R52)</f>
        <v>colin</v>
      </c>
      <c r="T52" s="13">
        <f ca="1">SUMIF('Data Import'!$K$2:$K$1701,S52&amp;N52,'Data Import'!$I$2:$I$1531)</f>
        <v>89.691999999999993</v>
      </c>
      <c r="U52" s="14">
        <f>INDEX('Data Import'!$P$15:$AB$24,O52,N52)</f>
        <v>0.61107</v>
      </c>
      <c r="V52" s="10"/>
      <c r="W52" s="7" t="str">
        <f t="shared" si="24"/>
        <v>Wk 10 - colin</v>
      </c>
      <c r="X52" s="8" t="str">
        <f t="shared" ca="1" si="25"/>
        <v>96.7 - 89.7</v>
      </c>
      <c r="Y52" s="9">
        <f t="shared" si="26"/>
        <v>0.61107</v>
      </c>
      <c r="Z52" s="6"/>
      <c r="AA52" s="6"/>
    </row>
    <row r="53" spans="1:27" x14ac:dyDescent="0.25">
      <c r="A53" s="10">
        <f t="shared" si="21"/>
        <v>11</v>
      </c>
      <c r="B53" s="10">
        <f t="shared" si="22"/>
        <v>3</v>
      </c>
      <c r="C53" s="10" t="str">
        <f>INDEX('Data Import'!$O$2:$O$11,B53)</f>
        <v>breanna</v>
      </c>
      <c r="D53" s="13">
        <f ca="1">SUMIF('Data Import'!$K$2:$K$1701,C53&amp;A53,'Data Import'!$I$2:$I$1531)</f>
        <v>96.912499999999994</v>
      </c>
      <c r="E53" s="10">
        <f>INDEX('Data Import'!$AT$2:$AT$131,MATCH(A53&amp;"-"&amp;B53,'Data Import'!$AU$2:$AU$131,0))</f>
        <v>9</v>
      </c>
      <c r="F53" s="10" t="str">
        <f>INDEX('Data Import'!$O$2:$O$11,E53)</f>
        <v>colin</v>
      </c>
      <c r="G53" s="13">
        <f ca="1">SUMIF('Data Import'!$K$2:$K$1701,F53&amp;A53,'Data Import'!$I$2:$I$1531)</f>
        <v>80.660600000000002</v>
      </c>
      <c r="H53" s="14">
        <f>INDEX('Data Import'!$P$15:$AB$24,B53,A53)</f>
        <v>0.74355000000000004</v>
      </c>
      <c r="I53" s="10"/>
      <c r="J53" s="7" t="str">
        <f t="shared" si="18"/>
        <v>Wk 11 - colin</v>
      </c>
      <c r="K53" s="8" t="str">
        <f t="shared" ca="1" si="19"/>
        <v>96.9 - 80.7</v>
      </c>
      <c r="L53" s="9">
        <f t="shared" si="20"/>
        <v>0.74355000000000004</v>
      </c>
      <c r="M53" s="6"/>
      <c r="N53" s="10">
        <f t="shared" si="27"/>
        <v>11</v>
      </c>
      <c r="O53" s="10">
        <f t="shared" si="23"/>
        <v>8</v>
      </c>
      <c r="P53" s="10" t="str">
        <f>INDEX('Data Import'!$O$2:$O$11,O53)</f>
        <v>alex</v>
      </c>
      <c r="Q53" s="13">
        <f ca="1">SUMIF('Data Import'!$K$2:$K$1701,P53&amp;N53,'Data Import'!$I$2:$I$1531)</f>
        <v>106.67549999999999</v>
      </c>
      <c r="R53" s="10">
        <f>INDEX('Data Import'!$AT$2:$AT$131,MATCH(N53&amp;"-"&amp;O53,'Data Import'!$AU$2:$AU$131,0))</f>
        <v>6</v>
      </c>
      <c r="S53" s="10" t="str">
        <f>INDEX('Data Import'!$O$2:$O$11,R53)</f>
        <v>chris</v>
      </c>
      <c r="T53" s="13">
        <f ca="1">SUMIF('Data Import'!$K$2:$K$1701,S53&amp;N53,'Data Import'!$I$2:$I$1531)</f>
        <v>95.036500000000004</v>
      </c>
      <c r="U53" s="14">
        <f>INDEX('Data Import'!$P$15:$AB$24,O53,N53)</f>
        <v>0.65908999999999995</v>
      </c>
      <c r="V53" s="10"/>
      <c r="W53" s="7" t="str">
        <f t="shared" si="24"/>
        <v>Wk 11 - chris</v>
      </c>
      <c r="X53" s="8" t="str">
        <f t="shared" ca="1" si="25"/>
        <v>106.7 - 95.0</v>
      </c>
      <c r="Y53" s="9">
        <f t="shared" si="26"/>
        <v>0.65908999999999995</v>
      </c>
      <c r="Z53" s="6"/>
      <c r="AA53" s="6"/>
    </row>
    <row r="54" spans="1:27" x14ac:dyDescent="0.25">
      <c r="A54" s="10">
        <f t="shared" si="21"/>
        <v>12</v>
      </c>
      <c r="B54" s="10">
        <f t="shared" si="22"/>
        <v>3</v>
      </c>
      <c r="C54" s="10" t="str">
        <f>INDEX('Data Import'!$O$2:$O$11,B54)</f>
        <v>breanna</v>
      </c>
      <c r="D54" s="13">
        <f ca="1">SUMIF('Data Import'!$K$2:$K$1701,C54&amp;A54,'Data Import'!$I$2:$I$1531)</f>
        <v>93.240200000000002</v>
      </c>
      <c r="E54" s="10">
        <f>INDEX('Data Import'!$AT$2:$AT$131,MATCH(A54&amp;"-"&amp;B54,'Data Import'!$AU$2:$AU$131,0))</f>
        <v>1</v>
      </c>
      <c r="F54" s="10" t="str">
        <f>INDEX('Data Import'!$O$2:$O$11,E54)</f>
        <v>andrew</v>
      </c>
      <c r="G54" s="13">
        <f ca="1">SUMIF('Data Import'!$K$2:$K$1701,F54&amp;A54,'Data Import'!$I$2:$I$1531)</f>
        <v>103.9786</v>
      </c>
      <c r="H54" s="14">
        <f>INDEX('Data Import'!$P$15:$AB$24,B54,A54)</f>
        <v>0.35110999999999998</v>
      </c>
      <c r="I54" s="10"/>
      <c r="J54" s="7" t="str">
        <f t="shared" si="18"/>
        <v>Wk 12 - andrew</v>
      </c>
      <c r="K54" s="8" t="str">
        <f t="shared" ca="1" si="19"/>
        <v>93.2 - 104.0</v>
      </c>
      <c r="L54" s="9">
        <f t="shared" si="20"/>
        <v>0.35110999999999998</v>
      </c>
      <c r="M54" s="6"/>
      <c r="N54" s="10">
        <f t="shared" si="27"/>
        <v>12</v>
      </c>
      <c r="O54" s="10">
        <f t="shared" si="23"/>
        <v>8</v>
      </c>
      <c r="P54" s="10" t="str">
        <f>INDEX('Data Import'!$O$2:$O$11,O54)</f>
        <v>alex</v>
      </c>
      <c r="Q54" s="13">
        <f ca="1">SUMIF('Data Import'!$K$2:$K$1701,P54&amp;N54,'Data Import'!$I$2:$I$1531)</f>
        <v>105.46860000000001</v>
      </c>
      <c r="R54" s="10">
        <f>INDEX('Data Import'!$AT$2:$AT$131,MATCH(N54&amp;"-"&amp;O54,'Data Import'!$AU$2:$AU$131,0))</f>
        <v>7</v>
      </c>
      <c r="S54" s="10" t="str">
        <f>INDEX('Data Import'!$O$2:$O$11,R54)</f>
        <v>jordan</v>
      </c>
      <c r="T54" s="13">
        <f ca="1">SUMIF('Data Import'!$K$2:$K$1701,S54&amp;N54,'Data Import'!$I$2:$I$1531)</f>
        <v>96.542899999999989</v>
      </c>
      <c r="U54" s="14">
        <f>INDEX('Data Import'!$P$15:$AB$24,O54,N54)</f>
        <v>0.61582000000000003</v>
      </c>
      <c r="V54" s="10"/>
      <c r="W54" s="7" t="str">
        <f t="shared" si="24"/>
        <v>Wk 12 - jordan</v>
      </c>
      <c r="X54" s="8" t="str">
        <f t="shared" ca="1" si="25"/>
        <v>105.5 - 96.5</v>
      </c>
      <c r="Y54" s="9">
        <f t="shared" si="26"/>
        <v>0.61582000000000003</v>
      </c>
      <c r="Z54" s="6"/>
      <c r="AA54" s="6"/>
    </row>
    <row r="55" spans="1:27" x14ac:dyDescent="0.25">
      <c r="A55" s="10">
        <f t="shared" si="21"/>
        <v>13</v>
      </c>
      <c r="B55" s="10">
        <f t="shared" si="22"/>
        <v>3</v>
      </c>
      <c r="C55" s="10" t="str">
        <f>INDEX('Data Import'!$O$2:$O$11,B55)</f>
        <v>breanna</v>
      </c>
      <c r="D55" s="13">
        <f ca="1">SUMIF('Data Import'!$K$2:$K$1701,C55&amp;A55,'Data Import'!$I$2:$I$1531)</f>
        <v>100.38460000000001</v>
      </c>
      <c r="E55" s="10">
        <f>INDEX('Data Import'!$AT$2:$AT$131,MATCH(A55&amp;"-"&amp;B55,'Data Import'!$AU$2:$AU$131,0))</f>
        <v>4</v>
      </c>
      <c r="F55" s="10" t="str">
        <f>INDEX('Data Import'!$O$2:$O$11,E55)</f>
        <v>joseph</v>
      </c>
      <c r="G55" s="13">
        <f ca="1">SUMIF('Data Import'!$K$2:$K$1701,F55&amp;A55,'Data Import'!$I$2:$I$1531)</f>
        <v>104.13669999999999</v>
      </c>
      <c r="H55" s="14">
        <f>INDEX('Data Import'!$P$15:$AB$24,B55,A55)</f>
        <v>0.45213999999999999</v>
      </c>
      <c r="I55" s="10"/>
      <c r="J55" s="7" t="str">
        <f t="shared" si="18"/>
        <v>Wk 13 - joseph</v>
      </c>
      <c r="K55" s="8" t="str">
        <f t="shared" ca="1" si="19"/>
        <v>100.4 - 104.1</v>
      </c>
      <c r="L55" s="9">
        <f t="shared" si="20"/>
        <v>0.45213999999999999</v>
      </c>
      <c r="M55" s="6"/>
      <c r="N55" s="10">
        <f>N54+1</f>
        <v>13</v>
      </c>
      <c r="O55" s="10">
        <f t="shared" si="23"/>
        <v>8</v>
      </c>
      <c r="P55" s="10" t="str">
        <f>INDEX('Data Import'!$O$2:$O$11,O55)</f>
        <v>alex</v>
      </c>
      <c r="Q55" s="13">
        <f ca="1">SUMIF('Data Import'!$K$2:$K$1701,P55&amp;N55,'Data Import'!$I$2:$I$1531)</f>
        <v>102.2598</v>
      </c>
      <c r="R55" s="10">
        <f>INDEX('Data Import'!$AT$2:$AT$131,MATCH(N55&amp;"-"&amp;O55,'Data Import'!$AU$2:$AU$131,0))</f>
        <v>10</v>
      </c>
      <c r="S55" s="10" t="str">
        <f>INDEX('Data Import'!$O$2:$O$11,R55)</f>
        <v>paul</v>
      </c>
      <c r="T55" s="13">
        <f ca="1">SUMIF('Data Import'!$K$2:$K$1701,S55&amp;N55,'Data Import'!$I$2:$I$1531)</f>
        <v>104.59950000000001</v>
      </c>
      <c r="U55" s="14">
        <f>INDEX('Data Import'!$P$15:$AB$24,O55,N55)</f>
        <v>0.46549000000000001</v>
      </c>
      <c r="V55" s="10"/>
      <c r="W55" s="7" t="str">
        <f>"Wk "&amp;N55&amp;" - "&amp;S55</f>
        <v>Wk 13 - paul</v>
      </c>
      <c r="X55" s="8" t="str">
        <f ca="1">TEXT(Q55,"0.0")&amp;" - "&amp;TEXT(T55,"0.0")</f>
        <v>102.3 - 104.6</v>
      </c>
      <c r="Y55" s="9">
        <f>U55</f>
        <v>0.46549000000000001</v>
      </c>
      <c r="Z55" s="6"/>
      <c r="AA55" s="6"/>
    </row>
    <row r="56" spans="1:27" x14ac:dyDescent="0.25">
      <c r="A56" s="10">
        <f t="shared" si="21"/>
        <v>14</v>
      </c>
      <c r="B56" s="10">
        <f t="shared" si="22"/>
        <v>3</v>
      </c>
      <c r="C56" s="10" t="str">
        <f>INDEX('Data Import'!$O$2:$O$11,B56)</f>
        <v>breanna</v>
      </c>
      <c r="D56" s="13">
        <f ca="1">SUMIF('Data Import'!$K$2:$K$1701,C56&amp;A56,'Data Import'!$I$2:$I$1531)</f>
        <v>103.03099999999999</v>
      </c>
      <c r="E56" s="10" t="e">
        <f>INDEX('Data Import'!$AT$2:$AT$131,MATCH(A56&amp;"-"&amp;B56,'Data Import'!$AU$2:$AU$131,0))</f>
        <v>#N/A</v>
      </c>
      <c r="F56" s="10" t="e">
        <f>INDEX('Data Import'!$O$2:$O$11,E56)</f>
        <v>#N/A</v>
      </c>
      <c r="G56" s="13">
        <f ca="1">SUMIF('Data Import'!$K$2:$K$1701,F56&amp;A56,'Data Import'!$I$2:$I$1531)</f>
        <v>0</v>
      </c>
      <c r="H56" s="14"/>
      <c r="I56" s="10"/>
      <c r="J56" s="7" t="s">
        <v>112</v>
      </c>
      <c r="K56" s="8"/>
      <c r="L56" s="9">
        <f>VALUE(H57)</f>
        <v>0.10425</v>
      </c>
      <c r="M56" s="6"/>
      <c r="N56" s="10">
        <f>N55+1</f>
        <v>14</v>
      </c>
      <c r="O56" s="10">
        <f t="shared" si="23"/>
        <v>8</v>
      </c>
      <c r="P56" s="10" t="str">
        <f>INDEX('Data Import'!$O$2:$O$11,O56)</f>
        <v>alex</v>
      </c>
      <c r="Q56" s="13">
        <f ca="1">SUMIF('Data Import'!$K$2:$K$1701,P56&amp;N56,'Data Import'!$I$2:$I$1531)</f>
        <v>102.4487</v>
      </c>
      <c r="R56" s="10" t="e">
        <f>INDEX('Data Import'!$AT$2:$AT$131,MATCH(N56&amp;"-"&amp;O56,'Data Import'!$AU$2:$AU$131,0))</f>
        <v>#N/A</v>
      </c>
      <c r="S56" s="10" t="e">
        <f>INDEX('Data Import'!$O$2:$O$11,R56)</f>
        <v>#N/A</v>
      </c>
      <c r="T56" s="13">
        <f ca="1">SUMIF('Data Import'!$K$2:$K$1701,S56&amp;N56,'Data Import'!$I$2:$I$1531)</f>
        <v>0</v>
      </c>
      <c r="U56" s="14"/>
      <c r="V56" s="10"/>
      <c r="W56" s="7" t="s">
        <v>112</v>
      </c>
      <c r="X56" s="8"/>
      <c r="Y56" s="9">
        <f>VALUE(U57)</f>
        <v>0.52193999999999996</v>
      </c>
      <c r="Z56" s="6"/>
      <c r="AA56" s="6"/>
    </row>
    <row r="57" spans="1:27" ht="15.75" thickBot="1" x14ac:dyDescent="0.3">
      <c r="A57" s="10">
        <f t="shared" si="21"/>
        <v>15</v>
      </c>
      <c r="B57" s="10">
        <f t="shared" si="22"/>
        <v>3</v>
      </c>
      <c r="C57" s="10" t="str">
        <f>INDEX('Data Import'!$O$2:$O$11,B57)</f>
        <v>breanna</v>
      </c>
      <c r="D57" s="13">
        <f ca="1">SUMIF('Data Import'!$K$2:$K$1701,C57&amp;A57,'Data Import'!$I$2:$I$1531)</f>
        <v>100.92099999999999</v>
      </c>
      <c r="E57" s="10" t="e">
        <f>INDEX('Data Import'!$AT$2:$AT$131,MATCH(A57&amp;"-"&amp;B57,'Data Import'!$AU$2:$AU$131,0))</f>
        <v>#N/A</v>
      </c>
      <c r="F57" s="10" t="e">
        <f>INDEX('Data Import'!$O$2:$O$11,E57)</f>
        <v>#N/A</v>
      </c>
      <c r="G57" s="13">
        <f ca="1">SUMIF('Data Import'!$K$2:$K$1701,F57&amp;A57,'Data Import'!$I$2:$I$1531)</f>
        <v>0</v>
      </c>
      <c r="H57" s="14" t="str">
        <f>INDEX('Data Import'!$P$2:$AG$11,B57,A57)</f>
        <v>0.10425</v>
      </c>
      <c r="I57" s="10"/>
      <c r="J57" s="7" t="s">
        <v>113</v>
      </c>
      <c r="K57" s="15">
        <f ca="1">SUM(D56:D57)</f>
        <v>203.952</v>
      </c>
      <c r="L57" s="17">
        <f>VALUE(H58)</f>
        <v>3.9750000000000001E-2</v>
      </c>
      <c r="M57" s="6"/>
      <c r="N57" s="10">
        <f>N56+1</f>
        <v>15</v>
      </c>
      <c r="O57" s="10">
        <f t="shared" si="23"/>
        <v>8</v>
      </c>
      <c r="P57" s="10" t="str">
        <f>INDEX('Data Import'!$O$2:$O$11,O57)</f>
        <v>alex</v>
      </c>
      <c r="Q57" s="13">
        <f ca="1">SUMIF('Data Import'!$K$2:$K$1701,P57&amp;N57,'Data Import'!$I$2:$I$1531)</f>
        <v>110.6</v>
      </c>
      <c r="R57" s="10" t="e">
        <f>INDEX('Data Import'!$AT$2:$AT$131,MATCH(N57&amp;"-"&amp;O57,'Data Import'!$AU$2:$AU$131,0))</f>
        <v>#N/A</v>
      </c>
      <c r="S57" s="10" t="e">
        <f>INDEX('Data Import'!$O$2:$O$11,R57)</f>
        <v>#N/A</v>
      </c>
      <c r="T57" s="13">
        <f ca="1">SUMIF('Data Import'!$K$2:$K$1701,S57&amp;N57,'Data Import'!$I$2:$I$1531)</f>
        <v>0</v>
      </c>
      <c r="U57" s="14" t="str">
        <f>INDEX('Data Import'!$P$2:$AG$11,O57,N57)</f>
        <v>0.52194</v>
      </c>
      <c r="V57" s="10"/>
      <c r="W57" s="7" t="s">
        <v>113</v>
      </c>
      <c r="X57" s="15">
        <f ca="1">SUM(Q56:Q57)</f>
        <v>213.0487</v>
      </c>
      <c r="Y57" s="17">
        <f>VALUE(U58)</f>
        <v>0.32273000000000002</v>
      </c>
      <c r="Z57" s="6"/>
      <c r="AA57" s="6"/>
    </row>
    <row r="58" spans="1:27" ht="15.75" thickBot="1" x14ac:dyDescent="0.3">
      <c r="A58" s="10">
        <f t="shared" si="21"/>
        <v>16</v>
      </c>
      <c r="B58" s="10">
        <f t="shared" si="22"/>
        <v>3</v>
      </c>
      <c r="C58" s="10" t="str">
        <f>INDEX('Data Import'!$O$2:$O$11,B58)</f>
        <v>breanna</v>
      </c>
      <c r="D58" s="13">
        <f ca="1">SUMIF('Data Import'!$K$2:$K$1701,C58&amp;A58,'Data Import'!$I$2:$I$1531)</f>
        <v>99.657499999999999</v>
      </c>
      <c r="E58" s="10" t="e">
        <f>INDEX('Data Import'!$AT$2:$AT$131,MATCH(A58&amp;"-"&amp;B58,'Data Import'!$AU$2:$AU$131,0))</f>
        <v>#N/A</v>
      </c>
      <c r="F58" s="10" t="e">
        <f>INDEX('Data Import'!$O$2:$O$11,E58)</f>
        <v>#N/A</v>
      </c>
      <c r="G58" s="13">
        <f ca="1">SUMIF('Data Import'!$K$2:$K$1701,F58&amp;A58,'Data Import'!$I$2:$I$1531)</f>
        <v>0</v>
      </c>
      <c r="H58" s="14" t="str">
        <f>INDEX('Data Import'!$P$2:$AG$11,B58,A58+1)</f>
        <v>0.03975</v>
      </c>
      <c r="I58" s="10"/>
      <c r="J58" s="7" t="s">
        <v>114</v>
      </c>
      <c r="K58" s="16">
        <f ca="1">SUM(D58:D59)</f>
        <v>202.0977</v>
      </c>
      <c r="L58" s="18">
        <f>VALUE(H59)</f>
        <v>1.3559999999999999E-2</v>
      </c>
      <c r="M58" s="6"/>
      <c r="N58" s="10">
        <f>N57+1</f>
        <v>16</v>
      </c>
      <c r="O58" s="10">
        <f t="shared" si="23"/>
        <v>8</v>
      </c>
      <c r="P58" s="10" t="str">
        <f>INDEX('Data Import'!$O$2:$O$11,O58)</f>
        <v>alex</v>
      </c>
      <c r="Q58" s="13">
        <f ca="1">SUMIF('Data Import'!$K$2:$K$1701,P58&amp;N58,'Data Import'!$I$2:$I$1531)</f>
        <v>108.3503</v>
      </c>
      <c r="R58" s="10" t="e">
        <f>INDEX('Data Import'!$AT$2:$AT$131,MATCH(N58&amp;"-"&amp;O58,'Data Import'!$AU$2:$AU$131,0))</f>
        <v>#N/A</v>
      </c>
      <c r="S58" s="10" t="e">
        <f>INDEX('Data Import'!$O$2:$O$11,R58)</f>
        <v>#N/A</v>
      </c>
      <c r="T58" s="13">
        <f ca="1">SUMIF('Data Import'!$K$2:$K$1701,S58&amp;N58,'Data Import'!$I$2:$I$1531)</f>
        <v>0</v>
      </c>
      <c r="U58" s="14" t="str">
        <f>INDEX('Data Import'!$P$2:$AG$11,O58,N58+1)</f>
        <v>0.32273</v>
      </c>
      <c r="V58" s="10"/>
      <c r="W58" s="7" t="s">
        <v>114</v>
      </c>
      <c r="X58" s="16">
        <f ca="1">SUM(Q58:Q59)</f>
        <v>211.10700000000003</v>
      </c>
      <c r="Y58" s="18">
        <f>VALUE(U59)</f>
        <v>0.17102000000000001</v>
      </c>
      <c r="Z58" s="6"/>
      <c r="AA58" s="6"/>
    </row>
    <row r="59" spans="1:27" x14ac:dyDescent="0.25">
      <c r="A59" s="10">
        <f t="shared" si="21"/>
        <v>17</v>
      </c>
      <c r="B59" s="10">
        <f t="shared" si="22"/>
        <v>3</v>
      </c>
      <c r="C59" s="10" t="str">
        <f>INDEX('Data Import'!$O$2:$O$11,B59)</f>
        <v>breanna</v>
      </c>
      <c r="D59" s="13">
        <f ca="1">SUMIF('Data Import'!$K$2:$K$1701,C59&amp;A59,'Data Import'!$I$2:$I$1531)</f>
        <v>102.4402</v>
      </c>
      <c r="E59" s="10" t="e">
        <f>INDEX('Data Import'!$AT$2:$AT$131,MATCH(A59&amp;"-"&amp;B59,'Data Import'!$AU$2:$AU$131,0))</f>
        <v>#N/A</v>
      </c>
      <c r="F59" s="10" t="e">
        <f>INDEX('Data Import'!$O$2:$O$11,E59)</f>
        <v>#N/A</v>
      </c>
      <c r="G59" s="13">
        <f ca="1">SUMIF('Data Import'!$K$2:$K$1701,F59&amp;A59,'Data Import'!$I$2:$I$1531)</f>
        <v>0</v>
      </c>
      <c r="H59" s="14" t="str">
        <f>INDEX('Data Import'!$P$2:$AG$11,B59,A59+1)</f>
        <v>0.01356</v>
      </c>
      <c r="I59" s="10"/>
      <c r="J59" s="10"/>
      <c r="K59" s="11"/>
      <c r="L59" s="12"/>
      <c r="M59" s="6"/>
      <c r="N59" s="10">
        <f>N58+1</f>
        <v>17</v>
      </c>
      <c r="O59" s="10">
        <f t="shared" si="23"/>
        <v>8</v>
      </c>
      <c r="P59" s="10" t="str">
        <f>INDEX('Data Import'!$O$2:$O$11,O59)</f>
        <v>alex</v>
      </c>
      <c r="Q59" s="13">
        <f ca="1">SUMIF('Data Import'!$K$2:$K$1701,P59&amp;N59,'Data Import'!$I$2:$I$1531)</f>
        <v>102.75670000000001</v>
      </c>
      <c r="R59" s="10" t="e">
        <f>INDEX('Data Import'!$AT$2:$AT$131,MATCH(N59&amp;"-"&amp;O59,'Data Import'!$AU$2:$AU$131,0))</f>
        <v>#N/A</v>
      </c>
      <c r="S59" s="10" t="e">
        <f>INDEX('Data Import'!$O$2:$O$11,R59)</f>
        <v>#N/A</v>
      </c>
      <c r="T59" s="13">
        <f ca="1">SUMIF('Data Import'!$K$2:$K$1701,S59&amp;N59,'Data Import'!$I$2:$I$1531)</f>
        <v>0</v>
      </c>
      <c r="U59" s="14" t="str">
        <f>INDEX('Data Import'!$P$2:$AG$11,O59,N59+1)</f>
        <v>0.17102</v>
      </c>
      <c r="V59" s="10"/>
      <c r="W59" s="10"/>
      <c r="X59" s="11"/>
      <c r="Y59" s="12"/>
      <c r="Z59" s="6"/>
      <c r="AA59" s="6"/>
    </row>
    <row r="60" spans="1:27" x14ac:dyDescent="0.25">
      <c r="A60" s="10"/>
      <c r="B60" s="10"/>
      <c r="C60" s="10"/>
      <c r="D60" s="10"/>
      <c r="E60" s="10"/>
      <c r="F60" s="10"/>
      <c r="G60" s="10"/>
      <c r="H60" s="10"/>
      <c r="I60" s="10"/>
      <c r="J60" s="10"/>
      <c r="K60" s="10"/>
      <c r="L60" s="10"/>
      <c r="M60" s="6"/>
      <c r="N60" s="6"/>
      <c r="O60" s="10"/>
      <c r="P60" s="6"/>
      <c r="Q60" s="6"/>
      <c r="R60" s="6"/>
      <c r="S60" s="6"/>
      <c r="T60" s="6"/>
      <c r="U60" s="6"/>
      <c r="V60" s="6"/>
      <c r="W60" s="6"/>
      <c r="X60" s="6"/>
      <c r="Y60" s="6"/>
      <c r="Z60" s="6"/>
      <c r="AA60" s="6"/>
    </row>
    <row r="61" spans="1:27" ht="21" x14ac:dyDescent="0.35">
      <c r="A61" s="10"/>
      <c r="B61" s="10"/>
      <c r="C61" s="10"/>
      <c r="D61" s="10"/>
      <c r="E61" s="10"/>
      <c r="F61" s="10"/>
      <c r="G61" s="10"/>
      <c r="H61" s="10"/>
      <c r="I61" s="10"/>
      <c r="J61" s="98" t="str">
        <f>C63</f>
        <v>joseph</v>
      </c>
      <c r="K61" s="98"/>
      <c r="L61" s="98"/>
      <c r="M61" s="10"/>
      <c r="N61" s="10"/>
      <c r="O61" s="10"/>
      <c r="P61" s="10"/>
      <c r="Q61" s="10"/>
      <c r="R61" s="10"/>
      <c r="S61" s="10"/>
      <c r="T61" s="10"/>
      <c r="U61" s="10"/>
      <c r="V61" s="10"/>
      <c r="W61" s="98" t="str">
        <f>P63</f>
        <v>colin</v>
      </c>
      <c r="X61" s="98"/>
      <c r="Y61" s="98"/>
      <c r="Z61" s="6"/>
      <c r="AA61" s="6"/>
    </row>
    <row r="62" spans="1:27" x14ac:dyDescent="0.25">
      <c r="A62" s="10" t="s">
        <v>99</v>
      </c>
      <c r="B62" s="10" t="s">
        <v>102</v>
      </c>
      <c r="C62" s="10" t="s">
        <v>103</v>
      </c>
      <c r="D62" s="10" t="s">
        <v>104</v>
      </c>
      <c r="E62" s="10" t="s">
        <v>105</v>
      </c>
      <c r="F62" s="10" t="s">
        <v>101</v>
      </c>
      <c r="G62" s="10" t="s">
        <v>107</v>
      </c>
      <c r="H62" s="10" t="s">
        <v>109</v>
      </c>
      <c r="I62" s="10"/>
      <c r="J62" s="8" t="s">
        <v>110</v>
      </c>
      <c r="K62" s="8" t="s">
        <v>111</v>
      </c>
      <c r="L62" s="7" t="s">
        <v>108</v>
      </c>
      <c r="M62" s="10"/>
      <c r="N62" s="10" t="s">
        <v>99</v>
      </c>
      <c r="O62" s="10" t="s">
        <v>102</v>
      </c>
      <c r="P62" s="10" t="s">
        <v>103</v>
      </c>
      <c r="Q62" s="10" t="s">
        <v>104</v>
      </c>
      <c r="R62" s="10" t="s">
        <v>105</v>
      </c>
      <c r="S62" s="10" t="s">
        <v>101</v>
      </c>
      <c r="T62" s="10" t="s">
        <v>107</v>
      </c>
      <c r="U62" s="10" t="s">
        <v>109</v>
      </c>
      <c r="V62" s="10"/>
      <c r="W62" s="8" t="s">
        <v>110</v>
      </c>
      <c r="X62" s="8" t="s">
        <v>111</v>
      </c>
      <c r="Y62" s="7" t="s">
        <v>108</v>
      </c>
      <c r="Z62" s="6"/>
      <c r="AA62" s="6"/>
    </row>
    <row r="63" spans="1:27" x14ac:dyDescent="0.25">
      <c r="A63" s="10">
        <v>1</v>
      </c>
      <c r="B63" s="10">
        <f>B43+1</f>
        <v>4</v>
      </c>
      <c r="C63" s="10" t="str">
        <f>INDEX('Data Import'!$O$2:$O$11,B63)</f>
        <v>joseph</v>
      </c>
      <c r="D63" s="13">
        <f ca="1">SUMIF('Data Import'!$K$2:$K$1701,C63&amp;A63,'Data Import'!$I$2:$I$1531)</f>
        <v>103.50240000000001</v>
      </c>
      <c r="E63" s="10">
        <f>INDEX('Data Import'!$AT$2:$AT$131,MATCH(A63&amp;"-"&amp;B63,'Data Import'!$AU$2:$AU$131,0))</f>
        <v>8</v>
      </c>
      <c r="F63" s="10" t="str">
        <f>INDEX('Data Import'!$O$2:$O$11,E63)</f>
        <v>alex</v>
      </c>
      <c r="G63" s="13">
        <f ca="1">SUMIF('Data Import'!$K$2:$K$1701,F63&amp;A63,'Data Import'!$I$2:$I$1531)</f>
        <v>92.403699999999986</v>
      </c>
      <c r="H63" s="14">
        <f>INDEX('Data Import'!$P$15:$AB$24,B63,A63)</f>
        <v>0</v>
      </c>
      <c r="I63" s="10"/>
      <c r="J63" s="7" t="str">
        <f>"Wk "&amp;A63&amp;" - "&amp;F63</f>
        <v>Wk 1 - alex</v>
      </c>
      <c r="K63" s="8" t="str">
        <f ca="1">TEXT(D63,"0.0")&amp;" - "&amp;TEXT(G63,"0.0")</f>
        <v>103.5 - 92.4</v>
      </c>
      <c r="L63" s="9">
        <f>H63</f>
        <v>0</v>
      </c>
      <c r="M63" s="10"/>
      <c r="N63" s="10">
        <v>1</v>
      </c>
      <c r="O63" s="10">
        <f>O43+1</f>
        <v>9</v>
      </c>
      <c r="P63" s="10" t="str">
        <f>INDEX('Data Import'!$O$2:$O$11,O63)</f>
        <v>colin</v>
      </c>
      <c r="Q63" s="13">
        <f ca="1">SUMIF('Data Import'!$K$2:$K$1701,P63&amp;N63,'Data Import'!$I$2:$I$1531)</f>
        <v>99.388300000000001</v>
      </c>
      <c r="R63" s="10">
        <f>INDEX('Data Import'!$AT$2:$AT$131,MATCH(N63&amp;"-"&amp;O63,'Data Import'!$AU$2:$AU$131,0))</f>
        <v>10</v>
      </c>
      <c r="S63" s="10" t="str">
        <f>INDEX('Data Import'!$O$2:$O$11,R63)</f>
        <v>paul</v>
      </c>
      <c r="T63" s="13">
        <f ca="1">SUMIF('Data Import'!$K$2:$K$1701,S63&amp;N63,'Data Import'!$I$2:$I$1531)</f>
        <v>102.44130000000001</v>
      </c>
      <c r="U63" s="14">
        <f>INDEX('Data Import'!$P$15:$AB$24,O63,N63)</f>
        <v>1</v>
      </c>
      <c r="V63" s="10"/>
      <c r="W63" s="7" t="str">
        <f>"Wk "&amp;N63&amp;" - "&amp;S63</f>
        <v>Wk 1 - paul</v>
      </c>
      <c r="X63" s="8" t="str">
        <f ca="1">TEXT(Q63,"0.0")&amp;" - "&amp;TEXT(T63,"0.0")</f>
        <v>99.4 - 102.4</v>
      </c>
      <c r="Y63" s="9">
        <f>U63</f>
        <v>1</v>
      </c>
      <c r="Z63" s="6"/>
      <c r="AA63" s="6"/>
    </row>
    <row r="64" spans="1:27" x14ac:dyDescent="0.25">
      <c r="A64" s="10">
        <f>A63+1</f>
        <v>2</v>
      </c>
      <c r="B64" s="10">
        <f t="shared" ref="B64:B79" si="28">B44+1</f>
        <v>4</v>
      </c>
      <c r="C64" s="10" t="str">
        <f>INDEX('Data Import'!$O$2:$O$11,B64)</f>
        <v>joseph</v>
      </c>
      <c r="D64" s="13">
        <f ca="1">SUMIF('Data Import'!$K$2:$K$1701,C64&amp;A64,'Data Import'!$I$2:$I$1531)</f>
        <v>100.6018</v>
      </c>
      <c r="E64" s="10">
        <f>INDEX('Data Import'!$AT$2:$AT$131,MATCH(A64&amp;"-"&amp;B64,'Data Import'!$AU$2:$AU$131,0))</f>
        <v>5</v>
      </c>
      <c r="F64" s="10" t="str">
        <f>INDEX('Data Import'!$O$2:$O$11,E64)</f>
        <v>alyssa</v>
      </c>
      <c r="G64" s="13">
        <f ca="1">SUMIF('Data Import'!$K$2:$K$1701,F64&amp;A64,'Data Import'!$I$2:$I$1531)</f>
        <v>99.139600000000002</v>
      </c>
      <c r="H64" s="14">
        <f>INDEX('Data Import'!$P$15:$AB$24,B64,A64)</f>
        <v>0</v>
      </c>
      <c r="I64" s="10"/>
      <c r="J64" s="7" t="str">
        <f t="shared" ref="J64:J74" si="29">"Wk "&amp;A64&amp;" - "&amp;F64</f>
        <v>Wk 2 - alyssa</v>
      </c>
      <c r="K64" s="8" t="str">
        <f t="shared" ref="K64:K74" ca="1" si="30">TEXT(D64,"0.0")&amp;" - "&amp;TEXT(G64,"0.0")</f>
        <v>100.6 - 99.1</v>
      </c>
      <c r="L64" s="9">
        <f t="shared" ref="L64:L74" si="31">H64</f>
        <v>0</v>
      </c>
      <c r="M64" s="10"/>
      <c r="N64" s="10">
        <f>N63+1</f>
        <v>2</v>
      </c>
      <c r="O64" s="10">
        <f t="shared" ref="O64:O79" si="32">O44+1</f>
        <v>9</v>
      </c>
      <c r="P64" s="10" t="str">
        <f>INDEX('Data Import'!$O$2:$O$11,O64)</f>
        <v>colin</v>
      </c>
      <c r="Q64" s="13">
        <f ca="1">SUMIF('Data Import'!$K$2:$K$1701,P64&amp;N64,'Data Import'!$I$2:$I$1531)</f>
        <v>97.73769999999999</v>
      </c>
      <c r="R64" s="10">
        <f>INDEX('Data Import'!$AT$2:$AT$131,MATCH(N64&amp;"-"&amp;O64,'Data Import'!$AU$2:$AU$131,0))</f>
        <v>8</v>
      </c>
      <c r="S64" s="10" t="str">
        <f>INDEX('Data Import'!$O$2:$O$11,R64)</f>
        <v>alex</v>
      </c>
      <c r="T64" s="13">
        <f ca="1">SUMIF('Data Import'!$K$2:$K$1701,S64&amp;N64,'Data Import'!$I$2:$I$1531)</f>
        <v>98.629099999999994</v>
      </c>
      <c r="U64" s="14">
        <f>INDEX('Data Import'!$P$15:$AB$24,O64,N64)</f>
        <v>0</v>
      </c>
      <c r="V64" s="10"/>
      <c r="W64" s="7" t="str">
        <f t="shared" ref="W64:W74" si="33">"Wk "&amp;N64&amp;" - "&amp;S64</f>
        <v>Wk 2 - alex</v>
      </c>
      <c r="X64" s="8" t="str">
        <f t="shared" ref="X64:X74" ca="1" si="34">TEXT(Q64,"0.0")&amp;" - "&amp;TEXT(T64,"0.0")</f>
        <v>97.7 - 98.6</v>
      </c>
      <c r="Y64" s="9">
        <f t="shared" ref="Y64:Y74" si="35">U64</f>
        <v>0</v>
      </c>
      <c r="Z64" s="6"/>
      <c r="AA64" s="6"/>
    </row>
    <row r="65" spans="1:27" x14ac:dyDescent="0.25">
      <c r="A65" s="10">
        <f t="shared" ref="A65:A74" si="36">A64+1</f>
        <v>3</v>
      </c>
      <c r="B65" s="10">
        <f t="shared" si="28"/>
        <v>4</v>
      </c>
      <c r="C65" s="10" t="str">
        <f>INDEX('Data Import'!$O$2:$O$11,B65)</f>
        <v>joseph</v>
      </c>
      <c r="D65" s="13">
        <f ca="1">SUMIF('Data Import'!$K$2:$K$1701,C65&amp;A65,'Data Import'!$I$2:$I$1531)</f>
        <v>113.5214</v>
      </c>
      <c r="E65" s="10">
        <f>INDEX('Data Import'!$AT$2:$AT$131,MATCH(A65&amp;"-"&amp;B65,'Data Import'!$AU$2:$AU$131,0))</f>
        <v>2</v>
      </c>
      <c r="F65" s="10" t="str">
        <f>INDEX('Data Import'!$O$2:$O$11,E65)</f>
        <v>jake</v>
      </c>
      <c r="G65" s="13">
        <f ca="1">SUMIF('Data Import'!$K$2:$K$1701,F65&amp;A65,'Data Import'!$I$2:$I$1531)</f>
        <v>89.028100000000009</v>
      </c>
      <c r="H65" s="14">
        <f>INDEX('Data Import'!$P$15:$AB$24,B65,A65)</f>
        <v>0.81144000000000005</v>
      </c>
      <c r="I65" s="10"/>
      <c r="J65" s="7" t="str">
        <f t="shared" si="29"/>
        <v>Wk 3 - jake</v>
      </c>
      <c r="K65" s="8" t="str">
        <f t="shared" ca="1" si="30"/>
        <v>113.5 - 89.0</v>
      </c>
      <c r="L65" s="9">
        <f t="shared" si="31"/>
        <v>0.81144000000000005</v>
      </c>
      <c r="M65" s="10"/>
      <c r="N65" s="10">
        <f t="shared" ref="N65:N74" si="37">N64+1</f>
        <v>3</v>
      </c>
      <c r="O65" s="10">
        <f t="shared" si="32"/>
        <v>9</v>
      </c>
      <c r="P65" s="10" t="str">
        <f>INDEX('Data Import'!$O$2:$O$11,O65)</f>
        <v>colin</v>
      </c>
      <c r="Q65" s="13">
        <f ca="1">SUMIF('Data Import'!$K$2:$K$1701,P65&amp;N65,'Data Import'!$I$2:$I$1531)</f>
        <v>93.490500000000011</v>
      </c>
      <c r="R65" s="10">
        <f>INDEX('Data Import'!$AT$2:$AT$131,MATCH(N65&amp;"-"&amp;O65,'Data Import'!$AU$2:$AU$131,0))</f>
        <v>5</v>
      </c>
      <c r="S65" s="10" t="str">
        <f>INDEX('Data Import'!$O$2:$O$11,R65)</f>
        <v>alyssa</v>
      </c>
      <c r="T65" s="13">
        <f ca="1">SUMIF('Data Import'!$K$2:$K$1701,S65&amp;N65,'Data Import'!$I$2:$I$1531)</f>
        <v>103.59769999999999</v>
      </c>
      <c r="U65" s="14">
        <f>INDEX('Data Import'!$P$15:$AB$24,O65,N65)</f>
        <v>0.35411999999999999</v>
      </c>
      <c r="V65" s="10"/>
      <c r="W65" s="7" t="str">
        <f t="shared" si="33"/>
        <v>Wk 3 - alyssa</v>
      </c>
      <c r="X65" s="8" t="str">
        <f t="shared" ca="1" si="34"/>
        <v>93.5 - 103.6</v>
      </c>
      <c r="Y65" s="9">
        <f t="shared" si="35"/>
        <v>0.35411999999999999</v>
      </c>
      <c r="Z65" s="6"/>
      <c r="AA65" s="6"/>
    </row>
    <row r="66" spans="1:27" x14ac:dyDescent="0.25">
      <c r="A66" s="10">
        <f t="shared" si="36"/>
        <v>4</v>
      </c>
      <c r="B66" s="10">
        <f t="shared" si="28"/>
        <v>4</v>
      </c>
      <c r="C66" s="10" t="str">
        <f>INDEX('Data Import'!$O$2:$O$11,B66)</f>
        <v>joseph</v>
      </c>
      <c r="D66" s="13">
        <f ca="1">SUMIF('Data Import'!$K$2:$K$1701,C66&amp;A66,'Data Import'!$I$2:$I$1531)</f>
        <v>103.42289999999998</v>
      </c>
      <c r="E66" s="10">
        <f>INDEX('Data Import'!$AT$2:$AT$131,MATCH(A66&amp;"-"&amp;B66,'Data Import'!$AU$2:$AU$131,0))</f>
        <v>3</v>
      </c>
      <c r="F66" s="10" t="str">
        <f>INDEX('Data Import'!$O$2:$O$11,E66)</f>
        <v>breanna</v>
      </c>
      <c r="G66" s="13">
        <f ca="1">SUMIF('Data Import'!$K$2:$K$1701,F66&amp;A66,'Data Import'!$I$2:$I$1531)</f>
        <v>96.381</v>
      </c>
      <c r="H66" s="14">
        <f>INDEX('Data Import'!$P$15:$AB$24,B66,A66)</f>
        <v>0.61409999999999998</v>
      </c>
      <c r="I66" s="10"/>
      <c r="J66" s="7" t="str">
        <f t="shared" si="29"/>
        <v>Wk 4 - breanna</v>
      </c>
      <c r="K66" s="8" t="str">
        <f t="shared" ca="1" si="30"/>
        <v>103.4 - 96.4</v>
      </c>
      <c r="L66" s="9">
        <f t="shared" si="31"/>
        <v>0.61409999999999998</v>
      </c>
      <c r="M66" s="10"/>
      <c r="N66" s="10">
        <f t="shared" si="37"/>
        <v>4</v>
      </c>
      <c r="O66" s="10">
        <f t="shared" si="32"/>
        <v>9</v>
      </c>
      <c r="P66" s="10" t="str">
        <f>INDEX('Data Import'!$O$2:$O$11,O66)</f>
        <v>colin</v>
      </c>
      <c r="Q66" s="13">
        <f ca="1">SUMIF('Data Import'!$K$2:$K$1701,P66&amp;N66,'Data Import'!$I$2:$I$1531)</f>
        <v>90.526399999999995</v>
      </c>
      <c r="R66" s="10">
        <f>INDEX('Data Import'!$AT$2:$AT$131,MATCH(N66&amp;"-"&amp;O66,'Data Import'!$AU$2:$AU$131,0))</f>
        <v>6</v>
      </c>
      <c r="S66" s="10" t="str">
        <f>INDEX('Data Import'!$O$2:$O$11,R66)</f>
        <v>chris</v>
      </c>
      <c r="T66" s="13">
        <f ca="1">SUMIF('Data Import'!$K$2:$K$1701,S66&amp;N66,'Data Import'!$I$2:$I$1531)</f>
        <v>92.487799999999993</v>
      </c>
      <c r="U66" s="14">
        <f>INDEX('Data Import'!$P$15:$AB$24,O66,N66)</f>
        <v>0.47398000000000001</v>
      </c>
      <c r="V66" s="10"/>
      <c r="W66" s="7" t="str">
        <f t="shared" si="33"/>
        <v>Wk 4 - chris</v>
      </c>
      <c r="X66" s="8" t="str">
        <f t="shared" ca="1" si="34"/>
        <v>90.5 - 92.5</v>
      </c>
      <c r="Y66" s="9">
        <f t="shared" si="35"/>
        <v>0.47398000000000001</v>
      </c>
      <c r="Z66" s="6"/>
      <c r="AA66" s="6"/>
    </row>
    <row r="67" spans="1:27" x14ac:dyDescent="0.25">
      <c r="A67" s="10">
        <f t="shared" si="36"/>
        <v>5</v>
      </c>
      <c r="B67" s="10">
        <f t="shared" si="28"/>
        <v>4</v>
      </c>
      <c r="C67" s="10" t="str">
        <f>INDEX('Data Import'!$O$2:$O$11,B67)</f>
        <v>joseph</v>
      </c>
      <c r="D67" s="13">
        <f ca="1">SUMIF('Data Import'!$K$2:$K$1701,C67&amp;A67,'Data Import'!$I$2:$I$1531)</f>
        <v>97.888000000000005</v>
      </c>
      <c r="E67" s="10">
        <f>INDEX('Data Import'!$AT$2:$AT$131,MATCH(A67&amp;"-"&amp;B67,'Data Import'!$AU$2:$AU$131,0))</f>
        <v>1</v>
      </c>
      <c r="F67" s="10" t="str">
        <f>INDEX('Data Import'!$O$2:$O$11,E67)</f>
        <v>andrew</v>
      </c>
      <c r="G67" s="13">
        <f ca="1">SUMIF('Data Import'!$K$2:$K$1701,F67&amp;A67,'Data Import'!$I$2:$I$1531)</f>
        <v>101.67399999999999</v>
      </c>
      <c r="H67" s="14">
        <f>INDEX('Data Import'!$P$15:$AB$24,B67,A67)</f>
        <v>0.45216000000000001</v>
      </c>
      <c r="I67" s="10"/>
      <c r="J67" s="7" t="str">
        <f t="shared" si="29"/>
        <v>Wk 5 - andrew</v>
      </c>
      <c r="K67" s="8" t="str">
        <f t="shared" ca="1" si="30"/>
        <v>97.9 - 101.7</v>
      </c>
      <c r="L67" s="9">
        <f t="shared" si="31"/>
        <v>0.45216000000000001</v>
      </c>
      <c r="M67" s="10"/>
      <c r="N67" s="10">
        <f t="shared" si="37"/>
        <v>5</v>
      </c>
      <c r="O67" s="10">
        <f t="shared" si="32"/>
        <v>9</v>
      </c>
      <c r="P67" s="10" t="str">
        <f>INDEX('Data Import'!$O$2:$O$11,O67)</f>
        <v>colin</v>
      </c>
      <c r="Q67" s="13">
        <f ca="1">SUMIF('Data Import'!$K$2:$K$1701,P67&amp;N67,'Data Import'!$I$2:$I$1531)</f>
        <v>90.247</v>
      </c>
      <c r="R67" s="10">
        <f>INDEX('Data Import'!$AT$2:$AT$131,MATCH(N67&amp;"-"&amp;O67,'Data Import'!$AU$2:$AU$131,0))</f>
        <v>7</v>
      </c>
      <c r="S67" s="10" t="str">
        <f>INDEX('Data Import'!$O$2:$O$11,R67)</f>
        <v>jordan</v>
      </c>
      <c r="T67" s="13">
        <f ca="1">SUMIF('Data Import'!$K$2:$K$1701,S67&amp;N67,'Data Import'!$I$2:$I$1531)</f>
        <v>107.06309999999999</v>
      </c>
      <c r="U67" s="14">
        <f>INDEX('Data Import'!$P$15:$AB$24,O67,N67)</f>
        <v>0.26704</v>
      </c>
      <c r="V67" s="10"/>
      <c r="W67" s="7" t="str">
        <f t="shared" si="33"/>
        <v>Wk 5 - jordan</v>
      </c>
      <c r="X67" s="8" t="str">
        <f t="shared" ca="1" si="34"/>
        <v>90.2 - 107.1</v>
      </c>
      <c r="Y67" s="9">
        <f t="shared" si="35"/>
        <v>0.26704</v>
      </c>
      <c r="Z67" s="6"/>
      <c r="AA67" s="6"/>
    </row>
    <row r="68" spans="1:27" x14ac:dyDescent="0.25">
      <c r="A68" s="10">
        <f t="shared" si="36"/>
        <v>6</v>
      </c>
      <c r="B68" s="10">
        <f t="shared" si="28"/>
        <v>4</v>
      </c>
      <c r="C68" s="10" t="str">
        <f>INDEX('Data Import'!$O$2:$O$11,B68)</f>
        <v>joseph</v>
      </c>
      <c r="D68" s="13">
        <f ca="1">SUMIF('Data Import'!$K$2:$K$1701,C68&amp;A68,'Data Import'!$I$2:$I$1531)</f>
        <v>107.7396</v>
      </c>
      <c r="E68" s="10">
        <f>INDEX('Data Import'!$AT$2:$AT$131,MATCH(A68&amp;"-"&amp;B68,'Data Import'!$AU$2:$AU$131,0))</f>
        <v>6</v>
      </c>
      <c r="F68" s="10" t="str">
        <f>INDEX('Data Import'!$O$2:$O$11,E68)</f>
        <v>chris</v>
      </c>
      <c r="G68" s="13">
        <f ca="1">SUMIF('Data Import'!$K$2:$K$1701,F68&amp;A68,'Data Import'!$I$2:$I$1531)</f>
        <v>87.972700000000003</v>
      </c>
      <c r="H68" s="14">
        <f>INDEX('Data Import'!$P$15:$AB$24,B68,A68)</f>
        <v>0.79042999999999997</v>
      </c>
      <c r="I68" s="10"/>
      <c r="J68" s="7" t="str">
        <f t="shared" si="29"/>
        <v>Wk 6 - chris</v>
      </c>
      <c r="K68" s="8" t="str">
        <f t="shared" ca="1" si="30"/>
        <v>107.7 - 88.0</v>
      </c>
      <c r="L68" s="9">
        <f t="shared" si="31"/>
        <v>0.79042999999999997</v>
      </c>
      <c r="M68" s="10"/>
      <c r="N68" s="10">
        <f t="shared" si="37"/>
        <v>6</v>
      </c>
      <c r="O68" s="10">
        <f t="shared" si="32"/>
        <v>9</v>
      </c>
      <c r="P68" s="10" t="str">
        <f>INDEX('Data Import'!$O$2:$O$11,O68)</f>
        <v>colin</v>
      </c>
      <c r="Q68" s="13">
        <f ca="1">SUMIF('Data Import'!$K$2:$K$1701,P68&amp;N68,'Data Import'!$I$2:$I$1531)</f>
        <v>82.197399999999988</v>
      </c>
      <c r="R68" s="10">
        <f>INDEX('Data Import'!$AT$2:$AT$131,MATCH(N68&amp;"-"&amp;O68,'Data Import'!$AU$2:$AU$131,0))</f>
        <v>1</v>
      </c>
      <c r="S68" s="10" t="str">
        <f>INDEX('Data Import'!$O$2:$O$11,R68)</f>
        <v>andrew</v>
      </c>
      <c r="T68" s="13">
        <f ca="1">SUMIF('Data Import'!$K$2:$K$1701,S68&amp;N68,'Data Import'!$I$2:$I$1531)</f>
        <v>109.79199999999999</v>
      </c>
      <c r="U68" s="14">
        <f>INDEX('Data Import'!$P$15:$AB$24,O68,N68)</f>
        <v>0.1356</v>
      </c>
      <c r="V68" s="10"/>
      <c r="W68" s="7" t="str">
        <f t="shared" si="33"/>
        <v>Wk 6 - andrew</v>
      </c>
      <c r="X68" s="8" t="str">
        <f t="shared" ca="1" si="34"/>
        <v>82.2 - 109.8</v>
      </c>
      <c r="Y68" s="9">
        <f t="shared" si="35"/>
        <v>0.1356</v>
      </c>
      <c r="Z68" s="6"/>
      <c r="AA68" s="6"/>
    </row>
    <row r="69" spans="1:27" x14ac:dyDescent="0.25">
      <c r="A69" s="10">
        <f t="shared" si="36"/>
        <v>7</v>
      </c>
      <c r="B69" s="10">
        <f t="shared" si="28"/>
        <v>4</v>
      </c>
      <c r="C69" s="10" t="str">
        <f>INDEX('Data Import'!$O$2:$O$11,B69)</f>
        <v>joseph</v>
      </c>
      <c r="D69" s="13">
        <f ca="1">SUMIF('Data Import'!$K$2:$K$1701,C69&amp;A69,'Data Import'!$I$2:$I$1531)</f>
        <v>94.125099999999989</v>
      </c>
      <c r="E69" s="10">
        <f>INDEX('Data Import'!$AT$2:$AT$131,MATCH(A69&amp;"-"&amp;B69,'Data Import'!$AU$2:$AU$131,0))</f>
        <v>10</v>
      </c>
      <c r="F69" s="10" t="str">
        <f>INDEX('Data Import'!$O$2:$O$11,E69)</f>
        <v>paul</v>
      </c>
      <c r="G69" s="13">
        <f ca="1">SUMIF('Data Import'!$K$2:$K$1701,F69&amp;A69,'Data Import'!$I$2:$I$1531)</f>
        <v>98.022000000000006</v>
      </c>
      <c r="H69" s="14">
        <f>INDEX('Data Import'!$P$15:$AB$24,B69,A69)</f>
        <v>0.42695</v>
      </c>
      <c r="I69" s="10"/>
      <c r="J69" s="7" t="str">
        <f t="shared" si="29"/>
        <v>Wk 7 - paul</v>
      </c>
      <c r="K69" s="8" t="str">
        <f t="shared" ca="1" si="30"/>
        <v>94.1 - 98.0</v>
      </c>
      <c r="L69" s="9">
        <f t="shared" si="31"/>
        <v>0.42695</v>
      </c>
      <c r="M69" s="10"/>
      <c r="N69" s="10">
        <f t="shared" si="37"/>
        <v>7</v>
      </c>
      <c r="O69" s="10">
        <f t="shared" si="32"/>
        <v>9</v>
      </c>
      <c r="P69" s="10" t="str">
        <f>INDEX('Data Import'!$O$2:$O$11,O69)</f>
        <v>colin</v>
      </c>
      <c r="Q69" s="13">
        <f ca="1">SUMIF('Data Import'!$K$2:$K$1701,P69&amp;N69,'Data Import'!$I$2:$I$1531)</f>
        <v>90.000599999999991</v>
      </c>
      <c r="R69" s="10">
        <f>INDEX('Data Import'!$AT$2:$AT$131,MATCH(N69&amp;"-"&amp;O69,'Data Import'!$AU$2:$AU$131,0))</f>
        <v>2</v>
      </c>
      <c r="S69" s="10" t="str">
        <f>INDEX('Data Import'!$O$2:$O$11,R69)</f>
        <v>jake</v>
      </c>
      <c r="T69" s="13">
        <f ca="1">SUMIF('Data Import'!$K$2:$K$1701,S69&amp;N69,'Data Import'!$I$2:$I$1531)</f>
        <v>101.63040000000001</v>
      </c>
      <c r="U69" s="14">
        <f>INDEX('Data Import'!$P$15:$AB$24,O69,N69)</f>
        <v>0.31370999999999999</v>
      </c>
      <c r="V69" s="10"/>
      <c r="W69" s="7" t="str">
        <f t="shared" si="33"/>
        <v>Wk 7 - jake</v>
      </c>
      <c r="X69" s="8" t="str">
        <f t="shared" ca="1" si="34"/>
        <v>90.0 - 101.6</v>
      </c>
      <c r="Y69" s="9">
        <f t="shared" si="35"/>
        <v>0.31370999999999999</v>
      </c>
      <c r="Z69" s="6"/>
      <c r="AA69" s="6"/>
    </row>
    <row r="70" spans="1:27" x14ac:dyDescent="0.25">
      <c r="A70" s="10">
        <f t="shared" si="36"/>
        <v>8</v>
      </c>
      <c r="B70" s="10">
        <f t="shared" si="28"/>
        <v>4</v>
      </c>
      <c r="C70" s="10" t="str">
        <f>INDEX('Data Import'!$O$2:$O$11,B70)</f>
        <v>joseph</v>
      </c>
      <c r="D70" s="13">
        <f ca="1">SUMIF('Data Import'!$K$2:$K$1701,C70&amp;A70,'Data Import'!$I$2:$I$1531)</f>
        <v>105.9465</v>
      </c>
      <c r="E70" s="10">
        <f>INDEX('Data Import'!$AT$2:$AT$131,MATCH(A70&amp;"-"&amp;B70,'Data Import'!$AU$2:$AU$131,0))</f>
        <v>9</v>
      </c>
      <c r="F70" s="10" t="str">
        <f>INDEX('Data Import'!$O$2:$O$11,E70)</f>
        <v>colin</v>
      </c>
      <c r="G70" s="13">
        <f ca="1">SUMIF('Data Import'!$K$2:$K$1701,F70&amp;A70,'Data Import'!$I$2:$I$1531)</f>
        <v>85.216399999999993</v>
      </c>
      <c r="H70" s="14">
        <f>INDEX('Data Import'!$P$15:$AB$24,B70,A70)</f>
        <v>0.79229000000000005</v>
      </c>
      <c r="I70" s="10"/>
      <c r="J70" s="7" t="str">
        <f t="shared" si="29"/>
        <v>Wk 8 - colin</v>
      </c>
      <c r="K70" s="8" t="str">
        <f t="shared" ca="1" si="30"/>
        <v>105.9 - 85.2</v>
      </c>
      <c r="L70" s="9">
        <f t="shared" si="31"/>
        <v>0.79229000000000005</v>
      </c>
      <c r="M70" s="10"/>
      <c r="N70" s="10">
        <f t="shared" si="37"/>
        <v>8</v>
      </c>
      <c r="O70" s="10">
        <f t="shared" si="32"/>
        <v>9</v>
      </c>
      <c r="P70" s="10" t="str">
        <f>INDEX('Data Import'!$O$2:$O$11,O70)</f>
        <v>colin</v>
      </c>
      <c r="Q70" s="13">
        <f ca="1">SUMIF('Data Import'!$K$2:$K$1701,P70&amp;N70,'Data Import'!$I$2:$I$1531)</f>
        <v>85.216399999999993</v>
      </c>
      <c r="R70" s="10">
        <f>INDEX('Data Import'!$AT$2:$AT$131,MATCH(N70&amp;"-"&amp;O70,'Data Import'!$AU$2:$AU$131,0))</f>
        <v>4</v>
      </c>
      <c r="S70" s="10" t="str">
        <f>INDEX('Data Import'!$O$2:$O$11,R70)</f>
        <v>joseph</v>
      </c>
      <c r="T70" s="13">
        <f ca="1">SUMIF('Data Import'!$K$2:$K$1701,S70&amp;N70,'Data Import'!$I$2:$I$1531)</f>
        <v>105.9465</v>
      </c>
      <c r="U70" s="14">
        <f>INDEX('Data Import'!$P$15:$AB$24,O70,N70)</f>
        <v>0.20771000000000001</v>
      </c>
      <c r="V70" s="10"/>
      <c r="W70" s="7" t="str">
        <f t="shared" si="33"/>
        <v>Wk 8 - joseph</v>
      </c>
      <c r="X70" s="8" t="str">
        <f t="shared" ca="1" si="34"/>
        <v>85.2 - 105.9</v>
      </c>
      <c r="Y70" s="9">
        <f t="shared" si="35"/>
        <v>0.20771000000000001</v>
      </c>
      <c r="Z70" s="6"/>
      <c r="AA70" s="6"/>
    </row>
    <row r="71" spans="1:27" x14ac:dyDescent="0.25">
      <c r="A71" s="10">
        <f t="shared" si="36"/>
        <v>9</v>
      </c>
      <c r="B71" s="10">
        <f t="shared" si="28"/>
        <v>4</v>
      </c>
      <c r="C71" s="10" t="str">
        <f>INDEX('Data Import'!$O$2:$O$11,B71)</f>
        <v>joseph</v>
      </c>
      <c r="D71" s="13">
        <f ca="1">SUMIF('Data Import'!$K$2:$K$1701,C71&amp;A71,'Data Import'!$I$2:$I$1531)</f>
        <v>97.096699999999998</v>
      </c>
      <c r="E71" s="10">
        <f>INDEX('Data Import'!$AT$2:$AT$131,MATCH(A71&amp;"-"&amp;B71,'Data Import'!$AU$2:$AU$131,0))</f>
        <v>1</v>
      </c>
      <c r="F71" s="10" t="str">
        <f>INDEX('Data Import'!$O$2:$O$11,E71)</f>
        <v>andrew</v>
      </c>
      <c r="G71" s="13">
        <f ca="1">SUMIF('Data Import'!$K$2:$K$1701,F71&amp;A71,'Data Import'!$I$2:$I$1531)</f>
        <v>103.6204</v>
      </c>
      <c r="H71" s="14">
        <f>INDEX('Data Import'!$P$15:$AB$24,B71,A71)</f>
        <v>0.40728999999999999</v>
      </c>
      <c r="I71" s="10"/>
      <c r="J71" s="7" t="str">
        <f t="shared" si="29"/>
        <v>Wk 9 - andrew</v>
      </c>
      <c r="K71" s="8" t="str">
        <f t="shared" ca="1" si="30"/>
        <v>97.1 - 103.6</v>
      </c>
      <c r="L71" s="9">
        <f t="shared" si="31"/>
        <v>0.40728999999999999</v>
      </c>
      <c r="M71" s="10"/>
      <c r="N71" s="10">
        <f t="shared" si="37"/>
        <v>9</v>
      </c>
      <c r="O71" s="10">
        <f t="shared" si="32"/>
        <v>9</v>
      </c>
      <c r="P71" s="10" t="str">
        <f>INDEX('Data Import'!$O$2:$O$11,O71)</f>
        <v>colin</v>
      </c>
      <c r="Q71" s="13">
        <f ca="1">SUMIF('Data Import'!$K$2:$K$1701,P71&amp;N71,'Data Import'!$I$2:$I$1531)</f>
        <v>92.375200000000007</v>
      </c>
      <c r="R71" s="10">
        <f>INDEX('Data Import'!$AT$2:$AT$131,MATCH(N71&amp;"-"&amp;O71,'Data Import'!$AU$2:$AU$131,0))</f>
        <v>10</v>
      </c>
      <c r="S71" s="10" t="str">
        <f>INDEX('Data Import'!$O$2:$O$11,R71)</f>
        <v>paul</v>
      </c>
      <c r="T71" s="13">
        <f ca="1">SUMIF('Data Import'!$K$2:$K$1701,S71&amp;N71,'Data Import'!$I$2:$I$1531)</f>
        <v>104.77250000000002</v>
      </c>
      <c r="U71" s="14">
        <f>INDEX('Data Import'!$P$15:$AB$24,O71,N71)</f>
        <v>0.31062000000000001</v>
      </c>
      <c r="V71" s="10"/>
      <c r="W71" s="7" t="str">
        <f t="shared" si="33"/>
        <v>Wk 9 - paul</v>
      </c>
      <c r="X71" s="8" t="str">
        <f t="shared" ca="1" si="34"/>
        <v>92.4 - 104.8</v>
      </c>
      <c r="Y71" s="9">
        <f t="shared" si="35"/>
        <v>0.31062000000000001</v>
      </c>
      <c r="Z71" s="6"/>
      <c r="AA71" s="6"/>
    </row>
    <row r="72" spans="1:27" x14ac:dyDescent="0.25">
      <c r="A72" s="10">
        <f t="shared" si="36"/>
        <v>10</v>
      </c>
      <c r="B72" s="10">
        <f t="shared" si="28"/>
        <v>4</v>
      </c>
      <c r="C72" s="10" t="str">
        <f>INDEX('Data Import'!$O$2:$O$11,B72)</f>
        <v>joseph</v>
      </c>
      <c r="D72" s="13">
        <f ca="1">SUMIF('Data Import'!$K$2:$K$1701,C72&amp;A72,'Data Import'!$I$2:$I$1531)</f>
        <v>99.190500000000014</v>
      </c>
      <c r="E72" s="10">
        <f>INDEX('Data Import'!$AT$2:$AT$131,MATCH(A72&amp;"-"&amp;B72,'Data Import'!$AU$2:$AU$131,0))</f>
        <v>7</v>
      </c>
      <c r="F72" s="10" t="str">
        <f>INDEX('Data Import'!$O$2:$O$11,E72)</f>
        <v>jordan</v>
      </c>
      <c r="G72" s="13">
        <f ca="1">SUMIF('Data Import'!$K$2:$K$1701,F72&amp;A72,'Data Import'!$I$2:$I$1531)</f>
        <v>111.2304</v>
      </c>
      <c r="H72" s="14">
        <f>INDEX('Data Import'!$P$15:$AB$24,B72,A72)</f>
        <v>0.33783000000000002</v>
      </c>
      <c r="I72" s="10"/>
      <c r="J72" s="7" t="str">
        <f t="shared" si="29"/>
        <v>Wk 10 - jordan</v>
      </c>
      <c r="K72" s="8" t="str">
        <f t="shared" ca="1" si="30"/>
        <v>99.2 - 111.2</v>
      </c>
      <c r="L72" s="9">
        <f t="shared" si="31"/>
        <v>0.33783000000000002</v>
      </c>
      <c r="M72" s="10"/>
      <c r="N72" s="10">
        <f t="shared" si="37"/>
        <v>10</v>
      </c>
      <c r="O72" s="10">
        <f t="shared" si="32"/>
        <v>9</v>
      </c>
      <c r="P72" s="10" t="str">
        <f>INDEX('Data Import'!$O$2:$O$11,O72)</f>
        <v>colin</v>
      </c>
      <c r="Q72" s="13">
        <f ca="1">SUMIF('Data Import'!$K$2:$K$1701,P72&amp;N72,'Data Import'!$I$2:$I$1531)</f>
        <v>89.691999999999993</v>
      </c>
      <c r="R72" s="10">
        <f>INDEX('Data Import'!$AT$2:$AT$131,MATCH(N72&amp;"-"&amp;O72,'Data Import'!$AU$2:$AU$131,0))</f>
        <v>8</v>
      </c>
      <c r="S72" s="10" t="str">
        <f>INDEX('Data Import'!$O$2:$O$11,R72)</f>
        <v>alex</v>
      </c>
      <c r="T72" s="13">
        <f ca="1">SUMIF('Data Import'!$K$2:$K$1701,S72&amp;N72,'Data Import'!$I$2:$I$1531)</f>
        <v>96.670599999999993</v>
      </c>
      <c r="U72" s="14">
        <f>INDEX('Data Import'!$P$15:$AB$24,O72,N72)</f>
        <v>0.38893</v>
      </c>
      <c r="V72" s="10"/>
      <c r="W72" s="7" t="str">
        <f t="shared" si="33"/>
        <v>Wk 10 - alex</v>
      </c>
      <c r="X72" s="8" t="str">
        <f t="shared" ca="1" si="34"/>
        <v>89.7 - 96.7</v>
      </c>
      <c r="Y72" s="9">
        <f t="shared" si="35"/>
        <v>0.38893</v>
      </c>
      <c r="Z72" s="6"/>
      <c r="AA72" s="6"/>
    </row>
    <row r="73" spans="1:27" x14ac:dyDescent="0.25">
      <c r="A73" s="10">
        <f t="shared" si="36"/>
        <v>11</v>
      </c>
      <c r="B73" s="10">
        <f t="shared" si="28"/>
        <v>4</v>
      </c>
      <c r="C73" s="10" t="str">
        <f>INDEX('Data Import'!$O$2:$O$11,B73)</f>
        <v>joseph</v>
      </c>
      <c r="D73" s="13">
        <f ca="1">SUMIF('Data Import'!$K$2:$K$1701,C73&amp;A73,'Data Import'!$I$2:$I$1531)</f>
        <v>105.92140000000001</v>
      </c>
      <c r="E73" s="10">
        <f>INDEX('Data Import'!$AT$2:$AT$131,MATCH(A73&amp;"-"&amp;B73,'Data Import'!$AU$2:$AU$131,0))</f>
        <v>5</v>
      </c>
      <c r="F73" s="10" t="str">
        <f>INDEX('Data Import'!$O$2:$O$11,E73)</f>
        <v>alyssa</v>
      </c>
      <c r="G73" s="13">
        <f ca="1">SUMIF('Data Import'!$K$2:$K$1701,F73&amp;A73,'Data Import'!$I$2:$I$1531)</f>
        <v>103.00659999999999</v>
      </c>
      <c r="H73" s="14">
        <f>INDEX('Data Import'!$P$15:$AB$24,B73,A73)</f>
        <v>0.53359999999999996</v>
      </c>
      <c r="I73" s="10"/>
      <c r="J73" s="7" t="str">
        <f t="shared" si="29"/>
        <v>Wk 11 - alyssa</v>
      </c>
      <c r="K73" s="8" t="str">
        <f t="shared" ca="1" si="30"/>
        <v>105.9 - 103.0</v>
      </c>
      <c r="L73" s="9">
        <f t="shared" si="31"/>
        <v>0.53359999999999996</v>
      </c>
      <c r="M73" s="10"/>
      <c r="N73" s="10">
        <f t="shared" si="37"/>
        <v>11</v>
      </c>
      <c r="O73" s="10">
        <f t="shared" si="32"/>
        <v>9</v>
      </c>
      <c r="P73" s="10" t="str">
        <f>INDEX('Data Import'!$O$2:$O$11,O73)</f>
        <v>colin</v>
      </c>
      <c r="Q73" s="13">
        <f ca="1">SUMIF('Data Import'!$K$2:$K$1701,P73&amp;N73,'Data Import'!$I$2:$I$1531)</f>
        <v>80.660600000000002</v>
      </c>
      <c r="R73" s="10">
        <f>INDEX('Data Import'!$AT$2:$AT$131,MATCH(N73&amp;"-"&amp;O73,'Data Import'!$AU$2:$AU$131,0))</f>
        <v>3</v>
      </c>
      <c r="S73" s="10" t="str">
        <f>INDEX('Data Import'!$O$2:$O$11,R73)</f>
        <v>breanna</v>
      </c>
      <c r="T73" s="13">
        <f ca="1">SUMIF('Data Import'!$K$2:$K$1701,S73&amp;N73,'Data Import'!$I$2:$I$1531)</f>
        <v>96.912499999999994</v>
      </c>
      <c r="U73" s="14">
        <f>INDEX('Data Import'!$P$15:$AB$24,O73,N73)</f>
        <v>0.25645000000000001</v>
      </c>
      <c r="V73" s="10"/>
      <c r="W73" s="7" t="str">
        <f t="shared" si="33"/>
        <v>Wk 11 - breanna</v>
      </c>
      <c r="X73" s="8" t="str">
        <f t="shared" ca="1" si="34"/>
        <v>80.7 - 96.9</v>
      </c>
      <c r="Y73" s="9">
        <f t="shared" si="35"/>
        <v>0.25645000000000001</v>
      </c>
      <c r="Z73" s="6"/>
      <c r="AA73" s="6"/>
    </row>
    <row r="74" spans="1:27" x14ac:dyDescent="0.25">
      <c r="A74" s="10">
        <f t="shared" si="36"/>
        <v>12</v>
      </c>
      <c r="B74" s="10">
        <f t="shared" si="28"/>
        <v>4</v>
      </c>
      <c r="C74" s="10" t="str">
        <f>INDEX('Data Import'!$O$2:$O$11,B74)</f>
        <v>joseph</v>
      </c>
      <c r="D74" s="13">
        <f ca="1">SUMIF('Data Import'!$K$2:$K$1701,C74&amp;A74,'Data Import'!$I$2:$I$1531)</f>
        <v>102.4162</v>
      </c>
      <c r="E74" s="10">
        <f>INDEX('Data Import'!$AT$2:$AT$131,MATCH(A74&amp;"-"&amp;B74,'Data Import'!$AU$2:$AU$131,0))</f>
        <v>2</v>
      </c>
      <c r="F74" s="10" t="str">
        <f>INDEX('Data Import'!$O$2:$O$11,E74)</f>
        <v>jake</v>
      </c>
      <c r="G74" s="13">
        <f ca="1">SUMIF('Data Import'!$K$2:$K$1701,F74&amp;A74,'Data Import'!$I$2:$I$1531)</f>
        <v>98.238699999999994</v>
      </c>
      <c r="H74" s="14">
        <f>INDEX('Data Import'!$P$15:$AB$24,B74,A74)</f>
        <v>0.56057000000000001</v>
      </c>
      <c r="I74" s="10"/>
      <c r="J74" s="7" t="str">
        <f t="shared" si="29"/>
        <v>Wk 12 - jake</v>
      </c>
      <c r="K74" s="8" t="str">
        <f t="shared" ca="1" si="30"/>
        <v>102.4 - 98.2</v>
      </c>
      <c r="L74" s="9">
        <f t="shared" si="31"/>
        <v>0.56057000000000001</v>
      </c>
      <c r="M74" s="10"/>
      <c r="N74" s="10">
        <f t="shared" si="37"/>
        <v>12</v>
      </c>
      <c r="O74" s="10">
        <f t="shared" si="32"/>
        <v>9</v>
      </c>
      <c r="P74" s="10" t="str">
        <f>INDEX('Data Import'!$O$2:$O$11,O74)</f>
        <v>colin</v>
      </c>
      <c r="Q74" s="13">
        <f ca="1">SUMIF('Data Import'!$K$2:$K$1701,P74&amp;N74,'Data Import'!$I$2:$I$1531)</f>
        <v>85.335200000000015</v>
      </c>
      <c r="R74" s="10">
        <f>INDEX('Data Import'!$AT$2:$AT$131,MATCH(N74&amp;"-"&amp;O74,'Data Import'!$AU$2:$AU$131,0))</f>
        <v>6</v>
      </c>
      <c r="S74" s="10" t="str">
        <f>INDEX('Data Import'!$O$2:$O$11,R74)</f>
        <v>chris</v>
      </c>
      <c r="T74" s="13">
        <f ca="1">SUMIF('Data Import'!$K$2:$K$1701,S74&amp;N74,'Data Import'!$I$2:$I$1531)</f>
        <v>101.5924</v>
      </c>
      <c r="U74" s="14">
        <f>INDEX('Data Import'!$P$15:$AB$24,O74,N74)</f>
        <v>0.25372</v>
      </c>
      <c r="V74" s="10"/>
      <c r="W74" s="7" t="str">
        <f t="shared" si="33"/>
        <v>Wk 12 - chris</v>
      </c>
      <c r="X74" s="8" t="str">
        <f t="shared" ca="1" si="34"/>
        <v>85.3 - 101.6</v>
      </c>
      <c r="Y74" s="9">
        <f t="shared" si="35"/>
        <v>0.25372</v>
      </c>
      <c r="Z74" s="6"/>
      <c r="AA74" s="6"/>
    </row>
    <row r="75" spans="1:27" x14ac:dyDescent="0.25">
      <c r="A75" s="10">
        <f>A74+1</f>
        <v>13</v>
      </c>
      <c r="B75" s="10">
        <f t="shared" si="28"/>
        <v>4</v>
      </c>
      <c r="C75" s="10" t="str">
        <f>INDEX('Data Import'!$O$2:$O$11,B75)</f>
        <v>joseph</v>
      </c>
      <c r="D75" s="13">
        <f ca="1">SUMIF('Data Import'!$K$2:$K$1701,C75&amp;A75,'Data Import'!$I$2:$I$1531)</f>
        <v>104.13669999999999</v>
      </c>
      <c r="E75" s="10">
        <f>INDEX('Data Import'!$AT$2:$AT$131,MATCH(A75&amp;"-"&amp;B75,'Data Import'!$AU$2:$AU$131,0))</f>
        <v>3</v>
      </c>
      <c r="F75" s="10" t="str">
        <f>INDEX('Data Import'!$O$2:$O$11,E75)</f>
        <v>breanna</v>
      </c>
      <c r="G75" s="13">
        <f ca="1">SUMIF('Data Import'!$K$2:$K$1701,F75&amp;A75,'Data Import'!$I$2:$I$1531)</f>
        <v>100.38460000000001</v>
      </c>
      <c r="H75" s="14">
        <f>INDEX('Data Import'!$P$15:$AB$24,B75,A75)</f>
        <v>0.54786000000000001</v>
      </c>
      <c r="I75" s="10"/>
      <c r="J75" s="7" t="str">
        <f>"Wk "&amp;A75&amp;" - "&amp;F75</f>
        <v>Wk 13 - breanna</v>
      </c>
      <c r="K75" s="8" t="str">
        <f ca="1">TEXT(D75,"0.0")&amp;" - "&amp;TEXT(G75,"0.0")</f>
        <v>104.1 - 100.4</v>
      </c>
      <c r="L75" s="9">
        <f>H75</f>
        <v>0.54786000000000001</v>
      </c>
      <c r="M75" s="10"/>
      <c r="N75" s="10">
        <f>N74+1</f>
        <v>13</v>
      </c>
      <c r="O75" s="10">
        <f t="shared" si="32"/>
        <v>9</v>
      </c>
      <c r="P75" s="10" t="str">
        <f>INDEX('Data Import'!$O$2:$O$11,O75)</f>
        <v>colin</v>
      </c>
      <c r="Q75" s="13">
        <f ca="1">SUMIF('Data Import'!$K$2:$K$1701,P75&amp;N75,'Data Import'!$I$2:$I$1531)</f>
        <v>89.811500000000009</v>
      </c>
      <c r="R75" s="10">
        <f>INDEX('Data Import'!$AT$2:$AT$131,MATCH(N75&amp;"-"&amp;O75,'Data Import'!$AU$2:$AU$131,0))</f>
        <v>7</v>
      </c>
      <c r="S75" s="10" t="str">
        <f>INDEX('Data Import'!$O$2:$O$11,R75)</f>
        <v>jordan</v>
      </c>
      <c r="T75" s="13">
        <f ca="1">SUMIF('Data Import'!$K$2:$K$1701,S75&amp;N75,'Data Import'!$I$2:$I$1531)</f>
        <v>109.51179999999999</v>
      </c>
      <c r="U75" s="14">
        <f>INDEX('Data Import'!$P$15:$AB$24,O75,N75)</f>
        <v>0.23155999999999999</v>
      </c>
      <c r="V75" s="10"/>
      <c r="W75" s="7" t="str">
        <f>"Wk "&amp;N75&amp;" - "&amp;S75</f>
        <v>Wk 13 - jordan</v>
      </c>
      <c r="X75" s="8" t="str">
        <f ca="1">TEXT(Q75,"0.0")&amp;" - "&amp;TEXT(T75,"0.0")</f>
        <v>89.8 - 109.5</v>
      </c>
      <c r="Y75" s="9">
        <f>U75</f>
        <v>0.23155999999999999</v>
      </c>
      <c r="Z75" s="6"/>
      <c r="AA75" s="6"/>
    </row>
    <row r="76" spans="1:27" x14ac:dyDescent="0.25">
      <c r="A76" s="10">
        <f>A75+1</f>
        <v>14</v>
      </c>
      <c r="B76" s="10">
        <f t="shared" si="28"/>
        <v>4</v>
      </c>
      <c r="C76" s="10" t="str">
        <f>INDEX('Data Import'!$O$2:$O$11,B76)</f>
        <v>joseph</v>
      </c>
      <c r="D76" s="13">
        <f ca="1">SUMIF('Data Import'!$K$2:$K$1701,C76&amp;A76,'Data Import'!$I$2:$I$1531)</f>
        <v>108.569</v>
      </c>
      <c r="E76" s="10" t="e">
        <f>INDEX('Data Import'!$AT$2:$AT$131,MATCH(A76&amp;"-"&amp;B76,'Data Import'!$AU$2:$AU$131,0))</f>
        <v>#N/A</v>
      </c>
      <c r="F76" s="10" t="e">
        <f>INDEX('Data Import'!$O$2:$O$11,E76)</f>
        <v>#N/A</v>
      </c>
      <c r="G76" s="13">
        <f ca="1">SUMIF('Data Import'!$K$2:$K$1701,F76&amp;A76,'Data Import'!$I$2:$I$1531)</f>
        <v>0</v>
      </c>
      <c r="H76" s="14"/>
      <c r="I76" s="10"/>
      <c r="J76" s="7" t="s">
        <v>112</v>
      </c>
      <c r="K76" s="8"/>
      <c r="L76" s="9">
        <f>VALUE(H77)</f>
        <v>0.50465000000000004</v>
      </c>
      <c r="M76" s="10"/>
      <c r="N76" s="10">
        <f>N75+1</f>
        <v>14</v>
      </c>
      <c r="O76" s="10">
        <f t="shared" si="32"/>
        <v>9</v>
      </c>
      <c r="P76" s="10" t="str">
        <f>INDEX('Data Import'!$O$2:$O$11,O76)</f>
        <v>colin</v>
      </c>
      <c r="Q76" s="13">
        <f ca="1">SUMIF('Data Import'!$K$2:$K$1701,P76&amp;N76,'Data Import'!$I$2:$I$1531)</f>
        <v>89.780599999999993</v>
      </c>
      <c r="R76" s="10" t="e">
        <f>INDEX('Data Import'!$AT$2:$AT$131,MATCH(N76&amp;"-"&amp;O76,'Data Import'!$AU$2:$AU$131,0))</f>
        <v>#N/A</v>
      </c>
      <c r="S76" s="10" t="e">
        <f>INDEX('Data Import'!$O$2:$O$11,R76)</f>
        <v>#N/A</v>
      </c>
      <c r="T76" s="13">
        <f ca="1">SUMIF('Data Import'!$K$2:$K$1701,S76&amp;N76,'Data Import'!$I$2:$I$1531)</f>
        <v>0</v>
      </c>
      <c r="U76" s="14"/>
      <c r="V76" s="10"/>
      <c r="W76" s="7" t="s">
        <v>112</v>
      </c>
      <c r="X76" s="8"/>
      <c r="Y76" s="9">
        <f>VALUE(U77)</f>
        <v>0.51526000000000005</v>
      </c>
      <c r="Z76" s="6"/>
      <c r="AA76" s="6"/>
    </row>
    <row r="77" spans="1:27" ht="15.75" thickBot="1" x14ac:dyDescent="0.3">
      <c r="A77" s="10">
        <f>A76+1</f>
        <v>15</v>
      </c>
      <c r="B77" s="10">
        <f t="shared" si="28"/>
        <v>4</v>
      </c>
      <c r="C77" s="10" t="str">
        <f>INDEX('Data Import'!$O$2:$O$11,B77)</f>
        <v>joseph</v>
      </c>
      <c r="D77" s="13">
        <f ca="1">SUMIF('Data Import'!$K$2:$K$1701,C77&amp;A77,'Data Import'!$I$2:$I$1531)</f>
        <v>93.182000000000002</v>
      </c>
      <c r="E77" s="10" t="e">
        <f>INDEX('Data Import'!$AT$2:$AT$131,MATCH(A77&amp;"-"&amp;B77,'Data Import'!$AU$2:$AU$131,0))</f>
        <v>#N/A</v>
      </c>
      <c r="F77" s="10" t="e">
        <f>INDEX('Data Import'!$O$2:$O$11,E77)</f>
        <v>#N/A</v>
      </c>
      <c r="G77" s="13">
        <f ca="1">SUMIF('Data Import'!$K$2:$K$1701,F77&amp;A77,'Data Import'!$I$2:$I$1531)</f>
        <v>0</v>
      </c>
      <c r="H77" s="14" t="str">
        <f>INDEX('Data Import'!$P$2:$AG$11,B77,A77)</f>
        <v>0.50465</v>
      </c>
      <c r="I77" s="10"/>
      <c r="J77" s="7" t="s">
        <v>113</v>
      </c>
      <c r="K77" s="15">
        <f ca="1">SUM(D76:D77)</f>
        <v>201.751</v>
      </c>
      <c r="L77" s="17">
        <f>VALUE(H78)</f>
        <v>0.27211999999999997</v>
      </c>
      <c r="M77" s="10"/>
      <c r="N77" s="10">
        <f>N76+1</f>
        <v>15</v>
      </c>
      <c r="O77" s="10">
        <f t="shared" si="32"/>
        <v>9</v>
      </c>
      <c r="P77" s="10" t="str">
        <f>INDEX('Data Import'!$O$2:$O$11,O77)</f>
        <v>colin</v>
      </c>
      <c r="Q77" s="13">
        <f ca="1">SUMIF('Data Import'!$K$2:$K$1701,P77&amp;N77,'Data Import'!$I$2:$I$1531)</f>
        <v>91.011300000000006</v>
      </c>
      <c r="R77" s="10" t="e">
        <f>INDEX('Data Import'!$AT$2:$AT$131,MATCH(N77&amp;"-"&amp;O77,'Data Import'!$AU$2:$AU$131,0))</f>
        <v>#N/A</v>
      </c>
      <c r="S77" s="10" t="e">
        <f>INDEX('Data Import'!$O$2:$O$11,R77)</f>
        <v>#N/A</v>
      </c>
      <c r="T77" s="13">
        <f ca="1">SUMIF('Data Import'!$K$2:$K$1701,S77&amp;N77,'Data Import'!$I$2:$I$1531)</f>
        <v>0</v>
      </c>
      <c r="U77" s="14" t="str">
        <f>INDEX('Data Import'!$P$2:$AG$11,O77,N77)</f>
        <v>0.51526</v>
      </c>
      <c r="V77" s="10"/>
      <c r="W77" s="7" t="s">
        <v>113</v>
      </c>
      <c r="X77" s="15">
        <f ca="1">SUM(Q76:Q77)</f>
        <v>180.7919</v>
      </c>
      <c r="Y77" s="17">
        <f>VALUE(U78)</f>
        <v>0.15326000000000001</v>
      </c>
      <c r="Z77" s="6"/>
      <c r="AA77" s="6"/>
    </row>
    <row r="78" spans="1:27" ht="15.75" thickBot="1" x14ac:dyDescent="0.3">
      <c r="A78" s="10">
        <f>A77+1</f>
        <v>16</v>
      </c>
      <c r="B78" s="10">
        <f t="shared" si="28"/>
        <v>4</v>
      </c>
      <c r="C78" s="10" t="str">
        <f>INDEX('Data Import'!$O$2:$O$11,B78)</f>
        <v>joseph</v>
      </c>
      <c r="D78" s="13">
        <f ca="1">SUMIF('Data Import'!$K$2:$K$1701,C78&amp;A78,'Data Import'!$I$2:$I$1531)</f>
        <v>99.377200000000016</v>
      </c>
      <c r="E78" s="10" t="e">
        <f>INDEX('Data Import'!$AT$2:$AT$131,MATCH(A78&amp;"-"&amp;B78,'Data Import'!$AU$2:$AU$131,0))</f>
        <v>#N/A</v>
      </c>
      <c r="F78" s="10" t="e">
        <f>INDEX('Data Import'!$O$2:$O$11,E78)</f>
        <v>#N/A</v>
      </c>
      <c r="G78" s="13">
        <f ca="1">SUMIF('Data Import'!$K$2:$K$1701,F78&amp;A78,'Data Import'!$I$2:$I$1531)</f>
        <v>0</v>
      </c>
      <c r="H78" s="14" t="str">
        <f>INDEX('Data Import'!$P$2:$AG$11,B78,A78+1)</f>
        <v>0.27212</v>
      </c>
      <c r="I78" s="10"/>
      <c r="J78" s="7" t="s">
        <v>114</v>
      </c>
      <c r="K78" s="16">
        <f ca="1">SUM(D78:D79)</f>
        <v>200.57920000000001</v>
      </c>
      <c r="L78" s="18">
        <f>VALUE(H79)</f>
        <v>0.12021</v>
      </c>
      <c r="M78" s="10"/>
      <c r="N78" s="10">
        <f>N77+1</f>
        <v>16</v>
      </c>
      <c r="O78" s="10">
        <f t="shared" si="32"/>
        <v>9</v>
      </c>
      <c r="P78" s="10" t="str">
        <f>INDEX('Data Import'!$O$2:$O$11,O78)</f>
        <v>colin</v>
      </c>
      <c r="Q78" s="13">
        <f ca="1">SUMIF('Data Import'!$K$2:$K$1701,P78&amp;N78,'Data Import'!$I$2:$I$1531)</f>
        <v>92.820599999999999</v>
      </c>
      <c r="R78" s="10" t="e">
        <f>INDEX('Data Import'!$AT$2:$AT$131,MATCH(N78&amp;"-"&amp;O78,'Data Import'!$AU$2:$AU$131,0))</f>
        <v>#N/A</v>
      </c>
      <c r="S78" s="10" t="e">
        <f>INDEX('Data Import'!$O$2:$O$11,R78)</f>
        <v>#N/A</v>
      </c>
      <c r="T78" s="13">
        <f ca="1">SUMIF('Data Import'!$K$2:$K$1701,S78&amp;N78,'Data Import'!$I$2:$I$1531)</f>
        <v>0</v>
      </c>
      <c r="U78" s="14" t="str">
        <f>INDEX('Data Import'!$P$2:$AG$11,O78,N78+1)</f>
        <v>0.15326</v>
      </c>
      <c r="V78" s="10"/>
      <c r="W78" s="7" t="s">
        <v>114</v>
      </c>
      <c r="X78" s="16">
        <f ca="1">SUM(Q78:Q79)</f>
        <v>178.88120000000001</v>
      </c>
      <c r="Y78" s="18">
        <f>VALUE(U79)</f>
        <v>3.3459999999999997E-2</v>
      </c>
      <c r="Z78" s="6"/>
      <c r="AA78" s="6"/>
    </row>
    <row r="79" spans="1:27" x14ac:dyDescent="0.25">
      <c r="A79" s="10">
        <f>A78+1</f>
        <v>17</v>
      </c>
      <c r="B79" s="10">
        <f t="shared" si="28"/>
        <v>4</v>
      </c>
      <c r="C79" s="10" t="str">
        <f>INDEX('Data Import'!$O$2:$O$11,B79)</f>
        <v>joseph</v>
      </c>
      <c r="D79" s="13">
        <f ca="1">SUMIF('Data Import'!$K$2:$K$1701,C79&amp;A79,'Data Import'!$I$2:$I$1531)</f>
        <v>101.20200000000001</v>
      </c>
      <c r="E79" s="10" t="e">
        <f>INDEX('Data Import'!$AT$2:$AT$131,MATCH(A79&amp;"-"&amp;B79,'Data Import'!$AU$2:$AU$131,0))</f>
        <v>#N/A</v>
      </c>
      <c r="F79" s="10" t="e">
        <f>INDEX('Data Import'!$O$2:$O$11,E79)</f>
        <v>#N/A</v>
      </c>
      <c r="G79" s="13">
        <f ca="1">SUMIF('Data Import'!$K$2:$K$1701,F79&amp;A79,'Data Import'!$I$2:$I$1531)</f>
        <v>0</v>
      </c>
      <c r="H79" s="14" t="str">
        <f>INDEX('Data Import'!$P$2:$AG$11,B79,A79+1)</f>
        <v>0.12021</v>
      </c>
      <c r="I79" s="10"/>
      <c r="J79" s="10"/>
      <c r="K79" s="11"/>
      <c r="L79" s="12"/>
      <c r="M79" s="10"/>
      <c r="N79" s="10">
        <f>N78+1</f>
        <v>17</v>
      </c>
      <c r="O79" s="10">
        <f t="shared" si="32"/>
        <v>9</v>
      </c>
      <c r="P79" s="10" t="str">
        <f>INDEX('Data Import'!$O$2:$O$11,O79)</f>
        <v>colin</v>
      </c>
      <c r="Q79" s="13">
        <f ca="1">SUMIF('Data Import'!$K$2:$K$1701,P79&amp;N79,'Data Import'!$I$2:$I$1531)</f>
        <v>86.060600000000008</v>
      </c>
      <c r="R79" s="10" t="e">
        <f>INDEX('Data Import'!$AT$2:$AT$131,MATCH(N79&amp;"-"&amp;O79,'Data Import'!$AU$2:$AU$131,0))</f>
        <v>#N/A</v>
      </c>
      <c r="S79" s="10" t="e">
        <f>INDEX('Data Import'!$O$2:$O$11,R79)</f>
        <v>#N/A</v>
      </c>
      <c r="T79" s="13">
        <f ca="1">SUMIF('Data Import'!$K$2:$K$1701,S79&amp;N79,'Data Import'!$I$2:$I$1531)</f>
        <v>0</v>
      </c>
      <c r="U79" s="14" t="str">
        <f>INDEX('Data Import'!$P$2:$AG$11,O79,N79+1)</f>
        <v>0.03346</v>
      </c>
      <c r="V79" s="10"/>
      <c r="W79" s="10"/>
      <c r="X79" s="11"/>
      <c r="Y79" s="12"/>
      <c r="Z79" s="6"/>
      <c r="AA79" s="6"/>
    </row>
    <row r="80" spans="1:27" x14ac:dyDescent="0.25">
      <c r="A80" s="10"/>
      <c r="B80" s="10"/>
      <c r="C80" s="10"/>
      <c r="D80" s="10"/>
      <c r="E80" s="10"/>
      <c r="F80" s="10"/>
      <c r="G80" s="10"/>
      <c r="H80" s="10"/>
      <c r="I80" s="10"/>
      <c r="J80" s="10"/>
      <c r="K80" s="10"/>
      <c r="L80" s="10"/>
      <c r="M80" s="6"/>
      <c r="N80" s="6"/>
      <c r="O80" s="10"/>
      <c r="P80" s="6"/>
      <c r="Q80" s="6"/>
      <c r="R80" s="6"/>
      <c r="S80" s="6"/>
      <c r="T80" s="6"/>
      <c r="U80" s="6"/>
      <c r="V80" s="6"/>
      <c r="W80" s="6"/>
      <c r="X80" s="6"/>
      <c r="Y80" s="6"/>
      <c r="Z80" s="6"/>
      <c r="AA80" s="6"/>
    </row>
    <row r="81" spans="1:27" ht="21" x14ac:dyDescent="0.35">
      <c r="A81" s="10"/>
      <c r="B81" s="10"/>
      <c r="C81" s="10"/>
      <c r="D81" s="10"/>
      <c r="E81" s="10"/>
      <c r="F81" s="10"/>
      <c r="G81" s="10"/>
      <c r="H81" s="10"/>
      <c r="I81" s="10"/>
      <c r="J81" s="98" t="str">
        <f>C83</f>
        <v>alyssa</v>
      </c>
      <c r="K81" s="98"/>
      <c r="L81" s="98"/>
      <c r="M81" s="10"/>
      <c r="N81" s="10"/>
      <c r="O81" s="10"/>
      <c r="P81" s="10"/>
      <c r="Q81" s="10"/>
      <c r="R81" s="10"/>
      <c r="S81" s="10"/>
      <c r="T81" s="10"/>
      <c r="U81" s="10"/>
      <c r="V81" s="10"/>
      <c r="W81" s="98" t="str">
        <f>P83</f>
        <v>paul</v>
      </c>
      <c r="X81" s="98"/>
      <c r="Y81" s="98"/>
      <c r="Z81" s="6"/>
      <c r="AA81" s="6"/>
    </row>
    <row r="82" spans="1:27" x14ac:dyDescent="0.25">
      <c r="A82" s="10" t="s">
        <v>99</v>
      </c>
      <c r="B82" s="10" t="s">
        <v>102</v>
      </c>
      <c r="C82" s="10" t="s">
        <v>103</v>
      </c>
      <c r="D82" s="10" t="s">
        <v>104</v>
      </c>
      <c r="E82" s="10" t="s">
        <v>105</v>
      </c>
      <c r="F82" s="10" t="s">
        <v>101</v>
      </c>
      <c r="G82" s="10" t="s">
        <v>107</v>
      </c>
      <c r="H82" s="10" t="s">
        <v>109</v>
      </c>
      <c r="I82" s="10"/>
      <c r="J82" s="8" t="s">
        <v>110</v>
      </c>
      <c r="K82" s="8" t="s">
        <v>111</v>
      </c>
      <c r="L82" s="7" t="s">
        <v>108</v>
      </c>
      <c r="M82" s="10"/>
      <c r="N82" s="10" t="s">
        <v>99</v>
      </c>
      <c r="O82" s="10" t="s">
        <v>102</v>
      </c>
      <c r="P82" s="10" t="s">
        <v>103</v>
      </c>
      <c r="Q82" s="10" t="s">
        <v>104</v>
      </c>
      <c r="R82" s="10" t="s">
        <v>105</v>
      </c>
      <c r="S82" s="10" t="s">
        <v>101</v>
      </c>
      <c r="T82" s="10" t="s">
        <v>107</v>
      </c>
      <c r="U82" s="10" t="s">
        <v>109</v>
      </c>
      <c r="V82" s="10"/>
      <c r="W82" s="8" t="s">
        <v>110</v>
      </c>
      <c r="X82" s="8" t="s">
        <v>111</v>
      </c>
      <c r="Y82" s="7" t="s">
        <v>108</v>
      </c>
      <c r="Z82" s="6"/>
      <c r="AA82" s="6"/>
    </row>
    <row r="83" spans="1:27" x14ac:dyDescent="0.25">
      <c r="A83" s="10">
        <v>1</v>
      </c>
      <c r="B83" s="10">
        <f>B63+1</f>
        <v>5</v>
      </c>
      <c r="C83" s="10" t="str">
        <f>INDEX('Data Import'!$O$2:$O$11,B83)</f>
        <v>alyssa</v>
      </c>
      <c r="D83" s="13">
        <f ca="1">SUMIF('Data Import'!$K$2:$K$1701,C83&amp;A83,'Data Import'!$I$2:$I$1531)</f>
        <v>103.6204</v>
      </c>
      <c r="E83" s="10">
        <f>INDEX('Data Import'!$AT$2:$AT$131,MATCH(A83&amp;"-"&amp;B83,'Data Import'!$AU$2:$AU$131,0))</f>
        <v>1</v>
      </c>
      <c r="F83" s="10" t="str">
        <f>INDEX('Data Import'!$O$2:$O$11,E83)</f>
        <v>andrew</v>
      </c>
      <c r="G83" s="13">
        <f ca="1">SUMIF('Data Import'!$K$2:$K$1701,F83&amp;A83,'Data Import'!$I$2:$I$1531)</f>
        <v>100.5127</v>
      </c>
      <c r="H83" s="14">
        <f>INDEX('Data Import'!$P$15:$AB$24,B83,A83)</f>
        <v>0</v>
      </c>
      <c r="I83" s="10"/>
      <c r="J83" s="7" t="str">
        <f>"Wk "&amp;A83&amp;" - "&amp;F83</f>
        <v>Wk 1 - andrew</v>
      </c>
      <c r="K83" s="8" t="str">
        <f ca="1">TEXT(D83,"0.0")&amp;" - "&amp;TEXT(G83,"0.0")</f>
        <v>103.6 - 100.5</v>
      </c>
      <c r="L83" s="9">
        <f>H83</f>
        <v>0</v>
      </c>
      <c r="M83" s="10"/>
      <c r="N83" s="10">
        <v>1</v>
      </c>
      <c r="O83" s="10">
        <f>O63+1</f>
        <v>10</v>
      </c>
      <c r="P83" s="10" t="str">
        <f>INDEX('Data Import'!$O$2:$O$11,O83)</f>
        <v>paul</v>
      </c>
      <c r="Q83" s="13">
        <f ca="1">SUMIF('Data Import'!$K$2:$K$1701,P83&amp;N83,'Data Import'!$I$2:$I$1531)</f>
        <v>102.44130000000001</v>
      </c>
      <c r="R83" s="10">
        <f>INDEX('Data Import'!$AT$2:$AT$131,MATCH(N83&amp;"-"&amp;O83,'Data Import'!$AU$2:$AU$131,0))</f>
        <v>9</v>
      </c>
      <c r="S83" s="10" t="str">
        <f>INDEX('Data Import'!$O$2:$O$11,R83)</f>
        <v>colin</v>
      </c>
      <c r="T83" s="13">
        <f ca="1">SUMIF('Data Import'!$K$2:$K$1701,S83&amp;N83,'Data Import'!$I$2:$I$1531)</f>
        <v>99.388300000000001</v>
      </c>
      <c r="U83" s="14">
        <f>INDEX('Data Import'!$P$15:$AB$24,O83,N83)</f>
        <v>0</v>
      </c>
      <c r="V83" s="10"/>
      <c r="W83" s="7" t="str">
        <f>"Wk "&amp;N83&amp;" - "&amp;S83</f>
        <v>Wk 1 - colin</v>
      </c>
      <c r="X83" s="8" t="str">
        <f ca="1">TEXT(Q83,"0.0")&amp;" - "&amp;TEXT(T83,"0.0")</f>
        <v>102.4 - 99.4</v>
      </c>
      <c r="Y83" s="9">
        <f>U83</f>
        <v>0</v>
      </c>
      <c r="Z83" s="6"/>
      <c r="AA83" s="6"/>
    </row>
    <row r="84" spans="1:27" x14ac:dyDescent="0.25">
      <c r="A84" s="10">
        <f>A83+1</f>
        <v>2</v>
      </c>
      <c r="B84" s="10">
        <f t="shared" ref="B84:B99" si="38">B64+1</f>
        <v>5</v>
      </c>
      <c r="C84" s="10" t="str">
        <f>INDEX('Data Import'!$O$2:$O$11,B84)</f>
        <v>alyssa</v>
      </c>
      <c r="D84" s="13">
        <f ca="1">SUMIF('Data Import'!$K$2:$K$1701,C84&amp;A84,'Data Import'!$I$2:$I$1531)</f>
        <v>99.139600000000002</v>
      </c>
      <c r="E84" s="10">
        <f>INDEX('Data Import'!$AT$2:$AT$131,MATCH(A84&amp;"-"&amp;B84,'Data Import'!$AU$2:$AU$131,0))</f>
        <v>4</v>
      </c>
      <c r="F84" s="10" t="str">
        <f>INDEX('Data Import'!$O$2:$O$11,E84)</f>
        <v>joseph</v>
      </c>
      <c r="G84" s="13">
        <f ca="1">SUMIF('Data Import'!$K$2:$K$1701,F84&amp;A84,'Data Import'!$I$2:$I$1531)</f>
        <v>100.6018</v>
      </c>
      <c r="H84" s="14">
        <f>INDEX('Data Import'!$P$15:$AB$24,B84,A84)</f>
        <v>1</v>
      </c>
      <c r="I84" s="10"/>
      <c r="J84" s="7" t="str">
        <f t="shared" ref="J84:J94" si="39">"Wk "&amp;A84&amp;" - "&amp;F84</f>
        <v>Wk 2 - joseph</v>
      </c>
      <c r="K84" s="8" t="str">
        <f t="shared" ref="K84:K94" ca="1" si="40">TEXT(D84,"0.0")&amp;" - "&amp;TEXT(G84,"0.0")</f>
        <v>99.1 - 100.6</v>
      </c>
      <c r="L84" s="9">
        <f t="shared" ref="L84:L94" si="41">H84</f>
        <v>1</v>
      </c>
      <c r="M84" s="10"/>
      <c r="N84" s="10">
        <f>N83+1</f>
        <v>2</v>
      </c>
      <c r="O84" s="10">
        <f t="shared" ref="O84:O99" si="42">O64+1</f>
        <v>10</v>
      </c>
      <c r="P84" s="10" t="str">
        <f>INDEX('Data Import'!$O$2:$O$11,O84)</f>
        <v>paul</v>
      </c>
      <c r="Q84" s="13">
        <f ca="1">SUMIF('Data Import'!$K$2:$K$1701,P84&amp;N84,'Data Import'!$I$2:$I$1531)</f>
        <v>98.564599999999984</v>
      </c>
      <c r="R84" s="10">
        <f>INDEX('Data Import'!$AT$2:$AT$131,MATCH(N84&amp;"-"&amp;O84,'Data Import'!$AU$2:$AU$131,0))</f>
        <v>6</v>
      </c>
      <c r="S84" s="10" t="str">
        <f>INDEX('Data Import'!$O$2:$O$11,R84)</f>
        <v>chris</v>
      </c>
      <c r="T84" s="13">
        <f ca="1">SUMIF('Data Import'!$K$2:$K$1701,S84&amp;N84,'Data Import'!$I$2:$I$1531)</f>
        <v>80.594300000000004</v>
      </c>
      <c r="U84" s="14">
        <f>INDEX('Data Import'!$P$15:$AB$24,O84,N84)</f>
        <v>0</v>
      </c>
      <c r="V84" s="10"/>
      <c r="W84" s="7" t="str">
        <f t="shared" ref="W84:W94" si="43">"Wk "&amp;N84&amp;" - "&amp;S84</f>
        <v>Wk 2 - chris</v>
      </c>
      <c r="X84" s="8" t="str">
        <f t="shared" ref="X84:X94" ca="1" si="44">TEXT(Q84,"0.0")&amp;" - "&amp;TEXT(T84,"0.0")</f>
        <v>98.6 - 80.6</v>
      </c>
      <c r="Y84" s="9">
        <f t="shared" ref="Y84:Y94" si="45">U84</f>
        <v>0</v>
      </c>
      <c r="Z84" s="6"/>
      <c r="AA84" s="6"/>
    </row>
    <row r="85" spans="1:27" x14ac:dyDescent="0.25">
      <c r="A85" s="10">
        <f t="shared" ref="A85:A94" si="46">A84+1</f>
        <v>3</v>
      </c>
      <c r="B85" s="10">
        <f t="shared" si="38"/>
        <v>5</v>
      </c>
      <c r="C85" s="10" t="str">
        <f>INDEX('Data Import'!$O$2:$O$11,B85)</f>
        <v>alyssa</v>
      </c>
      <c r="D85" s="13">
        <f ca="1">SUMIF('Data Import'!$K$2:$K$1701,C85&amp;A85,'Data Import'!$I$2:$I$1531)</f>
        <v>103.59769999999999</v>
      </c>
      <c r="E85" s="10">
        <f>INDEX('Data Import'!$AT$2:$AT$131,MATCH(A85&amp;"-"&amp;B85,'Data Import'!$AU$2:$AU$131,0))</f>
        <v>9</v>
      </c>
      <c r="F85" s="10" t="str">
        <f>INDEX('Data Import'!$O$2:$O$11,E85)</f>
        <v>colin</v>
      </c>
      <c r="G85" s="13">
        <f ca="1">SUMIF('Data Import'!$K$2:$K$1701,F85&amp;A85,'Data Import'!$I$2:$I$1531)</f>
        <v>93.490500000000011</v>
      </c>
      <c r="H85" s="14">
        <f>INDEX('Data Import'!$P$15:$AB$24,B85,A85)</f>
        <v>0.64588000000000001</v>
      </c>
      <c r="I85" s="10"/>
      <c r="J85" s="7" t="str">
        <f t="shared" si="39"/>
        <v>Wk 3 - colin</v>
      </c>
      <c r="K85" s="8" t="str">
        <f t="shared" ca="1" si="40"/>
        <v>103.6 - 93.5</v>
      </c>
      <c r="L85" s="9">
        <f t="shared" si="41"/>
        <v>0.64588000000000001</v>
      </c>
      <c r="M85" s="10"/>
      <c r="N85" s="10">
        <f t="shared" ref="N85:N94" si="47">N84+1</f>
        <v>3</v>
      </c>
      <c r="O85" s="10">
        <f t="shared" si="42"/>
        <v>10</v>
      </c>
      <c r="P85" s="10" t="str">
        <f>INDEX('Data Import'!$O$2:$O$11,O85)</f>
        <v>paul</v>
      </c>
      <c r="Q85" s="13">
        <f ca="1">SUMIF('Data Import'!$K$2:$K$1701,P85&amp;N85,'Data Import'!$I$2:$I$1531)</f>
        <v>104.92000000000002</v>
      </c>
      <c r="R85" s="10">
        <f>INDEX('Data Import'!$AT$2:$AT$131,MATCH(N85&amp;"-"&amp;O85,'Data Import'!$AU$2:$AU$131,0))</f>
        <v>7</v>
      </c>
      <c r="S85" s="10" t="str">
        <f>INDEX('Data Import'!$O$2:$O$11,R85)</f>
        <v>jordan</v>
      </c>
      <c r="T85" s="13">
        <f ca="1">SUMIF('Data Import'!$K$2:$K$1701,S85&amp;N85,'Data Import'!$I$2:$I$1531)</f>
        <v>101.62739999999999</v>
      </c>
      <c r="U85" s="14">
        <f>INDEX('Data Import'!$P$15:$AB$24,O85,N85)</f>
        <v>0.53391999999999995</v>
      </c>
      <c r="V85" s="10"/>
      <c r="W85" s="7" t="str">
        <f t="shared" si="43"/>
        <v>Wk 3 - jordan</v>
      </c>
      <c r="X85" s="8" t="str">
        <f t="shared" ca="1" si="44"/>
        <v>104.9 - 101.6</v>
      </c>
      <c r="Y85" s="9">
        <f t="shared" si="45"/>
        <v>0.53391999999999995</v>
      </c>
      <c r="Z85" s="6"/>
      <c r="AA85" s="6"/>
    </row>
    <row r="86" spans="1:27" x14ac:dyDescent="0.25">
      <c r="A86" s="10">
        <f t="shared" si="46"/>
        <v>4</v>
      </c>
      <c r="B86" s="10">
        <f t="shared" si="38"/>
        <v>5</v>
      </c>
      <c r="C86" s="10" t="str">
        <f>INDEX('Data Import'!$O$2:$O$11,B86)</f>
        <v>alyssa</v>
      </c>
      <c r="D86" s="13">
        <f ca="1">SUMIF('Data Import'!$K$2:$K$1701,C86&amp;A86,'Data Import'!$I$2:$I$1531)</f>
        <v>100.9349</v>
      </c>
      <c r="E86" s="10">
        <f>INDEX('Data Import'!$AT$2:$AT$131,MATCH(A86&amp;"-"&amp;B86,'Data Import'!$AU$2:$AU$131,0))</f>
        <v>2</v>
      </c>
      <c r="F86" s="10" t="str">
        <f>INDEX('Data Import'!$O$2:$O$11,E86)</f>
        <v>jake</v>
      </c>
      <c r="G86" s="13">
        <f ca="1">SUMIF('Data Import'!$K$2:$K$1701,F86&amp;A86,'Data Import'!$I$2:$I$1531)</f>
        <v>96.797200000000004</v>
      </c>
      <c r="H86" s="14">
        <f>INDEX('Data Import'!$P$15:$AB$24,B86,A86)</f>
        <v>0.55901999999999996</v>
      </c>
      <c r="I86" s="10"/>
      <c r="J86" s="7" t="str">
        <f t="shared" si="39"/>
        <v>Wk 4 - jake</v>
      </c>
      <c r="K86" s="8" t="str">
        <f t="shared" ca="1" si="40"/>
        <v>100.9 - 96.8</v>
      </c>
      <c r="L86" s="9">
        <f t="shared" si="41"/>
        <v>0.55901999999999996</v>
      </c>
      <c r="M86" s="10"/>
      <c r="N86" s="10">
        <f t="shared" si="47"/>
        <v>4</v>
      </c>
      <c r="O86" s="10">
        <f t="shared" si="42"/>
        <v>10</v>
      </c>
      <c r="P86" s="10" t="str">
        <f>INDEX('Data Import'!$O$2:$O$11,O86)</f>
        <v>paul</v>
      </c>
      <c r="Q86" s="13">
        <f ca="1">SUMIF('Data Import'!$K$2:$K$1701,P86&amp;N86,'Data Import'!$I$2:$I$1531)</f>
        <v>94.072500000000005</v>
      </c>
      <c r="R86" s="10">
        <f>INDEX('Data Import'!$AT$2:$AT$131,MATCH(N86&amp;"-"&amp;O86,'Data Import'!$AU$2:$AU$131,0))</f>
        <v>1</v>
      </c>
      <c r="S86" s="10" t="str">
        <f>INDEX('Data Import'!$O$2:$O$11,R86)</f>
        <v>andrew</v>
      </c>
      <c r="T86" s="13">
        <f ca="1">SUMIF('Data Import'!$K$2:$K$1701,S86&amp;N86,'Data Import'!$I$2:$I$1531)</f>
        <v>99.797399999999996</v>
      </c>
      <c r="U86" s="14">
        <f>INDEX('Data Import'!$P$15:$AB$24,O86,N86)</f>
        <v>0.41477999999999998</v>
      </c>
      <c r="V86" s="10"/>
      <c r="W86" s="7" t="str">
        <f t="shared" si="43"/>
        <v>Wk 4 - andrew</v>
      </c>
      <c r="X86" s="8" t="str">
        <f t="shared" ca="1" si="44"/>
        <v>94.1 - 99.8</v>
      </c>
      <c r="Y86" s="9">
        <f t="shared" si="45"/>
        <v>0.41477999999999998</v>
      </c>
      <c r="Z86" s="6"/>
      <c r="AA86" s="6"/>
    </row>
    <row r="87" spans="1:27" x14ac:dyDescent="0.25">
      <c r="A87" s="10">
        <f t="shared" si="46"/>
        <v>5</v>
      </c>
      <c r="B87" s="10">
        <f t="shared" si="38"/>
        <v>5</v>
      </c>
      <c r="C87" s="10" t="str">
        <f>INDEX('Data Import'!$O$2:$O$11,B87)</f>
        <v>alyssa</v>
      </c>
      <c r="D87" s="13">
        <f ca="1">SUMIF('Data Import'!$K$2:$K$1701,C87&amp;A87,'Data Import'!$I$2:$I$1531)</f>
        <v>100.6617</v>
      </c>
      <c r="E87" s="10">
        <f>INDEX('Data Import'!$AT$2:$AT$131,MATCH(A87&amp;"-"&amp;B87,'Data Import'!$AU$2:$AU$131,0))</f>
        <v>3</v>
      </c>
      <c r="F87" s="10" t="str">
        <f>INDEX('Data Import'!$O$2:$O$11,E87)</f>
        <v>breanna</v>
      </c>
      <c r="G87" s="13">
        <f ca="1">SUMIF('Data Import'!$K$2:$K$1701,F87&amp;A87,'Data Import'!$I$2:$I$1531)</f>
        <v>97.439800000000005</v>
      </c>
      <c r="H87" s="14">
        <f>INDEX('Data Import'!$P$15:$AB$24,B87,A87)</f>
        <v>0.54922000000000004</v>
      </c>
      <c r="I87" s="10"/>
      <c r="J87" s="7" t="str">
        <f t="shared" si="39"/>
        <v>Wk 5 - breanna</v>
      </c>
      <c r="K87" s="8" t="str">
        <f t="shared" ca="1" si="40"/>
        <v>100.7 - 97.4</v>
      </c>
      <c r="L87" s="9">
        <f t="shared" si="41"/>
        <v>0.54922000000000004</v>
      </c>
      <c r="M87" s="10"/>
      <c r="N87" s="10">
        <f t="shared" si="47"/>
        <v>5</v>
      </c>
      <c r="O87" s="10">
        <f t="shared" si="42"/>
        <v>10</v>
      </c>
      <c r="P87" s="10" t="str">
        <f>INDEX('Data Import'!$O$2:$O$11,O87)</f>
        <v>paul</v>
      </c>
      <c r="Q87" s="13">
        <f ca="1">SUMIF('Data Import'!$K$2:$K$1701,P87&amp;N87,'Data Import'!$I$2:$I$1531)</f>
        <v>109.5926</v>
      </c>
      <c r="R87" s="10">
        <f>INDEX('Data Import'!$AT$2:$AT$131,MATCH(N87&amp;"-"&amp;O87,'Data Import'!$AU$2:$AU$131,0))</f>
        <v>8</v>
      </c>
      <c r="S87" s="10" t="str">
        <f>INDEX('Data Import'!$O$2:$O$11,R87)</f>
        <v>alex</v>
      </c>
      <c r="T87" s="13">
        <f ca="1">SUMIF('Data Import'!$K$2:$K$1701,S87&amp;N87,'Data Import'!$I$2:$I$1531)</f>
        <v>89.521100000000004</v>
      </c>
      <c r="U87" s="14">
        <f>INDEX('Data Import'!$P$15:$AB$24,O87,N87)</f>
        <v>0.78012000000000004</v>
      </c>
      <c r="V87" s="10"/>
      <c r="W87" s="7" t="str">
        <f t="shared" si="43"/>
        <v>Wk 5 - alex</v>
      </c>
      <c r="X87" s="8" t="str">
        <f t="shared" ca="1" si="44"/>
        <v>109.6 - 89.5</v>
      </c>
      <c r="Y87" s="9">
        <f t="shared" si="45"/>
        <v>0.78012000000000004</v>
      </c>
      <c r="Z87" s="6"/>
      <c r="AA87" s="6"/>
    </row>
    <row r="88" spans="1:27" x14ac:dyDescent="0.25">
      <c r="A88" s="10">
        <f t="shared" si="46"/>
        <v>6</v>
      </c>
      <c r="B88" s="10">
        <f t="shared" si="38"/>
        <v>5</v>
      </c>
      <c r="C88" s="10" t="str">
        <f>INDEX('Data Import'!$O$2:$O$11,B88)</f>
        <v>alyssa</v>
      </c>
      <c r="D88" s="13">
        <f ca="1">SUMIF('Data Import'!$K$2:$K$1701,C88&amp;A88,'Data Import'!$I$2:$I$1531)</f>
        <v>100.57899999999999</v>
      </c>
      <c r="E88" s="10">
        <f>INDEX('Data Import'!$AT$2:$AT$131,MATCH(A88&amp;"-"&amp;B88,'Data Import'!$AU$2:$AU$131,0))</f>
        <v>7</v>
      </c>
      <c r="F88" s="10" t="str">
        <f>INDEX('Data Import'!$O$2:$O$11,E88)</f>
        <v>jordan</v>
      </c>
      <c r="G88" s="13">
        <f ca="1">SUMIF('Data Import'!$K$2:$K$1701,F88&amp;A88,'Data Import'!$I$2:$I$1531)</f>
        <v>99.735500000000002</v>
      </c>
      <c r="H88" s="14">
        <f>INDEX('Data Import'!$P$15:$AB$24,B88,A88)</f>
        <v>0.51627000000000001</v>
      </c>
      <c r="I88" s="10"/>
      <c r="J88" s="7" t="str">
        <f t="shared" si="39"/>
        <v>Wk 6 - jordan</v>
      </c>
      <c r="K88" s="8" t="str">
        <f t="shared" ca="1" si="40"/>
        <v>100.6 - 99.7</v>
      </c>
      <c r="L88" s="9">
        <f t="shared" si="41"/>
        <v>0.51627000000000001</v>
      </c>
      <c r="M88" s="10"/>
      <c r="N88" s="10">
        <f t="shared" si="47"/>
        <v>6</v>
      </c>
      <c r="O88" s="10">
        <f t="shared" si="42"/>
        <v>10</v>
      </c>
      <c r="P88" s="10" t="str">
        <f>INDEX('Data Import'!$O$2:$O$11,O88)</f>
        <v>paul</v>
      </c>
      <c r="Q88" s="13">
        <f ca="1">SUMIF('Data Import'!$K$2:$K$1701,P88&amp;N88,'Data Import'!$I$2:$I$1531)</f>
        <v>109.06379999999999</v>
      </c>
      <c r="R88" s="10">
        <f>INDEX('Data Import'!$AT$2:$AT$131,MATCH(N88&amp;"-"&amp;O88,'Data Import'!$AU$2:$AU$131,0))</f>
        <v>2</v>
      </c>
      <c r="S88" s="10" t="str">
        <f>INDEX('Data Import'!$O$2:$O$11,R88)</f>
        <v>jake</v>
      </c>
      <c r="T88" s="13">
        <f ca="1">SUMIF('Data Import'!$K$2:$K$1701,S88&amp;N88,'Data Import'!$I$2:$I$1531)</f>
        <v>96.762399999999985</v>
      </c>
      <c r="U88" s="14">
        <f>INDEX('Data Import'!$P$15:$AB$24,O88,N88)</f>
        <v>0.67083000000000004</v>
      </c>
      <c r="V88" s="10"/>
      <c r="W88" s="7" t="str">
        <f t="shared" si="43"/>
        <v>Wk 6 - jake</v>
      </c>
      <c r="X88" s="8" t="str">
        <f t="shared" ca="1" si="44"/>
        <v>109.1 - 96.8</v>
      </c>
      <c r="Y88" s="9">
        <f t="shared" si="45"/>
        <v>0.67083000000000004</v>
      </c>
      <c r="Z88" s="6"/>
      <c r="AA88" s="6"/>
    </row>
    <row r="89" spans="1:27" x14ac:dyDescent="0.25">
      <c r="A89" s="10">
        <f t="shared" si="46"/>
        <v>7</v>
      </c>
      <c r="B89" s="10">
        <f t="shared" si="38"/>
        <v>5</v>
      </c>
      <c r="C89" s="10" t="str">
        <f>INDEX('Data Import'!$O$2:$O$11,B89)</f>
        <v>alyssa</v>
      </c>
      <c r="D89" s="13">
        <f ca="1">SUMIF('Data Import'!$K$2:$K$1701,C89&amp;A89,'Data Import'!$I$2:$I$1531)</f>
        <v>99.743800000000007</v>
      </c>
      <c r="E89" s="10">
        <f>INDEX('Data Import'!$AT$2:$AT$131,MATCH(A89&amp;"-"&amp;B89,'Data Import'!$AU$2:$AU$131,0))</f>
        <v>8</v>
      </c>
      <c r="F89" s="10" t="str">
        <f>INDEX('Data Import'!$O$2:$O$11,E89)</f>
        <v>alex</v>
      </c>
      <c r="G89" s="13">
        <f ca="1">SUMIF('Data Import'!$K$2:$K$1701,F89&amp;A89,'Data Import'!$I$2:$I$1531)</f>
        <v>100.40809999999999</v>
      </c>
      <c r="H89" s="14">
        <f>INDEX('Data Import'!$P$15:$AB$24,B89,A89)</f>
        <v>0.49084</v>
      </c>
      <c r="I89" s="10"/>
      <c r="J89" s="7" t="str">
        <f t="shared" si="39"/>
        <v>Wk 7 - alex</v>
      </c>
      <c r="K89" s="8" t="str">
        <f t="shared" ca="1" si="40"/>
        <v>99.7 - 100.4</v>
      </c>
      <c r="L89" s="9">
        <f t="shared" si="41"/>
        <v>0.49084</v>
      </c>
      <c r="M89" s="10"/>
      <c r="N89" s="10">
        <f t="shared" si="47"/>
        <v>7</v>
      </c>
      <c r="O89" s="10">
        <f t="shared" si="42"/>
        <v>10</v>
      </c>
      <c r="P89" s="10" t="str">
        <f>INDEX('Data Import'!$O$2:$O$11,O89)</f>
        <v>paul</v>
      </c>
      <c r="Q89" s="13">
        <f ca="1">SUMIF('Data Import'!$K$2:$K$1701,P89&amp;N89,'Data Import'!$I$2:$I$1531)</f>
        <v>98.022000000000006</v>
      </c>
      <c r="R89" s="10">
        <f>INDEX('Data Import'!$AT$2:$AT$131,MATCH(N89&amp;"-"&amp;O89,'Data Import'!$AU$2:$AU$131,0))</f>
        <v>4</v>
      </c>
      <c r="S89" s="10" t="str">
        <f>INDEX('Data Import'!$O$2:$O$11,R89)</f>
        <v>joseph</v>
      </c>
      <c r="T89" s="13">
        <f ca="1">SUMIF('Data Import'!$K$2:$K$1701,S89&amp;N89,'Data Import'!$I$2:$I$1531)</f>
        <v>94.125099999999989</v>
      </c>
      <c r="U89" s="14">
        <f>INDEX('Data Import'!$P$15:$AB$24,O89,N89)</f>
        <v>0.57304999999999995</v>
      </c>
      <c r="V89" s="10"/>
      <c r="W89" s="7" t="str">
        <f t="shared" si="43"/>
        <v>Wk 7 - joseph</v>
      </c>
      <c r="X89" s="8" t="str">
        <f t="shared" ca="1" si="44"/>
        <v>98.0 - 94.1</v>
      </c>
      <c r="Y89" s="9">
        <f t="shared" si="45"/>
        <v>0.57304999999999995</v>
      </c>
      <c r="Z89" s="6"/>
      <c r="AA89" s="6"/>
    </row>
    <row r="90" spans="1:27" x14ac:dyDescent="0.25">
      <c r="A90" s="10">
        <f t="shared" si="46"/>
        <v>8</v>
      </c>
      <c r="B90" s="10">
        <f t="shared" si="38"/>
        <v>5</v>
      </c>
      <c r="C90" s="10" t="str">
        <f>INDEX('Data Import'!$O$2:$O$11,B90)</f>
        <v>alyssa</v>
      </c>
      <c r="D90" s="13">
        <f ca="1">SUMIF('Data Import'!$K$2:$K$1701,C90&amp;A90,'Data Import'!$I$2:$I$1531)</f>
        <v>90.3279</v>
      </c>
      <c r="E90" s="10">
        <f>INDEX('Data Import'!$AT$2:$AT$131,MATCH(A90&amp;"-"&amp;B90,'Data Import'!$AU$2:$AU$131,0))</f>
        <v>6</v>
      </c>
      <c r="F90" s="10" t="str">
        <f>INDEX('Data Import'!$O$2:$O$11,E90)</f>
        <v>chris</v>
      </c>
      <c r="G90" s="13">
        <f ca="1">SUMIF('Data Import'!$K$2:$K$1701,F90&amp;A90,'Data Import'!$I$2:$I$1531)</f>
        <v>82.972300000000004</v>
      </c>
      <c r="H90" s="14">
        <f>INDEX('Data Import'!$P$15:$AB$24,B90,A90)</f>
        <v>0.61955000000000005</v>
      </c>
      <c r="I90" s="10"/>
      <c r="J90" s="7" t="str">
        <f t="shared" si="39"/>
        <v>Wk 8 - chris</v>
      </c>
      <c r="K90" s="8" t="str">
        <f t="shared" ca="1" si="40"/>
        <v>90.3 - 83.0</v>
      </c>
      <c r="L90" s="9">
        <f t="shared" si="41"/>
        <v>0.61955000000000005</v>
      </c>
      <c r="M90" s="10"/>
      <c r="N90" s="10">
        <f t="shared" si="47"/>
        <v>8</v>
      </c>
      <c r="O90" s="10">
        <f t="shared" si="42"/>
        <v>10</v>
      </c>
      <c r="P90" s="10" t="str">
        <f>INDEX('Data Import'!$O$2:$O$11,O90)</f>
        <v>paul</v>
      </c>
      <c r="Q90" s="13">
        <f ca="1">SUMIF('Data Import'!$K$2:$K$1701,P90&amp;N90,'Data Import'!$I$2:$I$1531)</f>
        <v>97.461499999999987</v>
      </c>
      <c r="R90" s="10">
        <f>INDEX('Data Import'!$AT$2:$AT$131,MATCH(N90&amp;"-"&amp;O90,'Data Import'!$AU$2:$AU$131,0))</f>
        <v>3</v>
      </c>
      <c r="S90" s="10" t="str">
        <f>INDEX('Data Import'!$O$2:$O$11,R90)</f>
        <v>breanna</v>
      </c>
      <c r="T90" s="13">
        <f ca="1">SUMIF('Data Import'!$K$2:$K$1701,S90&amp;N90,'Data Import'!$I$2:$I$1531)</f>
        <v>99.287499999999994</v>
      </c>
      <c r="U90" s="14">
        <f>INDEX('Data Import'!$P$15:$AB$24,O90,N90)</f>
        <v>0.46093000000000001</v>
      </c>
      <c r="V90" s="10"/>
      <c r="W90" s="7" t="str">
        <f t="shared" si="43"/>
        <v>Wk 8 - breanna</v>
      </c>
      <c r="X90" s="8" t="str">
        <f t="shared" ca="1" si="44"/>
        <v>97.5 - 99.3</v>
      </c>
      <c r="Y90" s="9">
        <f t="shared" si="45"/>
        <v>0.46093000000000001</v>
      </c>
      <c r="Z90" s="6"/>
      <c r="AA90" s="6"/>
    </row>
    <row r="91" spans="1:27" x14ac:dyDescent="0.25">
      <c r="A91" s="10">
        <f t="shared" si="46"/>
        <v>9</v>
      </c>
      <c r="B91" s="10">
        <f t="shared" si="38"/>
        <v>5</v>
      </c>
      <c r="C91" s="10" t="str">
        <f>INDEX('Data Import'!$O$2:$O$11,B91)</f>
        <v>alyssa</v>
      </c>
      <c r="D91" s="13">
        <f ca="1">SUMIF('Data Import'!$K$2:$K$1701,C91&amp;A91,'Data Import'!$I$2:$I$1531)</f>
        <v>99.310599999999994</v>
      </c>
      <c r="E91" s="10">
        <f>INDEX('Data Import'!$AT$2:$AT$131,MATCH(A91&amp;"-"&amp;B91,'Data Import'!$AU$2:$AU$131,0))</f>
        <v>3</v>
      </c>
      <c r="F91" s="10" t="str">
        <f>INDEX('Data Import'!$O$2:$O$11,E91)</f>
        <v>breanna</v>
      </c>
      <c r="G91" s="13">
        <f ca="1">SUMIF('Data Import'!$K$2:$K$1701,F91&amp;A91,'Data Import'!$I$2:$I$1531)</f>
        <v>96.595699999999994</v>
      </c>
      <c r="H91" s="14">
        <f>INDEX('Data Import'!$P$15:$AB$24,B91,A91)</f>
        <v>0.53632000000000002</v>
      </c>
      <c r="I91" s="10"/>
      <c r="J91" s="7" t="str">
        <f t="shared" si="39"/>
        <v>Wk 9 - breanna</v>
      </c>
      <c r="K91" s="8" t="str">
        <f t="shared" ca="1" si="40"/>
        <v>99.3 - 96.6</v>
      </c>
      <c r="L91" s="9">
        <f t="shared" si="41"/>
        <v>0.53632000000000002</v>
      </c>
      <c r="M91" s="10"/>
      <c r="N91" s="10">
        <f t="shared" si="47"/>
        <v>9</v>
      </c>
      <c r="O91" s="10">
        <f t="shared" si="42"/>
        <v>10</v>
      </c>
      <c r="P91" s="10" t="str">
        <f>INDEX('Data Import'!$O$2:$O$11,O91)</f>
        <v>paul</v>
      </c>
      <c r="Q91" s="13">
        <f ca="1">SUMIF('Data Import'!$K$2:$K$1701,P91&amp;N91,'Data Import'!$I$2:$I$1531)</f>
        <v>104.77250000000002</v>
      </c>
      <c r="R91" s="10">
        <f>INDEX('Data Import'!$AT$2:$AT$131,MATCH(N91&amp;"-"&amp;O91,'Data Import'!$AU$2:$AU$131,0))</f>
        <v>9</v>
      </c>
      <c r="S91" s="10" t="str">
        <f>INDEX('Data Import'!$O$2:$O$11,R91)</f>
        <v>colin</v>
      </c>
      <c r="T91" s="13">
        <f ca="1">SUMIF('Data Import'!$K$2:$K$1701,S91&amp;N91,'Data Import'!$I$2:$I$1531)</f>
        <v>92.375200000000007</v>
      </c>
      <c r="U91" s="14">
        <f>INDEX('Data Import'!$P$15:$AB$24,O91,N91)</f>
        <v>0.68937999999999999</v>
      </c>
      <c r="V91" s="10"/>
      <c r="W91" s="7" t="str">
        <f t="shared" si="43"/>
        <v>Wk 9 - colin</v>
      </c>
      <c r="X91" s="8" t="str">
        <f t="shared" ca="1" si="44"/>
        <v>104.8 - 92.4</v>
      </c>
      <c r="Y91" s="9">
        <f t="shared" si="45"/>
        <v>0.68937999999999999</v>
      </c>
      <c r="Z91" s="6"/>
      <c r="AA91" s="6"/>
    </row>
    <row r="92" spans="1:27" x14ac:dyDescent="0.25">
      <c r="A92" s="10">
        <f t="shared" si="46"/>
        <v>10</v>
      </c>
      <c r="B92" s="10">
        <f t="shared" si="38"/>
        <v>5</v>
      </c>
      <c r="C92" s="10" t="str">
        <f>INDEX('Data Import'!$O$2:$O$11,B92)</f>
        <v>alyssa</v>
      </c>
      <c r="D92" s="13">
        <f ca="1">SUMIF('Data Import'!$K$2:$K$1701,C92&amp;A92,'Data Import'!$I$2:$I$1531)</f>
        <v>95.281899999999993</v>
      </c>
      <c r="E92" s="10">
        <f>INDEX('Data Import'!$AT$2:$AT$131,MATCH(A92&amp;"-"&amp;B92,'Data Import'!$AU$2:$AU$131,0))</f>
        <v>1</v>
      </c>
      <c r="F92" s="10" t="str">
        <f>INDEX('Data Import'!$O$2:$O$11,E92)</f>
        <v>andrew</v>
      </c>
      <c r="G92" s="13">
        <f ca="1">SUMIF('Data Import'!$K$2:$K$1701,F92&amp;A92,'Data Import'!$I$2:$I$1531)</f>
        <v>105.31200000000001</v>
      </c>
      <c r="H92" s="14">
        <f>INDEX('Data Import'!$P$15:$AB$24,B92,A92)</f>
        <v>0.3659</v>
      </c>
      <c r="I92" s="10"/>
      <c r="J92" s="7" t="str">
        <f t="shared" si="39"/>
        <v>Wk 10 - andrew</v>
      </c>
      <c r="K92" s="8" t="str">
        <f t="shared" ca="1" si="40"/>
        <v>95.3 - 105.3</v>
      </c>
      <c r="L92" s="9">
        <f t="shared" si="41"/>
        <v>0.3659</v>
      </c>
      <c r="M92" s="10"/>
      <c r="N92" s="10">
        <f t="shared" si="47"/>
        <v>10</v>
      </c>
      <c r="O92" s="10">
        <f t="shared" si="42"/>
        <v>10</v>
      </c>
      <c r="P92" s="10" t="str">
        <f>INDEX('Data Import'!$O$2:$O$11,O92)</f>
        <v>paul</v>
      </c>
      <c r="Q92" s="13">
        <f ca="1">SUMIF('Data Import'!$K$2:$K$1701,P92&amp;N92,'Data Import'!$I$2:$I$1531)</f>
        <v>99.951999999999998</v>
      </c>
      <c r="R92" s="10">
        <f>INDEX('Data Import'!$AT$2:$AT$131,MATCH(N92&amp;"-"&amp;O92,'Data Import'!$AU$2:$AU$131,0))</f>
        <v>6</v>
      </c>
      <c r="S92" s="10" t="str">
        <f>INDEX('Data Import'!$O$2:$O$11,R92)</f>
        <v>chris</v>
      </c>
      <c r="T92" s="13">
        <f ca="1">SUMIF('Data Import'!$K$2:$K$1701,S92&amp;N92,'Data Import'!$I$2:$I$1531)</f>
        <v>91.973699999999994</v>
      </c>
      <c r="U92" s="14">
        <f>INDEX('Data Import'!$P$15:$AB$24,O92,N92)</f>
        <v>0.63234999999999997</v>
      </c>
      <c r="V92" s="10"/>
      <c r="W92" s="7" t="str">
        <f t="shared" si="43"/>
        <v>Wk 10 - chris</v>
      </c>
      <c r="X92" s="8" t="str">
        <f t="shared" ca="1" si="44"/>
        <v>100.0 - 92.0</v>
      </c>
      <c r="Y92" s="9">
        <f t="shared" si="45"/>
        <v>0.63234999999999997</v>
      </c>
      <c r="Z92" s="6"/>
      <c r="AA92" s="6"/>
    </row>
    <row r="93" spans="1:27" x14ac:dyDescent="0.25">
      <c r="A93" s="10">
        <f t="shared" si="46"/>
        <v>11</v>
      </c>
      <c r="B93" s="10">
        <f t="shared" si="38"/>
        <v>5</v>
      </c>
      <c r="C93" s="10" t="str">
        <f>INDEX('Data Import'!$O$2:$O$11,B93)</f>
        <v>alyssa</v>
      </c>
      <c r="D93" s="13">
        <f ca="1">SUMIF('Data Import'!$K$2:$K$1701,C93&amp;A93,'Data Import'!$I$2:$I$1531)</f>
        <v>103.00659999999999</v>
      </c>
      <c r="E93" s="10">
        <f>INDEX('Data Import'!$AT$2:$AT$131,MATCH(A93&amp;"-"&amp;B93,'Data Import'!$AU$2:$AU$131,0))</f>
        <v>4</v>
      </c>
      <c r="F93" s="10" t="str">
        <f>INDEX('Data Import'!$O$2:$O$11,E93)</f>
        <v>joseph</v>
      </c>
      <c r="G93" s="13">
        <f ca="1">SUMIF('Data Import'!$K$2:$K$1701,F93&amp;A93,'Data Import'!$I$2:$I$1531)</f>
        <v>105.92140000000001</v>
      </c>
      <c r="H93" s="14">
        <f>INDEX('Data Import'!$P$15:$AB$24,B93,A93)</f>
        <v>0.46639999999999998</v>
      </c>
      <c r="I93" s="10"/>
      <c r="J93" s="7" t="str">
        <f t="shared" si="39"/>
        <v>Wk 11 - joseph</v>
      </c>
      <c r="K93" s="8" t="str">
        <f t="shared" ca="1" si="40"/>
        <v>103.0 - 105.9</v>
      </c>
      <c r="L93" s="9">
        <f t="shared" si="41"/>
        <v>0.46639999999999998</v>
      </c>
      <c r="M93" s="10"/>
      <c r="N93" s="10">
        <f t="shared" si="47"/>
        <v>11</v>
      </c>
      <c r="O93" s="10">
        <f t="shared" si="42"/>
        <v>10</v>
      </c>
      <c r="P93" s="10" t="str">
        <f>INDEX('Data Import'!$O$2:$O$11,O93)</f>
        <v>paul</v>
      </c>
      <c r="Q93" s="13">
        <f ca="1">SUMIF('Data Import'!$K$2:$K$1701,P93&amp;N93,'Data Import'!$I$2:$I$1531)</f>
        <v>99.365499999999997</v>
      </c>
      <c r="R93" s="10">
        <f>INDEX('Data Import'!$AT$2:$AT$131,MATCH(N93&amp;"-"&amp;O93,'Data Import'!$AU$2:$AU$131,0))</f>
        <v>7</v>
      </c>
      <c r="S93" s="10" t="str">
        <f>INDEX('Data Import'!$O$2:$O$11,R93)</f>
        <v>jordan</v>
      </c>
      <c r="T93" s="13">
        <f ca="1">SUMIF('Data Import'!$K$2:$K$1701,S93&amp;N93,'Data Import'!$I$2:$I$1531)</f>
        <v>99.331299999999999</v>
      </c>
      <c r="U93" s="14">
        <f>INDEX('Data Import'!$P$15:$AB$24,O93,N93)</f>
        <v>0.48565999999999998</v>
      </c>
      <c r="V93" s="10"/>
      <c r="W93" s="7" t="str">
        <f t="shared" si="43"/>
        <v>Wk 11 - jordan</v>
      </c>
      <c r="X93" s="8" t="str">
        <f t="shared" ca="1" si="44"/>
        <v>99.4 - 99.3</v>
      </c>
      <c r="Y93" s="9">
        <f t="shared" si="45"/>
        <v>0.48565999999999998</v>
      </c>
      <c r="Z93" s="6"/>
      <c r="AA93" s="6"/>
    </row>
    <row r="94" spans="1:27" x14ac:dyDescent="0.25">
      <c r="A94" s="10">
        <f t="shared" si="46"/>
        <v>12</v>
      </c>
      <c r="B94" s="10">
        <f t="shared" si="38"/>
        <v>5</v>
      </c>
      <c r="C94" s="10" t="str">
        <f>INDEX('Data Import'!$O$2:$O$11,B94)</f>
        <v>alyssa</v>
      </c>
      <c r="D94" s="13">
        <f ca="1">SUMIF('Data Import'!$K$2:$K$1701,C94&amp;A94,'Data Import'!$I$2:$I$1531)</f>
        <v>109.7598</v>
      </c>
      <c r="E94" s="10">
        <f>INDEX('Data Import'!$AT$2:$AT$131,MATCH(A94&amp;"-"&amp;B94,'Data Import'!$AU$2:$AU$131,0))</f>
        <v>10</v>
      </c>
      <c r="F94" s="10" t="str">
        <f>INDEX('Data Import'!$O$2:$O$11,E94)</f>
        <v>paul</v>
      </c>
      <c r="G94" s="13">
        <f ca="1">SUMIF('Data Import'!$K$2:$K$1701,F94&amp;A94,'Data Import'!$I$2:$I$1531)</f>
        <v>96.778599999999997</v>
      </c>
      <c r="H94" s="14">
        <f>INDEX('Data Import'!$P$15:$AB$24,B94,A94)</f>
        <v>0.67779</v>
      </c>
      <c r="I94" s="10"/>
      <c r="J94" s="7" t="str">
        <f t="shared" si="39"/>
        <v>Wk 12 - paul</v>
      </c>
      <c r="K94" s="8" t="str">
        <f t="shared" ca="1" si="40"/>
        <v>109.8 - 96.8</v>
      </c>
      <c r="L94" s="9">
        <f t="shared" si="41"/>
        <v>0.67779</v>
      </c>
      <c r="M94" s="10"/>
      <c r="N94" s="10">
        <f t="shared" si="47"/>
        <v>12</v>
      </c>
      <c r="O94" s="10">
        <f t="shared" si="42"/>
        <v>10</v>
      </c>
      <c r="P94" s="10" t="str">
        <f>INDEX('Data Import'!$O$2:$O$11,O94)</f>
        <v>paul</v>
      </c>
      <c r="Q94" s="13">
        <f ca="1">SUMIF('Data Import'!$K$2:$K$1701,P94&amp;N94,'Data Import'!$I$2:$I$1531)</f>
        <v>96.778599999999997</v>
      </c>
      <c r="R94" s="10">
        <f>INDEX('Data Import'!$AT$2:$AT$131,MATCH(N94&amp;"-"&amp;O94,'Data Import'!$AU$2:$AU$131,0))</f>
        <v>5</v>
      </c>
      <c r="S94" s="10" t="str">
        <f>INDEX('Data Import'!$O$2:$O$11,R94)</f>
        <v>alyssa</v>
      </c>
      <c r="T94" s="13">
        <f ca="1">SUMIF('Data Import'!$K$2:$K$1701,S94&amp;N94,'Data Import'!$I$2:$I$1531)</f>
        <v>109.7598</v>
      </c>
      <c r="U94" s="14">
        <f>INDEX('Data Import'!$P$15:$AB$24,O94,N94)</f>
        <v>0.32221</v>
      </c>
      <c r="V94" s="10"/>
      <c r="W94" s="7" t="str">
        <f t="shared" si="43"/>
        <v>Wk 12 - alyssa</v>
      </c>
      <c r="X94" s="8" t="str">
        <f t="shared" ca="1" si="44"/>
        <v>96.8 - 109.8</v>
      </c>
      <c r="Y94" s="9">
        <f t="shared" si="45"/>
        <v>0.32221</v>
      </c>
      <c r="Z94" s="6"/>
      <c r="AA94" s="6"/>
    </row>
    <row r="95" spans="1:27" x14ac:dyDescent="0.25">
      <c r="A95" s="10">
        <f>A94+1</f>
        <v>13</v>
      </c>
      <c r="B95" s="10">
        <f t="shared" si="38"/>
        <v>5</v>
      </c>
      <c r="C95" s="10" t="str">
        <f>INDEX('Data Import'!$O$2:$O$11,B95)</f>
        <v>alyssa</v>
      </c>
      <c r="D95" s="13">
        <f ca="1">SUMIF('Data Import'!$K$2:$K$1701,C95&amp;A95,'Data Import'!$I$2:$I$1531)</f>
        <v>109.83009999999999</v>
      </c>
      <c r="E95" s="10">
        <f>INDEX('Data Import'!$AT$2:$AT$131,MATCH(A95&amp;"-"&amp;B95,'Data Import'!$AU$2:$AU$131,0))</f>
        <v>2</v>
      </c>
      <c r="F95" s="10" t="str">
        <f>INDEX('Data Import'!$O$2:$O$11,E95)</f>
        <v>jake</v>
      </c>
      <c r="G95" s="13">
        <f ca="1">SUMIF('Data Import'!$K$2:$K$1701,F95&amp;A95,'Data Import'!$I$2:$I$1531)</f>
        <v>94.126599999999996</v>
      </c>
      <c r="H95" s="14">
        <f>INDEX('Data Import'!$P$15:$AB$24,B95,A95)</f>
        <v>0.71282000000000001</v>
      </c>
      <c r="I95" s="10"/>
      <c r="J95" s="7" t="str">
        <f>"Wk "&amp;A95&amp;" - "&amp;F95</f>
        <v>Wk 13 - jake</v>
      </c>
      <c r="K95" s="8" t="str">
        <f ca="1">TEXT(D95,"0.0")&amp;" - "&amp;TEXT(G95,"0.0")</f>
        <v>109.8 - 94.1</v>
      </c>
      <c r="L95" s="9">
        <f>H95</f>
        <v>0.71282000000000001</v>
      </c>
      <c r="M95" s="10"/>
      <c r="N95" s="10">
        <f>N94+1</f>
        <v>13</v>
      </c>
      <c r="O95" s="10">
        <f t="shared" si="42"/>
        <v>10</v>
      </c>
      <c r="P95" s="10" t="str">
        <f>INDEX('Data Import'!$O$2:$O$11,O95)</f>
        <v>paul</v>
      </c>
      <c r="Q95" s="13">
        <f ca="1">SUMIF('Data Import'!$K$2:$K$1701,P95&amp;N95,'Data Import'!$I$2:$I$1531)</f>
        <v>104.59950000000001</v>
      </c>
      <c r="R95" s="10">
        <f>INDEX('Data Import'!$AT$2:$AT$131,MATCH(N95&amp;"-"&amp;O95,'Data Import'!$AU$2:$AU$131,0))</f>
        <v>8</v>
      </c>
      <c r="S95" s="10" t="str">
        <f>INDEX('Data Import'!$O$2:$O$11,R95)</f>
        <v>alex</v>
      </c>
      <c r="T95" s="13">
        <f ca="1">SUMIF('Data Import'!$K$2:$K$1701,S95&amp;N95,'Data Import'!$I$2:$I$1531)</f>
        <v>102.2598</v>
      </c>
      <c r="U95" s="14">
        <f>INDEX('Data Import'!$P$15:$AB$24,O95,N95)</f>
        <v>0.53451000000000004</v>
      </c>
      <c r="V95" s="10"/>
      <c r="W95" s="7" t="str">
        <f>"Wk "&amp;N95&amp;" - "&amp;S95</f>
        <v>Wk 13 - alex</v>
      </c>
      <c r="X95" s="8" t="str">
        <f ca="1">TEXT(Q95,"0.0")&amp;" - "&amp;TEXT(T95,"0.0")</f>
        <v>104.6 - 102.3</v>
      </c>
      <c r="Y95" s="9">
        <f>U95</f>
        <v>0.53451000000000004</v>
      </c>
      <c r="Z95" s="6"/>
      <c r="AA95" s="6"/>
    </row>
    <row r="96" spans="1:27" x14ac:dyDescent="0.25">
      <c r="A96" s="10">
        <f>A95+1</f>
        <v>14</v>
      </c>
      <c r="B96" s="10">
        <f t="shared" si="38"/>
        <v>5</v>
      </c>
      <c r="C96" s="10" t="str">
        <f>INDEX('Data Import'!$O$2:$O$11,B96)</f>
        <v>alyssa</v>
      </c>
      <c r="D96" s="13">
        <f ca="1">SUMIF('Data Import'!$K$2:$K$1701,C96&amp;A96,'Data Import'!$I$2:$I$1531)</f>
        <v>102.9349</v>
      </c>
      <c r="E96" s="10" t="e">
        <f>INDEX('Data Import'!$AT$2:$AT$131,MATCH(A96&amp;"-"&amp;B96,'Data Import'!$AU$2:$AU$131,0))</f>
        <v>#N/A</v>
      </c>
      <c r="F96" s="10" t="e">
        <f>INDEX('Data Import'!$O$2:$O$11,E96)</f>
        <v>#N/A</v>
      </c>
      <c r="G96" s="13">
        <f ca="1">SUMIF('Data Import'!$K$2:$K$1701,F96&amp;A96,'Data Import'!$I$2:$I$1531)</f>
        <v>0</v>
      </c>
      <c r="H96" s="14"/>
      <c r="I96" s="10"/>
      <c r="J96" s="7" t="s">
        <v>112</v>
      </c>
      <c r="K96" s="8"/>
      <c r="L96" s="9">
        <f>VALUE(H97)</f>
        <v>0.35216999999999998</v>
      </c>
      <c r="M96" s="10"/>
      <c r="N96" s="10">
        <f>N95+1</f>
        <v>14</v>
      </c>
      <c r="O96" s="10">
        <f t="shared" si="42"/>
        <v>10</v>
      </c>
      <c r="P96" s="10" t="str">
        <f>INDEX('Data Import'!$O$2:$O$11,O96)</f>
        <v>paul</v>
      </c>
      <c r="Q96" s="13">
        <f ca="1">SUMIF('Data Import'!$K$2:$K$1701,P96&amp;N96,'Data Import'!$I$2:$I$1531)</f>
        <v>106.97199999999999</v>
      </c>
      <c r="R96" s="10" t="e">
        <f>INDEX('Data Import'!$AT$2:$AT$131,MATCH(N96&amp;"-"&amp;O96,'Data Import'!$AU$2:$AU$131,0))</f>
        <v>#N/A</v>
      </c>
      <c r="S96" s="10" t="e">
        <f>INDEX('Data Import'!$O$2:$O$11,R96)</f>
        <v>#N/A</v>
      </c>
      <c r="T96" s="13">
        <f ca="1">SUMIF('Data Import'!$K$2:$K$1701,S96&amp;N96,'Data Import'!$I$2:$I$1531)</f>
        <v>0</v>
      </c>
      <c r="U96" s="14"/>
      <c r="V96" s="10"/>
      <c r="W96" s="7" t="s">
        <v>112</v>
      </c>
      <c r="X96" s="8"/>
      <c r="Y96" s="9">
        <f>VALUE(U97)</f>
        <v>0.29533999999999999</v>
      </c>
      <c r="Z96" s="6"/>
      <c r="AA96" s="6"/>
    </row>
    <row r="97" spans="1:27" ht="15.75" thickBot="1" x14ac:dyDescent="0.3">
      <c r="A97" s="10">
        <f>A96+1</f>
        <v>15</v>
      </c>
      <c r="B97" s="10">
        <f t="shared" si="38"/>
        <v>5</v>
      </c>
      <c r="C97" s="10" t="str">
        <f>INDEX('Data Import'!$O$2:$O$11,B97)</f>
        <v>alyssa</v>
      </c>
      <c r="D97" s="13">
        <f ca="1">SUMIF('Data Import'!$K$2:$K$1701,C97&amp;A97,'Data Import'!$I$2:$I$1531)</f>
        <v>106.91690000000001</v>
      </c>
      <c r="E97" s="10" t="e">
        <f>INDEX('Data Import'!$AT$2:$AT$131,MATCH(A97&amp;"-"&amp;B97,'Data Import'!$AU$2:$AU$131,0))</f>
        <v>#N/A</v>
      </c>
      <c r="F97" s="10" t="e">
        <f>INDEX('Data Import'!$O$2:$O$11,E97)</f>
        <v>#N/A</v>
      </c>
      <c r="G97" s="13">
        <f ca="1">SUMIF('Data Import'!$K$2:$K$1701,F97&amp;A97,'Data Import'!$I$2:$I$1531)</f>
        <v>0</v>
      </c>
      <c r="H97" s="14" t="str">
        <f>INDEX('Data Import'!$P$2:$AG$11,B97,A97)</f>
        <v>0.35217</v>
      </c>
      <c r="I97" s="10"/>
      <c r="J97" s="7" t="s">
        <v>113</v>
      </c>
      <c r="K97" s="15">
        <f ca="1">SUM(D96:D97)</f>
        <v>209.85180000000003</v>
      </c>
      <c r="L97" s="17">
        <f>VALUE(H98)</f>
        <v>0.15794</v>
      </c>
      <c r="M97" s="10"/>
      <c r="N97" s="10">
        <f>N96+1</f>
        <v>15</v>
      </c>
      <c r="O97" s="10">
        <f t="shared" si="42"/>
        <v>10</v>
      </c>
      <c r="P97" s="10" t="str">
        <f>INDEX('Data Import'!$O$2:$O$11,O97)</f>
        <v>paul</v>
      </c>
      <c r="Q97" s="13">
        <f ca="1">SUMIF('Data Import'!$K$2:$K$1701,P97&amp;N97,'Data Import'!$I$2:$I$1531)</f>
        <v>106.87269999999999</v>
      </c>
      <c r="R97" s="10" t="e">
        <f>INDEX('Data Import'!$AT$2:$AT$131,MATCH(N97&amp;"-"&amp;O97,'Data Import'!$AU$2:$AU$131,0))</f>
        <v>#N/A</v>
      </c>
      <c r="S97" s="10" t="e">
        <f>INDEX('Data Import'!$O$2:$O$11,R97)</f>
        <v>#N/A</v>
      </c>
      <c r="T97" s="13">
        <f ca="1">SUMIF('Data Import'!$K$2:$K$1701,S97&amp;N97,'Data Import'!$I$2:$I$1531)</f>
        <v>0</v>
      </c>
      <c r="U97" s="14" t="str">
        <f>INDEX('Data Import'!$P$2:$AG$11,O97,N97)</f>
        <v>0.29534</v>
      </c>
      <c r="V97" s="10"/>
      <c r="W97" s="7" t="s">
        <v>113</v>
      </c>
      <c r="X97" s="15">
        <f ca="1">SUM(Q96:Q97)</f>
        <v>213.84469999999999</v>
      </c>
      <c r="Y97" s="17">
        <f>VALUE(U98)</f>
        <v>0.17161999999999999</v>
      </c>
      <c r="Z97" s="6"/>
      <c r="AA97" s="6"/>
    </row>
    <row r="98" spans="1:27" ht="15.75" thickBot="1" x14ac:dyDescent="0.3">
      <c r="A98" s="10">
        <f>A97+1</f>
        <v>16</v>
      </c>
      <c r="B98" s="10">
        <f t="shared" si="38"/>
        <v>5</v>
      </c>
      <c r="C98" s="10" t="str">
        <f>INDEX('Data Import'!$O$2:$O$11,B98)</f>
        <v>alyssa</v>
      </c>
      <c r="D98" s="13">
        <f ca="1">SUMIF('Data Import'!$K$2:$K$1701,C98&amp;A98,'Data Import'!$I$2:$I$1531)</f>
        <v>103.68979999999999</v>
      </c>
      <c r="E98" s="10" t="e">
        <f>INDEX('Data Import'!$AT$2:$AT$131,MATCH(A98&amp;"-"&amp;B98,'Data Import'!$AU$2:$AU$131,0))</f>
        <v>#N/A</v>
      </c>
      <c r="F98" s="10" t="e">
        <f>INDEX('Data Import'!$O$2:$O$11,E98)</f>
        <v>#N/A</v>
      </c>
      <c r="G98" s="13">
        <f ca="1">SUMIF('Data Import'!$K$2:$K$1701,F98&amp;A98,'Data Import'!$I$2:$I$1531)</f>
        <v>0</v>
      </c>
      <c r="H98" s="14" t="str">
        <f>INDEX('Data Import'!$P$2:$AG$11,B98,A98+1)</f>
        <v>0.15794</v>
      </c>
      <c r="I98" s="10"/>
      <c r="J98" s="7" t="s">
        <v>114</v>
      </c>
      <c r="K98" s="16">
        <f ca="1">SUM(D98:D99)</f>
        <v>210.29149999999998</v>
      </c>
      <c r="L98" s="18">
        <f>VALUE(H99)</f>
        <v>8.09E-2</v>
      </c>
      <c r="M98" s="10"/>
      <c r="N98" s="10">
        <f>N97+1</f>
        <v>16</v>
      </c>
      <c r="O98" s="10">
        <f t="shared" si="42"/>
        <v>10</v>
      </c>
      <c r="P98" s="10" t="str">
        <f>INDEX('Data Import'!$O$2:$O$11,O98)</f>
        <v>paul</v>
      </c>
      <c r="Q98" s="13">
        <f ca="1">SUMIF('Data Import'!$K$2:$K$1701,P98&amp;N98,'Data Import'!$I$2:$I$1531)</f>
        <v>95.987200000000016</v>
      </c>
      <c r="R98" s="10" t="e">
        <f>INDEX('Data Import'!$AT$2:$AT$131,MATCH(N98&amp;"-"&amp;O98,'Data Import'!$AU$2:$AU$131,0))</f>
        <v>#N/A</v>
      </c>
      <c r="S98" s="10" t="e">
        <f>INDEX('Data Import'!$O$2:$O$11,R98)</f>
        <v>#N/A</v>
      </c>
      <c r="T98" s="13">
        <f ca="1">SUMIF('Data Import'!$K$2:$K$1701,S98&amp;N98,'Data Import'!$I$2:$I$1531)</f>
        <v>0</v>
      </c>
      <c r="U98" s="14" t="str">
        <f>INDEX('Data Import'!$P$2:$AG$11,O98,N98+1)</f>
        <v>0.17162</v>
      </c>
      <c r="V98" s="10"/>
      <c r="W98" s="7" t="s">
        <v>114</v>
      </c>
      <c r="X98" s="16">
        <f ca="1">SUM(Q98:Q99)</f>
        <v>203.7098</v>
      </c>
      <c r="Y98" s="18">
        <f>VALUE(U99)</f>
        <v>0.10371</v>
      </c>
      <c r="Z98" s="6"/>
      <c r="AA98" s="6"/>
    </row>
    <row r="99" spans="1:27" x14ac:dyDescent="0.25">
      <c r="A99" s="10">
        <f>A98+1</f>
        <v>17</v>
      </c>
      <c r="B99" s="10">
        <f t="shared" si="38"/>
        <v>5</v>
      </c>
      <c r="C99" s="10" t="str">
        <f>INDEX('Data Import'!$O$2:$O$11,B99)</f>
        <v>alyssa</v>
      </c>
      <c r="D99" s="13">
        <f ca="1">SUMIF('Data Import'!$K$2:$K$1701,C99&amp;A99,'Data Import'!$I$2:$I$1531)</f>
        <v>106.60170000000001</v>
      </c>
      <c r="E99" s="10" t="e">
        <f>INDEX('Data Import'!$AT$2:$AT$131,MATCH(A99&amp;"-"&amp;B99,'Data Import'!$AU$2:$AU$131,0))</f>
        <v>#N/A</v>
      </c>
      <c r="F99" s="10" t="e">
        <f>INDEX('Data Import'!$O$2:$O$11,E99)</f>
        <v>#N/A</v>
      </c>
      <c r="G99" s="13">
        <f ca="1">SUMIF('Data Import'!$K$2:$K$1701,F99&amp;A99,'Data Import'!$I$2:$I$1531)</f>
        <v>0</v>
      </c>
      <c r="H99" s="14" t="str">
        <f>INDEX('Data Import'!$P$2:$AG$11,B99,A99+1)</f>
        <v>0.0809</v>
      </c>
      <c r="I99" s="10"/>
      <c r="J99" s="10"/>
      <c r="K99" s="19"/>
      <c r="L99" s="12"/>
      <c r="M99" s="10"/>
      <c r="N99" s="10">
        <f>N98+1</f>
        <v>17</v>
      </c>
      <c r="O99" s="10">
        <f t="shared" si="42"/>
        <v>10</v>
      </c>
      <c r="P99" s="10" t="str">
        <f>INDEX('Data Import'!$O$2:$O$11,O99)</f>
        <v>paul</v>
      </c>
      <c r="Q99" s="13">
        <f ca="1">SUMIF('Data Import'!$K$2:$K$1701,P99&amp;N99,'Data Import'!$I$2:$I$1531)</f>
        <v>107.72259999999999</v>
      </c>
      <c r="R99" s="10" t="e">
        <f>INDEX('Data Import'!$AT$2:$AT$131,MATCH(N99&amp;"-"&amp;O99,'Data Import'!$AU$2:$AU$131,0))</f>
        <v>#N/A</v>
      </c>
      <c r="S99" s="10" t="e">
        <f>INDEX('Data Import'!$O$2:$O$11,R99)</f>
        <v>#N/A</v>
      </c>
      <c r="T99" s="13">
        <f ca="1">SUMIF('Data Import'!$K$2:$K$1701,S99&amp;N99,'Data Import'!$I$2:$I$1531)</f>
        <v>0</v>
      </c>
      <c r="U99" s="14" t="str">
        <f>INDEX('Data Import'!$P$2:$AG$11,O99,N99+1)</f>
        <v>0.10371</v>
      </c>
      <c r="V99" s="10"/>
      <c r="W99" s="10"/>
      <c r="X99" s="11"/>
      <c r="Y99" s="12"/>
      <c r="Z99" s="6"/>
      <c r="AA99" s="6"/>
    </row>
    <row r="100" spans="1:27" x14ac:dyDescent="0.25">
      <c r="A100" s="6"/>
      <c r="B100" s="6"/>
      <c r="C100" s="6"/>
      <c r="D100" s="6"/>
      <c r="E100" s="6"/>
      <c r="F100" s="6"/>
      <c r="G100" s="6"/>
      <c r="H100" s="6"/>
      <c r="I100" s="10"/>
      <c r="J100" s="10" t="s">
        <v>116</v>
      </c>
      <c r="K100" s="99">
        <v>43361.528279861108</v>
      </c>
      <c r="L100" s="99"/>
      <c r="M100" s="6"/>
      <c r="N100" s="6"/>
      <c r="O100" s="6"/>
      <c r="P100" s="6"/>
      <c r="Q100" s="6"/>
      <c r="R100" s="6"/>
      <c r="S100" s="6"/>
      <c r="T100" s="6"/>
      <c r="U100" s="6"/>
      <c r="V100" s="6"/>
      <c r="W100" s="6"/>
      <c r="X100" s="6"/>
      <c r="Y100" s="6"/>
      <c r="Z100" s="6"/>
      <c r="AA100" s="6"/>
    </row>
    <row r="101" spans="1:27"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row>
    <row r="102" spans="1:27" x14ac:dyDescent="0.25">
      <c r="K102" s="100">
        <f ca="1">NOW()</f>
        <v>43361.52839699074</v>
      </c>
      <c r="L102" s="100"/>
    </row>
  </sheetData>
  <mergeCells count="13">
    <mergeCell ref="K100:L100"/>
    <mergeCell ref="BK42:BL42"/>
    <mergeCell ref="J21:L21"/>
    <mergeCell ref="K102:L102"/>
    <mergeCell ref="J1:L1"/>
    <mergeCell ref="W1:Y1"/>
    <mergeCell ref="W41:Y41"/>
    <mergeCell ref="W61:Y61"/>
    <mergeCell ref="W81:Y81"/>
    <mergeCell ref="W21:Y21"/>
    <mergeCell ref="J41:L41"/>
    <mergeCell ref="J61:L61"/>
    <mergeCell ref="J81:L81"/>
  </mergeCells>
  <conditionalFormatting sqref="L3:L15 L19">
    <cfRule type="dataBar" priority="26">
      <dataBar>
        <cfvo type="num" val="0"/>
        <cfvo type="num" val="1"/>
        <color rgb="FF63C384"/>
      </dataBar>
      <extLst>
        <ext xmlns:x14="http://schemas.microsoft.com/office/spreadsheetml/2009/9/main" uri="{B025F937-C7B1-47D3-B67F-A62EFF666E3E}">
          <x14:id>{70B2346F-FD3E-4A72-8291-A7E4681CA556}</x14:id>
        </ext>
      </extLst>
    </cfRule>
  </conditionalFormatting>
  <conditionalFormatting sqref="L16:L18">
    <cfRule type="dataBar" priority="25">
      <dataBar>
        <cfvo type="num" val="0"/>
        <cfvo type="num" val="1"/>
        <color rgb="FF63C384"/>
      </dataBar>
      <extLst>
        <ext xmlns:x14="http://schemas.microsoft.com/office/spreadsheetml/2009/9/main" uri="{B025F937-C7B1-47D3-B67F-A62EFF666E3E}">
          <x14:id>{5F3A0B5A-DB7A-45BC-8125-4234F36D47AD}</x14:id>
        </ext>
      </extLst>
    </cfRule>
  </conditionalFormatting>
  <conditionalFormatting sqref="Y23:Y35 Y39">
    <cfRule type="dataBar" priority="24">
      <dataBar>
        <cfvo type="num" val="0"/>
        <cfvo type="num" val="1"/>
        <color rgb="FF63C384"/>
      </dataBar>
      <extLst>
        <ext xmlns:x14="http://schemas.microsoft.com/office/spreadsheetml/2009/9/main" uri="{B025F937-C7B1-47D3-B67F-A62EFF666E3E}">
          <x14:id>{BD4CF150-22FC-414C-921D-C8AE12E09351}</x14:id>
        </ext>
      </extLst>
    </cfRule>
  </conditionalFormatting>
  <conditionalFormatting sqref="Y36:Y38">
    <cfRule type="dataBar" priority="23">
      <dataBar>
        <cfvo type="num" val="0"/>
        <cfvo type="num" val="1"/>
        <color rgb="FF63C384"/>
      </dataBar>
      <extLst>
        <ext xmlns:x14="http://schemas.microsoft.com/office/spreadsheetml/2009/9/main" uri="{B025F937-C7B1-47D3-B67F-A62EFF666E3E}">
          <x14:id>{58EF674B-F0A6-4E08-9F53-30A204B7CF7D}</x14:id>
        </ext>
      </extLst>
    </cfRule>
  </conditionalFormatting>
  <conditionalFormatting sqref="Y3:Y15 Y19">
    <cfRule type="dataBar" priority="22">
      <dataBar>
        <cfvo type="num" val="0"/>
        <cfvo type="num" val="1"/>
        <color rgb="FF63C384"/>
      </dataBar>
      <extLst>
        <ext xmlns:x14="http://schemas.microsoft.com/office/spreadsheetml/2009/9/main" uri="{B025F937-C7B1-47D3-B67F-A62EFF666E3E}">
          <x14:id>{FD56F956-6F98-49C2-8199-124041F8C282}</x14:id>
        </ext>
      </extLst>
    </cfRule>
  </conditionalFormatting>
  <conditionalFormatting sqref="Y16:Y18">
    <cfRule type="dataBar" priority="21">
      <dataBar>
        <cfvo type="num" val="0"/>
        <cfvo type="num" val="1"/>
        <color rgb="FF63C384"/>
      </dataBar>
      <extLst>
        <ext xmlns:x14="http://schemas.microsoft.com/office/spreadsheetml/2009/9/main" uri="{B025F937-C7B1-47D3-B67F-A62EFF666E3E}">
          <x14:id>{7D8EA912-DE1C-49A4-AE9F-82D0E728931C}</x14:id>
        </ext>
      </extLst>
    </cfRule>
  </conditionalFormatting>
  <conditionalFormatting sqref="Y59">
    <cfRule type="dataBar" priority="18">
      <dataBar>
        <cfvo type="num" val="0"/>
        <cfvo type="num" val="1"/>
        <color rgb="FF63C384"/>
      </dataBar>
      <extLst>
        <ext xmlns:x14="http://schemas.microsoft.com/office/spreadsheetml/2009/9/main" uri="{B025F937-C7B1-47D3-B67F-A62EFF666E3E}">
          <x14:id>{414BAFA3-76A2-4ADB-959F-F7A2DBE66276}</x14:id>
        </ext>
      </extLst>
    </cfRule>
  </conditionalFormatting>
  <conditionalFormatting sqref="L59">
    <cfRule type="dataBar" priority="16">
      <dataBar>
        <cfvo type="num" val="0"/>
        <cfvo type="num" val="1"/>
        <color rgb="FF63C384"/>
      </dataBar>
      <extLst>
        <ext xmlns:x14="http://schemas.microsoft.com/office/spreadsheetml/2009/9/main" uri="{B025F937-C7B1-47D3-B67F-A62EFF666E3E}">
          <x14:id>{5981CA88-C7AE-42D0-8667-4A00EAEB857E}</x14:id>
        </ext>
      </extLst>
    </cfRule>
  </conditionalFormatting>
  <conditionalFormatting sqref="Y63:Y75 Y79">
    <cfRule type="dataBar" priority="14">
      <dataBar>
        <cfvo type="num" val="0"/>
        <cfvo type="num" val="1"/>
        <color rgb="FF63C384"/>
      </dataBar>
      <extLst>
        <ext xmlns:x14="http://schemas.microsoft.com/office/spreadsheetml/2009/9/main" uri="{B025F937-C7B1-47D3-B67F-A62EFF666E3E}">
          <x14:id>{5665A7C9-4174-44E9-A0C5-E0D06029B2A6}</x14:id>
        </ext>
      </extLst>
    </cfRule>
  </conditionalFormatting>
  <conditionalFormatting sqref="Y76:Y78">
    <cfRule type="dataBar" priority="13">
      <dataBar>
        <cfvo type="num" val="0"/>
        <cfvo type="num" val="1"/>
        <color rgb="FF63C384"/>
      </dataBar>
      <extLst>
        <ext xmlns:x14="http://schemas.microsoft.com/office/spreadsheetml/2009/9/main" uri="{B025F937-C7B1-47D3-B67F-A62EFF666E3E}">
          <x14:id>{7A975734-D30B-4DA8-A786-E0A157D80091}</x14:id>
        </ext>
      </extLst>
    </cfRule>
  </conditionalFormatting>
  <conditionalFormatting sqref="L63:L75 L79">
    <cfRule type="dataBar" priority="12">
      <dataBar>
        <cfvo type="num" val="0"/>
        <cfvo type="num" val="1"/>
        <color rgb="FF63C384"/>
      </dataBar>
      <extLst>
        <ext xmlns:x14="http://schemas.microsoft.com/office/spreadsheetml/2009/9/main" uri="{B025F937-C7B1-47D3-B67F-A62EFF666E3E}">
          <x14:id>{4DFCEE78-78B6-4C08-BAB2-DE8C90809058}</x14:id>
        </ext>
      </extLst>
    </cfRule>
  </conditionalFormatting>
  <conditionalFormatting sqref="L76:L78">
    <cfRule type="dataBar" priority="11">
      <dataBar>
        <cfvo type="num" val="0"/>
        <cfvo type="num" val="1"/>
        <color rgb="FF63C384"/>
      </dataBar>
      <extLst>
        <ext xmlns:x14="http://schemas.microsoft.com/office/spreadsheetml/2009/9/main" uri="{B025F937-C7B1-47D3-B67F-A62EFF666E3E}">
          <x14:id>{6AF2AAD6-3DCD-46B1-9DAF-134201AB8945}</x14:id>
        </ext>
      </extLst>
    </cfRule>
  </conditionalFormatting>
  <conditionalFormatting sqref="Y83:Y95 Y99">
    <cfRule type="dataBar" priority="10">
      <dataBar>
        <cfvo type="num" val="0"/>
        <cfvo type="num" val="1"/>
        <color rgb="FF63C384"/>
      </dataBar>
      <extLst>
        <ext xmlns:x14="http://schemas.microsoft.com/office/spreadsheetml/2009/9/main" uri="{B025F937-C7B1-47D3-B67F-A62EFF666E3E}">
          <x14:id>{F4DE3EA4-D3A3-4D6E-A653-BDD6485F5CCE}</x14:id>
        </ext>
      </extLst>
    </cfRule>
  </conditionalFormatting>
  <conditionalFormatting sqref="Y96:Y98">
    <cfRule type="dataBar" priority="9">
      <dataBar>
        <cfvo type="num" val="0"/>
        <cfvo type="num" val="1"/>
        <color rgb="FF63C384"/>
      </dataBar>
      <extLst>
        <ext xmlns:x14="http://schemas.microsoft.com/office/spreadsheetml/2009/9/main" uri="{B025F937-C7B1-47D3-B67F-A62EFF666E3E}">
          <x14:id>{E9CFD6D9-BBD8-4A6A-B886-CD0CBC1BA628}</x14:id>
        </ext>
      </extLst>
    </cfRule>
  </conditionalFormatting>
  <conditionalFormatting sqref="L83:L95">
    <cfRule type="dataBar" priority="8">
      <dataBar>
        <cfvo type="num" val="0"/>
        <cfvo type="num" val="1"/>
        <color rgb="FF63C384"/>
      </dataBar>
      <extLst>
        <ext xmlns:x14="http://schemas.microsoft.com/office/spreadsheetml/2009/9/main" uri="{B025F937-C7B1-47D3-B67F-A62EFF666E3E}">
          <x14:id>{F2159847-4959-4549-A886-6054D4C71025}</x14:id>
        </ext>
      </extLst>
    </cfRule>
  </conditionalFormatting>
  <conditionalFormatting sqref="L96:L99">
    <cfRule type="dataBar" priority="7">
      <dataBar>
        <cfvo type="num" val="0"/>
        <cfvo type="num" val="1"/>
        <color rgb="FF63C384"/>
      </dataBar>
      <extLst>
        <ext xmlns:x14="http://schemas.microsoft.com/office/spreadsheetml/2009/9/main" uri="{B025F937-C7B1-47D3-B67F-A62EFF666E3E}">
          <x14:id>{37E44A1B-092F-414E-8D84-09EA2C933F86}</x14:id>
        </ext>
      </extLst>
    </cfRule>
  </conditionalFormatting>
  <conditionalFormatting sqref="L23:L35 L39">
    <cfRule type="dataBar" priority="6">
      <dataBar>
        <cfvo type="num" val="0"/>
        <cfvo type="num" val="1"/>
        <color rgb="FF63C384"/>
      </dataBar>
      <extLst>
        <ext xmlns:x14="http://schemas.microsoft.com/office/spreadsheetml/2009/9/main" uri="{B025F937-C7B1-47D3-B67F-A62EFF666E3E}">
          <x14:id>{A02EC3C5-B127-4C01-A767-986AA3BCFB8F}</x14:id>
        </ext>
      </extLst>
    </cfRule>
  </conditionalFormatting>
  <conditionalFormatting sqref="L36:L38">
    <cfRule type="dataBar" priority="5">
      <dataBar>
        <cfvo type="num" val="0"/>
        <cfvo type="num" val="1"/>
        <color rgb="FF63C384"/>
      </dataBar>
      <extLst>
        <ext xmlns:x14="http://schemas.microsoft.com/office/spreadsheetml/2009/9/main" uri="{B025F937-C7B1-47D3-B67F-A62EFF666E3E}">
          <x14:id>{5DE9BF3D-C728-471C-9C20-89B96C578E5F}</x14:id>
        </ext>
      </extLst>
    </cfRule>
  </conditionalFormatting>
  <conditionalFormatting sqref="L43:L55">
    <cfRule type="dataBar" priority="4">
      <dataBar>
        <cfvo type="num" val="0"/>
        <cfvo type="num" val="1"/>
        <color rgb="FF63C384"/>
      </dataBar>
      <extLst>
        <ext xmlns:x14="http://schemas.microsoft.com/office/spreadsheetml/2009/9/main" uri="{B025F937-C7B1-47D3-B67F-A62EFF666E3E}">
          <x14:id>{2D06BB48-2F68-4796-A3E4-AD40847EAEFC}</x14:id>
        </ext>
      </extLst>
    </cfRule>
  </conditionalFormatting>
  <conditionalFormatting sqref="L56:L58">
    <cfRule type="dataBar" priority="3">
      <dataBar>
        <cfvo type="num" val="0"/>
        <cfvo type="num" val="1"/>
        <color rgb="FF63C384"/>
      </dataBar>
      <extLst>
        <ext xmlns:x14="http://schemas.microsoft.com/office/spreadsheetml/2009/9/main" uri="{B025F937-C7B1-47D3-B67F-A62EFF666E3E}">
          <x14:id>{8CF6AAB8-C8B9-447B-BC36-6D82444185BB}</x14:id>
        </ext>
      </extLst>
    </cfRule>
  </conditionalFormatting>
  <conditionalFormatting sqref="Y43:Y55">
    <cfRule type="dataBar" priority="2">
      <dataBar>
        <cfvo type="num" val="0"/>
        <cfvo type="num" val="1"/>
        <color rgb="FF63C384"/>
      </dataBar>
      <extLst>
        <ext xmlns:x14="http://schemas.microsoft.com/office/spreadsheetml/2009/9/main" uri="{B025F937-C7B1-47D3-B67F-A62EFF666E3E}">
          <x14:id>{5172714A-DAF9-4D8B-BC58-81E08B7D27BC}</x14:id>
        </ext>
      </extLst>
    </cfRule>
  </conditionalFormatting>
  <conditionalFormatting sqref="Y56:Y58">
    <cfRule type="dataBar" priority="1">
      <dataBar>
        <cfvo type="num" val="0"/>
        <cfvo type="num" val="1"/>
        <color rgb="FF63C384"/>
      </dataBar>
      <extLst>
        <ext xmlns:x14="http://schemas.microsoft.com/office/spreadsheetml/2009/9/main" uri="{B025F937-C7B1-47D3-B67F-A62EFF666E3E}">
          <x14:id>{358EC027-28B3-4EC7-8673-986385F3FBE3}</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ave_picture">
                <anchor moveWithCells="1" sizeWithCells="1">
                  <from>
                    <xdr:col>40</xdr:col>
                    <xdr:colOff>476250</xdr:colOff>
                    <xdr:row>3</xdr:row>
                    <xdr:rowOff>104775</xdr:rowOff>
                  </from>
                  <to>
                    <xdr:col>43</xdr:col>
                    <xdr:colOff>133350</xdr:colOff>
                    <xdr:row>6</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0B2346F-FD3E-4A72-8291-A7E4681CA55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L3:L15 L19</xm:sqref>
        </x14:conditionalFormatting>
        <x14:conditionalFormatting xmlns:xm="http://schemas.microsoft.com/office/excel/2006/main">
          <x14:cfRule type="dataBar" id="{5F3A0B5A-DB7A-45BC-8125-4234F36D47A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L16:L18</xm:sqref>
        </x14:conditionalFormatting>
        <x14:conditionalFormatting xmlns:xm="http://schemas.microsoft.com/office/excel/2006/main">
          <x14:cfRule type="dataBar" id="{BD4CF150-22FC-414C-921D-C8AE12E09351}">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Y23:Y35 Y39</xm:sqref>
        </x14:conditionalFormatting>
        <x14:conditionalFormatting xmlns:xm="http://schemas.microsoft.com/office/excel/2006/main">
          <x14:cfRule type="dataBar" id="{58EF674B-F0A6-4E08-9F53-30A204B7CF7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Y36:Y38</xm:sqref>
        </x14:conditionalFormatting>
        <x14:conditionalFormatting xmlns:xm="http://schemas.microsoft.com/office/excel/2006/main">
          <x14:cfRule type="dataBar" id="{FD56F956-6F98-49C2-8199-124041F8C28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Y3:Y15 Y19</xm:sqref>
        </x14:conditionalFormatting>
        <x14:conditionalFormatting xmlns:xm="http://schemas.microsoft.com/office/excel/2006/main">
          <x14:cfRule type="dataBar" id="{7D8EA912-DE1C-49A4-AE9F-82D0E728931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Y16:Y18</xm:sqref>
        </x14:conditionalFormatting>
        <x14:conditionalFormatting xmlns:xm="http://schemas.microsoft.com/office/excel/2006/main">
          <x14:cfRule type="dataBar" id="{414BAFA3-76A2-4ADB-959F-F7A2DBE6627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Y59</xm:sqref>
        </x14:conditionalFormatting>
        <x14:conditionalFormatting xmlns:xm="http://schemas.microsoft.com/office/excel/2006/main">
          <x14:cfRule type="dataBar" id="{5981CA88-C7AE-42D0-8667-4A00EAEB857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L59</xm:sqref>
        </x14:conditionalFormatting>
        <x14:conditionalFormatting xmlns:xm="http://schemas.microsoft.com/office/excel/2006/main">
          <x14:cfRule type="dataBar" id="{5665A7C9-4174-44E9-A0C5-E0D06029B2A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Y63:Y75 Y79</xm:sqref>
        </x14:conditionalFormatting>
        <x14:conditionalFormatting xmlns:xm="http://schemas.microsoft.com/office/excel/2006/main">
          <x14:cfRule type="dataBar" id="{7A975734-D30B-4DA8-A786-E0A157D80091}">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Y76:Y78</xm:sqref>
        </x14:conditionalFormatting>
        <x14:conditionalFormatting xmlns:xm="http://schemas.microsoft.com/office/excel/2006/main">
          <x14:cfRule type="dataBar" id="{4DFCEE78-78B6-4C08-BAB2-DE8C9080905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L63:L75 L79</xm:sqref>
        </x14:conditionalFormatting>
        <x14:conditionalFormatting xmlns:xm="http://schemas.microsoft.com/office/excel/2006/main">
          <x14:cfRule type="dataBar" id="{6AF2AAD6-3DCD-46B1-9DAF-134201AB894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L76:L78</xm:sqref>
        </x14:conditionalFormatting>
        <x14:conditionalFormatting xmlns:xm="http://schemas.microsoft.com/office/excel/2006/main">
          <x14:cfRule type="dataBar" id="{F4DE3EA4-D3A3-4D6E-A653-BDD6485F5CC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Y83:Y95 Y99</xm:sqref>
        </x14:conditionalFormatting>
        <x14:conditionalFormatting xmlns:xm="http://schemas.microsoft.com/office/excel/2006/main">
          <x14:cfRule type="dataBar" id="{E9CFD6D9-BBD8-4A6A-B886-CD0CBC1BA62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Y96:Y98</xm:sqref>
        </x14:conditionalFormatting>
        <x14:conditionalFormatting xmlns:xm="http://schemas.microsoft.com/office/excel/2006/main">
          <x14:cfRule type="dataBar" id="{F2159847-4959-4549-A886-6054D4C7102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L83:L95</xm:sqref>
        </x14:conditionalFormatting>
        <x14:conditionalFormatting xmlns:xm="http://schemas.microsoft.com/office/excel/2006/main">
          <x14:cfRule type="dataBar" id="{37E44A1B-092F-414E-8D84-09EA2C933F8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L96:L99</xm:sqref>
        </x14:conditionalFormatting>
        <x14:conditionalFormatting xmlns:xm="http://schemas.microsoft.com/office/excel/2006/main">
          <x14:cfRule type="dataBar" id="{A02EC3C5-B127-4C01-A767-986AA3BCFB8F}">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L23:L35 L39</xm:sqref>
        </x14:conditionalFormatting>
        <x14:conditionalFormatting xmlns:xm="http://schemas.microsoft.com/office/excel/2006/main">
          <x14:cfRule type="dataBar" id="{5DE9BF3D-C728-471C-9C20-89B96C578E5F}">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L36:L38</xm:sqref>
        </x14:conditionalFormatting>
        <x14:conditionalFormatting xmlns:xm="http://schemas.microsoft.com/office/excel/2006/main">
          <x14:cfRule type="dataBar" id="{2D06BB48-2F68-4796-A3E4-AD40847EAEF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L43:L55</xm:sqref>
        </x14:conditionalFormatting>
        <x14:conditionalFormatting xmlns:xm="http://schemas.microsoft.com/office/excel/2006/main">
          <x14:cfRule type="dataBar" id="{8CF6AAB8-C8B9-447B-BC36-6D82444185B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L56:L58</xm:sqref>
        </x14:conditionalFormatting>
        <x14:conditionalFormatting xmlns:xm="http://schemas.microsoft.com/office/excel/2006/main">
          <x14:cfRule type="dataBar" id="{5172714A-DAF9-4D8B-BC58-81E08B7D27B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Y43:Y55</xm:sqref>
        </x14:conditionalFormatting>
        <x14:conditionalFormatting xmlns:xm="http://schemas.microsoft.com/office/excel/2006/main">
          <x14:cfRule type="dataBar" id="{358EC027-28B3-4EC7-8673-986385F3FBE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Y56:Y58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G157"/>
  <sheetViews>
    <sheetView zoomScale="70" zoomScaleNormal="70" workbookViewId="0">
      <selection activeCell="AK11" sqref="AK11"/>
    </sheetView>
  </sheetViews>
  <sheetFormatPr defaultRowHeight="15" x14ac:dyDescent="0.25"/>
  <cols>
    <col min="1" max="2" width="7.28515625" customWidth="1"/>
    <col min="3" max="3" width="12.5703125" customWidth="1"/>
    <col min="4" max="12" width="8.5703125" customWidth="1"/>
    <col min="13" max="13" width="9" customWidth="1"/>
    <col min="14" max="43" width="7.85546875" customWidth="1"/>
    <col min="49" max="49" width="3.85546875" bestFit="1" customWidth="1"/>
    <col min="50" max="55" width="15.140625" customWidth="1"/>
    <col min="56" max="56" width="15.140625" hidden="1" customWidth="1"/>
    <col min="57" max="57" width="15.140625" customWidth="1"/>
    <col min="58" max="59" width="15.140625" hidden="1" customWidth="1"/>
  </cols>
  <sheetData>
    <row r="1" spans="1:43" x14ac:dyDescent="0.25">
      <c r="A1" t="s">
        <v>0</v>
      </c>
      <c r="B1" t="s">
        <v>171</v>
      </c>
      <c r="C1" t="s">
        <v>172</v>
      </c>
      <c r="N1" s="101">
        <v>1</v>
      </c>
      <c r="O1" s="101"/>
      <c r="P1" s="101">
        <f>N1+1</f>
        <v>2</v>
      </c>
      <c r="Q1" s="101"/>
      <c r="R1" s="101">
        <f t="shared" ref="R1" si="0">P1+1</f>
        <v>3</v>
      </c>
      <c r="S1" s="101"/>
      <c r="T1" s="101">
        <f t="shared" ref="T1" si="1">R1+1</f>
        <v>4</v>
      </c>
      <c r="U1" s="101"/>
      <c r="V1" s="101">
        <f t="shared" ref="V1" si="2">T1+1</f>
        <v>5</v>
      </c>
      <c r="W1" s="101"/>
      <c r="X1" s="101">
        <f t="shared" ref="X1" si="3">V1+1</f>
        <v>6</v>
      </c>
      <c r="Y1" s="101"/>
      <c r="Z1" s="101">
        <f t="shared" ref="Z1" si="4">X1+1</f>
        <v>7</v>
      </c>
      <c r="AA1" s="101"/>
      <c r="AB1" s="101">
        <f t="shared" ref="AB1" si="5">Z1+1</f>
        <v>8</v>
      </c>
      <c r="AC1" s="101"/>
      <c r="AD1" s="101">
        <f t="shared" ref="AD1" si="6">AB1+1</f>
        <v>9</v>
      </c>
      <c r="AE1" s="101"/>
      <c r="AF1" s="101">
        <f t="shared" ref="AF1" si="7">AD1+1</f>
        <v>10</v>
      </c>
      <c r="AG1" s="101"/>
      <c r="AH1" s="101">
        <f t="shared" ref="AH1" si="8">AF1+1</f>
        <v>11</v>
      </c>
      <c r="AI1" s="101"/>
      <c r="AJ1" s="101">
        <f t="shared" ref="AJ1" si="9">AH1+1</f>
        <v>12</v>
      </c>
      <c r="AK1" s="101"/>
      <c r="AL1" s="101">
        <f t="shared" ref="AL1" si="10">AJ1+1</f>
        <v>13</v>
      </c>
      <c r="AM1" s="101"/>
      <c r="AN1" s="101">
        <f t="shared" ref="AN1" si="11">AL1+1</f>
        <v>14</v>
      </c>
      <c r="AO1" s="101"/>
      <c r="AP1" s="101">
        <f t="shared" ref="AP1" si="12">AN1+1</f>
        <v>15</v>
      </c>
      <c r="AQ1" s="101"/>
    </row>
    <row r="2" spans="1:43" ht="15.75" thickBot="1" x14ac:dyDescent="0.3">
      <c r="A2">
        <v>11</v>
      </c>
      <c r="B2">
        <v>1</v>
      </c>
      <c r="C2" s="5">
        <v>4</v>
      </c>
      <c r="M2" t="s">
        <v>175</v>
      </c>
      <c r="N2" s="101">
        <f>INDEX($A$2:$A$16,N$1)</f>
        <v>11</v>
      </c>
      <c r="O2" s="101"/>
      <c r="P2" s="101">
        <f t="shared" ref="P2" si="13">INDEX($A$2:$A$16,P$1)</f>
        <v>11</v>
      </c>
      <c r="Q2" s="101"/>
      <c r="R2" s="101">
        <f t="shared" ref="R2" si="14">INDEX($A$2:$A$16,R$1)</f>
        <v>11</v>
      </c>
      <c r="S2" s="101"/>
      <c r="T2" s="101">
        <f t="shared" ref="T2" si="15">INDEX($A$2:$A$16,T$1)</f>
        <v>11</v>
      </c>
      <c r="U2" s="101"/>
      <c r="V2" s="101">
        <f t="shared" ref="V2" si="16">INDEX($A$2:$A$16,V$1)</f>
        <v>11</v>
      </c>
      <c r="W2" s="101"/>
      <c r="X2" s="101">
        <f t="shared" ref="X2" si="17">INDEX($A$2:$A$16,X$1)</f>
        <v>12</v>
      </c>
      <c r="Y2" s="101"/>
      <c r="Z2" s="101">
        <f t="shared" ref="Z2" si="18">INDEX($A$2:$A$16,Z$1)</f>
        <v>12</v>
      </c>
      <c r="AA2" s="101"/>
      <c r="AB2" s="101">
        <f t="shared" ref="AB2" si="19">INDEX($A$2:$A$16,AB$1)</f>
        <v>12</v>
      </c>
      <c r="AC2" s="101"/>
      <c r="AD2" s="101">
        <f t="shared" ref="AD2" si="20">INDEX($A$2:$A$16,AD$1)</f>
        <v>12</v>
      </c>
      <c r="AE2" s="101"/>
      <c r="AF2" s="101">
        <f t="shared" ref="AF2" si="21">INDEX($A$2:$A$16,AF$1)</f>
        <v>12</v>
      </c>
      <c r="AG2" s="101"/>
      <c r="AH2" s="101">
        <f t="shared" ref="AH2" si="22">INDEX($A$2:$A$16,AH$1)</f>
        <v>13</v>
      </c>
      <c r="AI2" s="101"/>
      <c r="AJ2" s="101">
        <f t="shared" ref="AJ2" si="23">INDEX($A$2:$A$16,AJ$1)</f>
        <v>13</v>
      </c>
      <c r="AK2" s="101"/>
      <c r="AL2" s="101">
        <f t="shared" ref="AL2" si="24">INDEX($A$2:$A$16,AL$1)</f>
        <v>13</v>
      </c>
      <c r="AM2" s="101"/>
      <c r="AN2" s="101">
        <f t="shared" ref="AN2" si="25">INDEX($A$2:$A$16,AN$1)</f>
        <v>13</v>
      </c>
      <c r="AO2" s="101"/>
      <c r="AP2" s="101">
        <f t="shared" ref="AP2" si="26">INDEX($A$2:$A$16,AP$1)</f>
        <v>13</v>
      </c>
      <c r="AQ2" s="101"/>
    </row>
    <row r="3" spans="1:43" ht="15.75" hidden="1" thickBot="1" x14ac:dyDescent="0.3">
      <c r="A3">
        <v>11</v>
      </c>
      <c r="B3">
        <v>2</v>
      </c>
      <c r="C3" s="5">
        <v>6</v>
      </c>
      <c r="M3" t="s">
        <v>171</v>
      </c>
      <c r="N3" s="101">
        <f>INDEX($B$2:$B$16,N$1)</f>
        <v>1</v>
      </c>
      <c r="O3" s="101"/>
      <c r="P3" s="101">
        <f t="shared" ref="P3" si="27">INDEX($B$2:$B$16,P$1)</f>
        <v>2</v>
      </c>
      <c r="Q3" s="101"/>
      <c r="R3" s="101">
        <f t="shared" ref="R3" si="28">INDEX($B$2:$B$16,R$1)</f>
        <v>3</v>
      </c>
      <c r="S3" s="101"/>
      <c r="T3" s="101">
        <f t="shared" ref="T3" si="29">INDEX($B$2:$B$16,T$1)</f>
        <v>5</v>
      </c>
      <c r="U3" s="101"/>
      <c r="V3" s="101">
        <f t="shared" ref="V3" si="30">INDEX($B$2:$B$16,V$1)</f>
        <v>7</v>
      </c>
      <c r="W3" s="101"/>
      <c r="X3" s="101">
        <f t="shared" ref="X3" si="31">INDEX($B$2:$B$16,X$1)</f>
        <v>1</v>
      </c>
      <c r="Y3" s="101"/>
      <c r="Z3" s="101">
        <f t="shared" ref="Z3" si="32">INDEX($B$2:$B$16,Z$1)</f>
        <v>2</v>
      </c>
      <c r="AA3" s="101"/>
      <c r="AB3" s="101">
        <f t="shared" ref="AB3" si="33">INDEX($B$2:$B$16,AB$1)</f>
        <v>3</v>
      </c>
      <c r="AC3" s="101"/>
      <c r="AD3" s="101">
        <f t="shared" ref="AD3" si="34">INDEX($B$2:$B$16,AD$1)</f>
        <v>4</v>
      </c>
      <c r="AE3" s="101"/>
      <c r="AF3" s="101">
        <f t="shared" ref="AF3" si="35">INDEX($B$2:$B$16,AF$1)</f>
        <v>6</v>
      </c>
      <c r="AG3" s="101"/>
      <c r="AH3" s="101">
        <f t="shared" ref="AH3" si="36">INDEX($B$2:$B$16,AH$1)</f>
        <v>1</v>
      </c>
      <c r="AI3" s="101"/>
      <c r="AJ3" s="101">
        <f t="shared" ref="AJ3" si="37">INDEX($B$2:$B$16,AJ$1)</f>
        <v>3</v>
      </c>
      <c r="AK3" s="101"/>
      <c r="AL3" s="101">
        <f t="shared" ref="AL3" si="38">INDEX($B$2:$B$16,AL$1)</f>
        <v>4</v>
      </c>
      <c r="AM3" s="101"/>
      <c r="AN3" s="101">
        <f t="shared" ref="AN3" si="39">INDEX($B$2:$B$16,AN$1)</f>
        <v>5</v>
      </c>
      <c r="AO3" s="101"/>
      <c r="AP3" s="101">
        <f t="shared" ref="AP3" si="40">INDEX($B$2:$B$16,AP$1)</f>
        <v>7</v>
      </c>
      <c r="AQ3" s="101"/>
    </row>
    <row r="4" spans="1:43" ht="15.75" hidden="1" thickBot="1" x14ac:dyDescent="0.3">
      <c r="A4">
        <v>11</v>
      </c>
      <c r="B4">
        <v>3</v>
      </c>
      <c r="C4" s="5">
        <v>10</v>
      </c>
      <c r="M4" t="s">
        <v>172</v>
      </c>
      <c r="N4" s="101">
        <f>INDEX($C$2:$C$16,N$1)</f>
        <v>4</v>
      </c>
      <c r="O4" s="101"/>
      <c r="P4" s="101">
        <f t="shared" ref="P4" si="41">INDEX($C$2:$C$16,P$1)</f>
        <v>6</v>
      </c>
      <c r="Q4" s="101"/>
      <c r="R4" s="101">
        <f t="shared" ref="R4" si="42">INDEX($C$2:$C$16,R$1)</f>
        <v>10</v>
      </c>
      <c r="S4" s="101"/>
      <c r="T4" s="101">
        <f t="shared" ref="T4" si="43">INDEX($C$2:$C$16,T$1)</f>
        <v>9</v>
      </c>
      <c r="U4" s="101"/>
      <c r="V4" s="101">
        <f t="shared" ref="V4" si="44">INDEX($C$2:$C$16,V$1)</f>
        <v>8</v>
      </c>
      <c r="W4" s="101"/>
      <c r="X4" s="101">
        <f t="shared" ref="X4" si="45">INDEX($C$2:$C$16,X$1)</f>
        <v>8</v>
      </c>
      <c r="Y4" s="101"/>
      <c r="Z4" s="101">
        <f t="shared" ref="Z4" si="46">INDEX($C$2:$C$16,Z$1)</f>
        <v>7</v>
      </c>
      <c r="AA4" s="101"/>
      <c r="AB4" s="101">
        <f t="shared" ref="AB4" si="47">INDEX($C$2:$C$16,AB$1)</f>
        <v>5</v>
      </c>
      <c r="AC4" s="101"/>
      <c r="AD4" s="101">
        <f t="shared" ref="AD4" si="48">INDEX($C$2:$C$16,AD$1)</f>
        <v>9</v>
      </c>
      <c r="AE4" s="101"/>
      <c r="AF4" s="101">
        <f t="shared" ref="AF4" si="49">INDEX($C$2:$C$16,AF$1)</f>
        <v>10</v>
      </c>
      <c r="AG4" s="101"/>
      <c r="AH4" s="101">
        <f t="shared" ref="AH4" si="50">INDEX($C$2:$C$16,AH$1)</f>
        <v>2</v>
      </c>
      <c r="AI4" s="101"/>
      <c r="AJ4" s="101">
        <f t="shared" ref="AJ4" si="51">INDEX($C$2:$C$16,AJ$1)</f>
        <v>9</v>
      </c>
      <c r="AK4" s="101"/>
      <c r="AL4" s="101">
        <f t="shared" ref="AL4" si="52">INDEX($C$2:$C$16,AL$1)</f>
        <v>8</v>
      </c>
      <c r="AM4" s="101"/>
      <c r="AN4" s="101">
        <f t="shared" ref="AN4" si="53">INDEX($C$2:$C$16,AN$1)</f>
        <v>6</v>
      </c>
      <c r="AO4" s="101"/>
      <c r="AP4" s="101">
        <f t="shared" ref="AP4" si="54">INDEX($C$2:$C$16,AP$1)</f>
        <v>10</v>
      </c>
      <c r="AQ4" s="101"/>
    </row>
    <row r="5" spans="1:43" x14ac:dyDescent="0.25">
      <c r="A5">
        <v>11</v>
      </c>
      <c r="B5">
        <v>5</v>
      </c>
      <c r="C5" s="5">
        <v>9</v>
      </c>
      <c r="M5" t="s">
        <v>176</v>
      </c>
      <c r="N5" s="38" t="str">
        <f>INDEX($D$6:$D$15,N$3)</f>
        <v>scott</v>
      </c>
      <c r="O5" s="39" t="str">
        <f>INDEX($D$6:$D$15,N$4)</f>
        <v>devon</v>
      </c>
      <c r="P5" s="38" t="str">
        <f>INDEX($D$6:$D$15,P$3)</f>
        <v>cory</v>
      </c>
      <c r="Q5" s="39" t="str">
        <f>INDEX($D$6:$D$15,P$4)</f>
        <v>chad</v>
      </c>
      <c r="R5" s="38" t="str">
        <f>INDEX($D$6:$D$15,R$3)</f>
        <v>aj</v>
      </c>
      <c r="S5" s="39" t="str">
        <f>INDEX($D$6:$D$15,R$4)</f>
        <v>seth</v>
      </c>
      <c r="T5" s="38" t="str">
        <f>INDEX($D$6:$D$15,T$3)</f>
        <v>comp</v>
      </c>
      <c r="U5" s="39" t="str">
        <f>INDEX($D$6:$D$15,T$4)</f>
        <v>matty</v>
      </c>
      <c r="V5" s="38" t="str">
        <f>INDEX($D$6:$D$15,V$3)</f>
        <v>jason</v>
      </c>
      <c r="W5" s="39" t="str">
        <f>INDEX($D$6:$D$15,V$4)</f>
        <v>perry</v>
      </c>
      <c r="X5" s="46" t="str">
        <f>INDEX($D$6:$D$15,X$3)</f>
        <v>scott</v>
      </c>
      <c r="Y5" s="47" t="str">
        <f>INDEX($D$6:$D$15,X$4)</f>
        <v>perry</v>
      </c>
      <c r="Z5" s="46" t="str">
        <f>INDEX($D$6:$D$15,Z$3)</f>
        <v>cory</v>
      </c>
      <c r="AA5" s="47" t="str">
        <f>INDEX($D$6:$D$15,Z$4)</f>
        <v>jason</v>
      </c>
      <c r="AB5" s="46" t="str">
        <f>INDEX($D$6:$D$15,AB$3)</f>
        <v>aj</v>
      </c>
      <c r="AC5" s="47" t="str">
        <f>INDEX($D$6:$D$15,AB$4)</f>
        <v>comp</v>
      </c>
      <c r="AD5" s="46" t="str">
        <f>INDEX($D$6:$D$15,AD$3)</f>
        <v>devon</v>
      </c>
      <c r="AE5" s="47" t="str">
        <f>INDEX($D$6:$D$15,AD$4)</f>
        <v>matty</v>
      </c>
      <c r="AF5" s="46" t="str">
        <f>INDEX($D$6:$D$15,AF$3)</f>
        <v>chad</v>
      </c>
      <c r="AG5" s="47" t="str">
        <f>INDEX($D$6:$D$15,AF$4)</f>
        <v>seth</v>
      </c>
      <c r="AH5" s="38" t="str">
        <f>INDEX($D$6:$D$15,AH$3)</f>
        <v>scott</v>
      </c>
      <c r="AI5" s="39" t="str">
        <f>INDEX($D$6:$D$15,AH$4)</f>
        <v>cory</v>
      </c>
      <c r="AJ5" s="38" t="str">
        <f>INDEX($D$6:$D$15,AJ$3)</f>
        <v>aj</v>
      </c>
      <c r="AK5" s="39" t="str">
        <f>INDEX($D$6:$D$15,AJ$4)</f>
        <v>matty</v>
      </c>
      <c r="AL5" s="38" t="str">
        <f>INDEX($D$6:$D$15,AL$3)</f>
        <v>devon</v>
      </c>
      <c r="AM5" s="39" t="str">
        <f>INDEX($D$6:$D$15,AL$4)</f>
        <v>perry</v>
      </c>
      <c r="AN5" s="38" t="str">
        <f>INDEX($D$6:$D$15,AN$3)</f>
        <v>comp</v>
      </c>
      <c r="AO5" s="39" t="str">
        <f>INDEX($D$6:$D$15,AN$4)</f>
        <v>chad</v>
      </c>
      <c r="AP5" s="38" t="str">
        <f>INDEX($D$6:$D$15,AP$3)</f>
        <v>jason</v>
      </c>
      <c r="AQ5" s="39" t="str">
        <f>INDEX($D$6:$D$15,AP$4)</f>
        <v>seth</v>
      </c>
    </row>
    <row r="6" spans="1:43" x14ac:dyDescent="0.25">
      <c r="A6">
        <v>11</v>
      </c>
      <c r="B6">
        <v>7</v>
      </c>
      <c r="C6" s="5">
        <v>8</v>
      </c>
      <c r="D6" t="s">
        <v>11</v>
      </c>
      <c r="M6" s="2" t="str">
        <f>'Data Import'!AD2</f>
        <v>0.40812</v>
      </c>
      <c r="N6" s="44" t="e">
        <f t="shared" ref="N6:N15" si="55">INDEX($C$58:$M$157,MATCH(N$5&amp;$D6,$N$58:$N$157,0),N$2-$A$54)</f>
        <v>#VALUE!</v>
      </c>
      <c r="O6" s="45" t="e">
        <f t="shared" ref="O6:O15" si="56">INDEX($C$58:$M$157,MATCH(O$5&amp;$D6,$N$58:$N$157,0),N$2-$A$54)</f>
        <v>#VALUE!</v>
      </c>
      <c r="P6" s="44" t="e">
        <f t="shared" ref="P6:P15" si="57">INDEX($C$58:$M$157,MATCH(P$5&amp;$D6,$N$58:$N$157,0),P$2-$A$54)</f>
        <v>#VALUE!</v>
      </c>
      <c r="Q6" s="45" t="e">
        <f t="shared" ref="Q6:Q15" si="58">INDEX($C$58:$M$157,MATCH(Q$5&amp;$D6,$N$58:$N$157,0),P$2-$A$54)</f>
        <v>#VALUE!</v>
      </c>
      <c r="R6" s="44" t="e">
        <f t="shared" ref="R6:R15" si="59">INDEX($C$58:$M$157,MATCH(R$5&amp;$D6,$N$58:$N$157,0),R$2-$A$54)</f>
        <v>#VALUE!</v>
      </c>
      <c r="S6" s="45" t="e">
        <f t="shared" ref="S6:S15" si="60">INDEX($C$58:$M$157,MATCH(S$5&amp;$D6,$N$58:$N$157,0),R$2-$A$54)</f>
        <v>#VALUE!</v>
      </c>
      <c r="T6" s="44" t="e">
        <f t="shared" ref="T6:T15" si="61">INDEX($C$58:$M$157,MATCH(T$5&amp;$D6,$N$58:$N$157,0),T$2-$A$54)</f>
        <v>#VALUE!</v>
      </c>
      <c r="U6" s="45" t="e">
        <f t="shared" ref="U6:U15" si="62">INDEX($C$58:$M$157,MATCH(U$5&amp;$D6,$N$58:$N$157,0),T$2-$A$54)</f>
        <v>#VALUE!</v>
      </c>
      <c r="V6" s="44" t="e">
        <f t="shared" ref="V6:V15" si="63">INDEX($C$58:$M$157,MATCH(V$5&amp;$D6,$N$58:$N$157,0),V$2-$A$54)</f>
        <v>#N/A</v>
      </c>
      <c r="W6" s="45" t="e">
        <f t="shared" ref="W6:W15" si="64">INDEX($C$58:$M$157,MATCH(W$5&amp;$D6,$N$58:$N$157,0),V$2-$A$54)</f>
        <v>#VALUE!</v>
      </c>
      <c r="X6" s="48">
        <f t="shared" ref="X6:X15" si="65">INDEX($C$58:$M$157,MATCH(X$5&amp;$D6,$N$58:$N$157,0),X$2-$A$54)</f>
        <v>4.4089058635239403E-2</v>
      </c>
      <c r="Y6" s="49">
        <f t="shared" ref="Y6:Y15" si="66">INDEX($C$58:$M$157,MATCH(Y$5&amp;$D6,$N$58:$N$157,0),X$2-$A$54)</f>
        <v>-3.8904190309908501E-3</v>
      </c>
      <c r="Z6" s="48">
        <f t="shared" ref="Z6:Z15" si="67">INDEX($C$58:$M$157,MATCH(Z$5&amp;$D6,$N$58:$N$157,0),Z$2-$A$54)</f>
        <v>-8.8016758329695896E-2</v>
      </c>
      <c r="AA6" s="49" t="e">
        <f t="shared" ref="AA6:AA15" si="68">INDEX($C$58:$M$157,MATCH(AA$5&amp;$D6,$N$58:$N$157,0),Z$2-$A$54)</f>
        <v>#N/A</v>
      </c>
      <c r="AB6" s="48">
        <f t="shared" ref="AB6:AB15" si="69">INDEX($C$58:$M$157,MATCH(AB$5&amp;$D6,$N$58:$N$157,0),AB$2-$A$54)</f>
        <v>7.2420936999854097E-3</v>
      </c>
      <c r="AC6" s="49">
        <f t="shared" ref="AC6:AC15" si="70">INDEX($C$58:$M$157,MATCH(AC$5&amp;$D6,$N$58:$N$157,0),AB$2-$A$54)</f>
        <v>4.5923876036665402E-3</v>
      </c>
      <c r="AD6" s="48">
        <f t="shared" ref="AD6:AD15" si="71">INDEX($C$58:$M$157,MATCH(AD$5&amp;$D6,$N$58:$N$157,0),AD$2-$A$54)</f>
        <v>-2.8857194820311499E-3</v>
      </c>
      <c r="AE6" s="49">
        <f t="shared" ref="AE6:AE15" si="72">INDEX($C$58:$M$157,MATCH(AE$5&amp;$D6,$N$58:$N$157,0),AD$2-$A$54)</f>
        <v>3.8436301469518298E-3</v>
      </c>
      <c r="AF6" s="48">
        <f t="shared" ref="AF6:AF15" si="73">INDEX($C$58:$M$157,MATCH(AF$5&amp;$D6,$N$58:$N$157,0),AF$2-$A$54)</f>
        <v>-1.9340317183180701E-4</v>
      </c>
      <c r="AG6" s="49">
        <f t="shared" ref="AG6:AG15" si="74">INDEX($C$58:$M$157,MATCH(AG$5&amp;$D6,$N$58:$N$157,0),AF$2-$A$54)</f>
        <v>-3.8567146806339802E-4</v>
      </c>
      <c r="AH6" s="44">
        <f t="shared" ref="AH6:AH15" si="75">INDEX($C$58:$M$157,MATCH(AH$5&amp;$D6,$N$58:$N$157,0),AH$2-$A$54)</f>
        <v>-5.3851803803092298E-2</v>
      </c>
      <c r="AI6" s="45">
        <f t="shared" ref="AI6:AI15" si="76">INDEX($C$58:$M$157,MATCH(AI$5&amp;$D6,$N$58:$N$157,0),AH$2-$A$54)</f>
        <v>0.10750651857117501</v>
      </c>
      <c r="AJ6" s="44">
        <f t="shared" ref="AJ6:AJ15" si="77">INDEX($C$58:$M$157,MATCH(AJ$5&amp;$D6,$N$58:$N$157,0),AJ$2-$A$54)</f>
        <v>-8.8457277412475905E-3</v>
      </c>
      <c r="AK6" s="45">
        <f t="shared" ref="AK6:AK15" si="78">INDEX($C$58:$M$157,MATCH(AK$5&amp;$D6,$N$58:$N$157,0),AJ$2-$A$54)</f>
        <v>-4.6947343166874001E-3</v>
      </c>
      <c r="AL6" s="44">
        <f t="shared" ref="AL6:AL15" si="79">INDEX($C$58:$M$157,MATCH(AL$5&amp;$D6,$N$58:$N$157,0),AL$2-$A$54)</f>
        <v>3.5247112137906699E-3</v>
      </c>
      <c r="AM6" s="45">
        <f t="shared" ref="AM6:AM15" si="80">INDEX($C$58:$M$157,MATCH(AM$5&amp;$D6,$N$58:$N$157,0),AL$2-$A$54)</f>
        <v>4.7518837746578502E-3</v>
      </c>
      <c r="AN6" s="44">
        <f t="shared" ref="AN6:AN15" si="81">INDEX($C$58:$M$157,MATCH(AN$5&amp;$D6,$N$58:$N$157,0),AN$2-$A$54)</f>
        <v>-5.6092909187844299E-3</v>
      </c>
      <c r="AO6" s="45">
        <f t="shared" ref="AO6:AO15" si="82">INDEX($C$58:$M$157,MATCH(AO$5&amp;$D6,$N$58:$N$157,0),AN$2-$A$54)</f>
        <v>2.3622889639241001E-4</v>
      </c>
      <c r="AP6" s="44" t="e">
        <f t="shared" ref="AP6:AP15" si="83">INDEX($C$58:$M$157,MATCH(AP$5&amp;$D6,$N$58:$N$157,0),AP$2-$A$54)</f>
        <v>#N/A</v>
      </c>
      <c r="AQ6" s="45">
        <f t="shared" ref="AQ6:AQ15" si="84">INDEX($C$58:$M$157,MATCH(AQ$5&amp;$D6,$N$58:$N$157,0),AP$2-$A$54)</f>
        <v>4.7107161897996802E-4</v>
      </c>
    </row>
    <row r="7" spans="1:43" x14ac:dyDescent="0.25">
      <c r="A7">
        <v>12</v>
      </c>
      <c r="B7">
        <v>1</v>
      </c>
      <c r="C7" s="5">
        <v>8</v>
      </c>
      <c r="D7" t="s">
        <v>15</v>
      </c>
      <c r="M7" s="2" t="str">
        <f>'Data Import'!AD3</f>
        <v>0.42356</v>
      </c>
      <c r="N7" s="40" t="e">
        <f t="shared" si="55"/>
        <v>#VALUE!</v>
      </c>
      <c r="O7" s="41" t="e">
        <f t="shared" si="56"/>
        <v>#VALUE!</v>
      </c>
      <c r="P7" s="40" t="e">
        <f t="shared" si="57"/>
        <v>#VALUE!</v>
      </c>
      <c r="Q7" s="41" t="e">
        <f t="shared" si="58"/>
        <v>#VALUE!</v>
      </c>
      <c r="R7" s="40" t="e">
        <f t="shared" si="59"/>
        <v>#VALUE!</v>
      </c>
      <c r="S7" s="41" t="e">
        <f t="shared" si="60"/>
        <v>#VALUE!</v>
      </c>
      <c r="T7" s="40" t="e">
        <f t="shared" si="61"/>
        <v>#VALUE!</v>
      </c>
      <c r="U7" s="41" t="e">
        <f t="shared" si="62"/>
        <v>#VALUE!</v>
      </c>
      <c r="V7" s="40" t="e">
        <f t="shared" si="63"/>
        <v>#N/A</v>
      </c>
      <c r="W7" s="41" t="e">
        <f t="shared" si="64"/>
        <v>#VALUE!</v>
      </c>
      <c r="X7" s="50">
        <f t="shared" si="65"/>
        <v>4.4089058635239403E-2</v>
      </c>
      <c r="Y7" s="51">
        <f t="shared" si="66"/>
        <v>-3.8904190309908501E-3</v>
      </c>
      <c r="Z7" s="50">
        <f t="shared" si="67"/>
        <v>-8.8016758329695896E-2</v>
      </c>
      <c r="AA7" s="51" t="e">
        <f t="shared" si="68"/>
        <v>#N/A</v>
      </c>
      <c r="AB7" s="50">
        <f t="shared" si="69"/>
        <v>7.2420936999854097E-3</v>
      </c>
      <c r="AC7" s="51">
        <f t="shared" si="70"/>
        <v>4.5923876036665402E-3</v>
      </c>
      <c r="AD7" s="50">
        <f t="shared" si="71"/>
        <v>-2.8857194820311499E-3</v>
      </c>
      <c r="AE7" s="51">
        <f t="shared" si="72"/>
        <v>3.8436301469518298E-3</v>
      </c>
      <c r="AF7" s="50">
        <f t="shared" si="73"/>
        <v>-1.9340317183180701E-4</v>
      </c>
      <c r="AG7" s="51">
        <f t="shared" si="74"/>
        <v>-3.8567146806339802E-4</v>
      </c>
      <c r="AH7" s="40">
        <f t="shared" si="75"/>
        <v>-5.3851803803092298E-2</v>
      </c>
      <c r="AI7" s="41">
        <f t="shared" si="76"/>
        <v>0.10750651857117501</v>
      </c>
      <c r="AJ7" s="40">
        <f t="shared" si="77"/>
        <v>-8.8457277412475905E-3</v>
      </c>
      <c r="AK7" s="41">
        <f t="shared" si="78"/>
        <v>-4.6947343166874001E-3</v>
      </c>
      <c r="AL7" s="40">
        <f t="shared" si="79"/>
        <v>3.5247112137906699E-3</v>
      </c>
      <c r="AM7" s="41">
        <f t="shared" si="80"/>
        <v>4.7518837746578502E-3</v>
      </c>
      <c r="AN7" s="40">
        <f t="shared" si="81"/>
        <v>-5.6092909187844299E-3</v>
      </c>
      <c r="AO7" s="41">
        <f t="shared" si="82"/>
        <v>2.3622889639241001E-4</v>
      </c>
      <c r="AP7" s="40" t="e">
        <f t="shared" si="83"/>
        <v>#N/A</v>
      </c>
      <c r="AQ7" s="41">
        <f t="shared" si="84"/>
        <v>4.7107161897996802E-4</v>
      </c>
    </row>
    <row r="8" spans="1:43" x14ac:dyDescent="0.25">
      <c r="A8">
        <v>12</v>
      </c>
      <c r="B8">
        <v>2</v>
      </c>
      <c r="C8" s="5">
        <v>7</v>
      </c>
      <c r="D8" t="s">
        <v>17</v>
      </c>
      <c r="M8" s="2" t="str">
        <f>'Data Import'!AD4</f>
        <v>0.10425</v>
      </c>
      <c r="N8" s="40" t="e">
        <f t="shared" si="55"/>
        <v>#VALUE!</v>
      </c>
      <c r="O8" s="41" t="e">
        <f t="shared" si="56"/>
        <v>#VALUE!</v>
      </c>
      <c r="P8" s="40" t="e">
        <f t="shared" si="57"/>
        <v>#VALUE!</v>
      </c>
      <c r="Q8" s="41" t="e">
        <f t="shared" si="58"/>
        <v>#VALUE!</v>
      </c>
      <c r="R8" s="40" t="e">
        <f t="shared" si="59"/>
        <v>#VALUE!</v>
      </c>
      <c r="S8" s="41" t="e">
        <f t="shared" si="60"/>
        <v>#VALUE!</v>
      </c>
      <c r="T8" s="40" t="e">
        <f t="shared" si="61"/>
        <v>#VALUE!</v>
      </c>
      <c r="U8" s="41" t="e">
        <f t="shared" si="62"/>
        <v>#VALUE!</v>
      </c>
      <c r="V8" s="40" t="e">
        <f t="shared" si="63"/>
        <v>#N/A</v>
      </c>
      <c r="W8" s="41" t="e">
        <f t="shared" si="64"/>
        <v>#VALUE!</v>
      </c>
      <c r="X8" s="50">
        <f t="shared" si="65"/>
        <v>4.4089058635239403E-2</v>
      </c>
      <c r="Y8" s="51">
        <f t="shared" si="66"/>
        <v>-3.8904190309908501E-3</v>
      </c>
      <c r="Z8" s="50">
        <f t="shared" si="67"/>
        <v>-8.8016758329695896E-2</v>
      </c>
      <c r="AA8" s="51" t="e">
        <f t="shared" si="68"/>
        <v>#N/A</v>
      </c>
      <c r="AB8" s="50">
        <f t="shared" si="69"/>
        <v>7.2420936999854097E-3</v>
      </c>
      <c r="AC8" s="51">
        <f t="shared" si="70"/>
        <v>4.5923876036665402E-3</v>
      </c>
      <c r="AD8" s="50">
        <f t="shared" si="71"/>
        <v>-2.8857194820311499E-3</v>
      </c>
      <c r="AE8" s="51">
        <f t="shared" si="72"/>
        <v>3.8436301469518298E-3</v>
      </c>
      <c r="AF8" s="50">
        <f t="shared" si="73"/>
        <v>-1.9340317183180701E-4</v>
      </c>
      <c r="AG8" s="51">
        <f t="shared" si="74"/>
        <v>-3.8567146806339802E-4</v>
      </c>
      <c r="AH8" s="40">
        <f t="shared" si="75"/>
        <v>-5.3851803803092298E-2</v>
      </c>
      <c r="AI8" s="41">
        <f t="shared" si="76"/>
        <v>0.10750651857117501</v>
      </c>
      <c r="AJ8" s="40">
        <f t="shared" si="77"/>
        <v>-8.8457277412475905E-3</v>
      </c>
      <c r="AK8" s="41">
        <f t="shared" si="78"/>
        <v>-4.6947343166874001E-3</v>
      </c>
      <c r="AL8" s="40">
        <f t="shared" si="79"/>
        <v>3.5247112137906699E-3</v>
      </c>
      <c r="AM8" s="41">
        <f t="shared" si="80"/>
        <v>4.7518837746578502E-3</v>
      </c>
      <c r="AN8" s="40">
        <f t="shared" si="81"/>
        <v>-5.6092909187844299E-3</v>
      </c>
      <c r="AO8" s="41">
        <f t="shared" si="82"/>
        <v>2.3622889639241001E-4</v>
      </c>
      <c r="AP8" s="40" t="e">
        <f t="shared" si="83"/>
        <v>#N/A</v>
      </c>
      <c r="AQ8" s="41">
        <f t="shared" si="84"/>
        <v>4.7107161897996802E-4</v>
      </c>
    </row>
    <row r="9" spans="1:43" x14ac:dyDescent="0.25">
      <c r="A9">
        <v>12</v>
      </c>
      <c r="B9">
        <v>3</v>
      </c>
      <c r="C9" s="5">
        <v>5</v>
      </c>
      <c r="D9" t="s">
        <v>18</v>
      </c>
      <c r="M9" s="2" t="str">
        <f>'Data Import'!AD5</f>
        <v>0.50465</v>
      </c>
      <c r="N9" s="40" t="e">
        <f t="shared" si="55"/>
        <v>#VALUE!</v>
      </c>
      <c r="O9" s="41" t="e">
        <f t="shared" si="56"/>
        <v>#VALUE!</v>
      </c>
      <c r="P9" s="40" t="e">
        <f t="shared" si="57"/>
        <v>#VALUE!</v>
      </c>
      <c r="Q9" s="41" t="e">
        <f t="shared" si="58"/>
        <v>#VALUE!</v>
      </c>
      <c r="R9" s="40" t="e">
        <f t="shared" si="59"/>
        <v>#VALUE!</v>
      </c>
      <c r="S9" s="41" t="e">
        <f t="shared" si="60"/>
        <v>#VALUE!</v>
      </c>
      <c r="T9" s="40" t="e">
        <f t="shared" si="61"/>
        <v>#VALUE!</v>
      </c>
      <c r="U9" s="41" t="e">
        <f t="shared" si="62"/>
        <v>#VALUE!</v>
      </c>
      <c r="V9" s="40" t="e">
        <f t="shared" si="63"/>
        <v>#N/A</v>
      </c>
      <c r="W9" s="41" t="e">
        <f t="shared" si="64"/>
        <v>#VALUE!</v>
      </c>
      <c r="X9" s="50">
        <f t="shared" si="65"/>
        <v>4.4089058635239403E-2</v>
      </c>
      <c r="Y9" s="51">
        <f t="shared" si="66"/>
        <v>-3.8904190309908501E-3</v>
      </c>
      <c r="Z9" s="50">
        <f t="shared" si="67"/>
        <v>-8.8016758329695896E-2</v>
      </c>
      <c r="AA9" s="51" t="e">
        <f t="shared" si="68"/>
        <v>#N/A</v>
      </c>
      <c r="AB9" s="50">
        <f t="shared" si="69"/>
        <v>7.2420936999854097E-3</v>
      </c>
      <c r="AC9" s="51">
        <f t="shared" si="70"/>
        <v>4.5923876036665402E-3</v>
      </c>
      <c r="AD9" s="50">
        <f t="shared" si="71"/>
        <v>-2.8857194820311499E-3</v>
      </c>
      <c r="AE9" s="51">
        <f t="shared" si="72"/>
        <v>3.8436301469518298E-3</v>
      </c>
      <c r="AF9" s="50">
        <f t="shared" si="73"/>
        <v>-1.9340317183180701E-4</v>
      </c>
      <c r="AG9" s="51">
        <f t="shared" si="74"/>
        <v>-3.8567146806339802E-4</v>
      </c>
      <c r="AH9" s="40">
        <f t="shared" si="75"/>
        <v>-5.3851803803092298E-2</v>
      </c>
      <c r="AI9" s="41">
        <f t="shared" si="76"/>
        <v>0.10750651857117501</v>
      </c>
      <c r="AJ9" s="40">
        <f t="shared" si="77"/>
        <v>-8.8457277412475905E-3</v>
      </c>
      <c r="AK9" s="41">
        <f t="shared" si="78"/>
        <v>-4.6947343166874001E-3</v>
      </c>
      <c r="AL9" s="40">
        <f t="shared" si="79"/>
        <v>3.5247112137906699E-3</v>
      </c>
      <c r="AM9" s="41">
        <f t="shared" si="80"/>
        <v>4.7518837746578502E-3</v>
      </c>
      <c r="AN9" s="40">
        <f t="shared" si="81"/>
        <v>-5.6092909187844299E-3</v>
      </c>
      <c r="AO9" s="41">
        <f t="shared" si="82"/>
        <v>2.3622889639241001E-4</v>
      </c>
      <c r="AP9" s="40" t="e">
        <f t="shared" si="83"/>
        <v>#N/A</v>
      </c>
      <c r="AQ9" s="41">
        <f t="shared" si="84"/>
        <v>4.7107161897996802E-4</v>
      </c>
    </row>
    <row r="10" spans="1:43" x14ac:dyDescent="0.25">
      <c r="A10">
        <v>12</v>
      </c>
      <c r="B10">
        <v>4</v>
      </c>
      <c r="C10" s="5">
        <v>9</v>
      </c>
      <c r="D10" t="s">
        <v>19</v>
      </c>
      <c r="M10" s="2" t="str">
        <f>'Data Import'!AD6</f>
        <v>0.35217</v>
      </c>
      <c r="N10" s="40" t="e">
        <f t="shared" si="55"/>
        <v>#VALUE!</v>
      </c>
      <c r="O10" s="41" t="e">
        <f t="shared" si="56"/>
        <v>#VALUE!</v>
      </c>
      <c r="P10" s="40" t="e">
        <f t="shared" si="57"/>
        <v>#VALUE!</v>
      </c>
      <c r="Q10" s="41" t="e">
        <f t="shared" si="58"/>
        <v>#VALUE!</v>
      </c>
      <c r="R10" s="40" t="e">
        <f t="shared" si="59"/>
        <v>#VALUE!</v>
      </c>
      <c r="S10" s="41" t="e">
        <f t="shared" si="60"/>
        <v>#VALUE!</v>
      </c>
      <c r="T10" s="40" t="e">
        <f t="shared" si="61"/>
        <v>#VALUE!</v>
      </c>
      <c r="U10" s="41" t="e">
        <f t="shared" si="62"/>
        <v>#VALUE!</v>
      </c>
      <c r="V10" s="40" t="e">
        <f t="shared" si="63"/>
        <v>#N/A</v>
      </c>
      <c r="W10" s="41" t="e">
        <f t="shared" si="64"/>
        <v>#VALUE!</v>
      </c>
      <c r="X10" s="50">
        <f t="shared" si="65"/>
        <v>4.4089058635239403E-2</v>
      </c>
      <c r="Y10" s="51">
        <f t="shared" si="66"/>
        <v>-3.8904190309908501E-3</v>
      </c>
      <c r="Z10" s="50">
        <f t="shared" si="67"/>
        <v>-8.8016758329695896E-2</v>
      </c>
      <c r="AA10" s="51" t="e">
        <f t="shared" si="68"/>
        <v>#N/A</v>
      </c>
      <c r="AB10" s="50">
        <f t="shared" si="69"/>
        <v>7.2420936999854097E-3</v>
      </c>
      <c r="AC10" s="51">
        <f t="shared" si="70"/>
        <v>4.5923876036665402E-3</v>
      </c>
      <c r="AD10" s="50">
        <f t="shared" si="71"/>
        <v>-2.8857194820311499E-3</v>
      </c>
      <c r="AE10" s="51">
        <f t="shared" si="72"/>
        <v>3.8436301469518298E-3</v>
      </c>
      <c r="AF10" s="50">
        <f t="shared" si="73"/>
        <v>-1.9340317183180701E-4</v>
      </c>
      <c r="AG10" s="51">
        <f t="shared" si="74"/>
        <v>-3.8567146806339802E-4</v>
      </c>
      <c r="AH10" s="40">
        <f t="shared" si="75"/>
        <v>-5.3851803803092298E-2</v>
      </c>
      <c r="AI10" s="41">
        <f t="shared" si="76"/>
        <v>0.10750651857117501</v>
      </c>
      <c r="AJ10" s="40">
        <f t="shared" si="77"/>
        <v>-8.8457277412475905E-3</v>
      </c>
      <c r="AK10" s="41">
        <f t="shared" si="78"/>
        <v>-4.6947343166874001E-3</v>
      </c>
      <c r="AL10" s="40">
        <f t="shared" si="79"/>
        <v>3.5247112137906699E-3</v>
      </c>
      <c r="AM10" s="41">
        <f t="shared" si="80"/>
        <v>4.7518837746578502E-3</v>
      </c>
      <c r="AN10" s="40">
        <f t="shared" si="81"/>
        <v>-5.6092909187844299E-3</v>
      </c>
      <c r="AO10" s="41">
        <f t="shared" si="82"/>
        <v>2.3622889639241001E-4</v>
      </c>
      <c r="AP10" s="40" t="e">
        <f t="shared" si="83"/>
        <v>#N/A</v>
      </c>
      <c r="AQ10" s="41">
        <f t="shared" si="84"/>
        <v>4.7107161897996802E-4</v>
      </c>
    </row>
    <row r="11" spans="1:43" x14ac:dyDescent="0.25">
      <c r="A11">
        <v>12</v>
      </c>
      <c r="B11">
        <v>6</v>
      </c>
      <c r="C11" s="5">
        <v>10</v>
      </c>
      <c r="D11" t="s">
        <v>21</v>
      </c>
      <c r="M11" s="2" t="str">
        <f>'Data Import'!AD7</f>
        <v>0.36932</v>
      </c>
      <c r="N11" s="40" t="e">
        <f t="shared" si="55"/>
        <v>#VALUE!</v>
      </c>
      <c r="O11" s="41" t="e">
        <f t="shared" si="56"/>
        <v>#VALUE!</v>
      </c>
      <c r="P11" s="40" t="e">
        <f t="shared" si="57"/>
        <v>#VALUE!</v>
      </c>
      <c r="Q11" s="41" t="e">
        <f t="shared" si="58"/>
        <v>#VALUE!</v>
      </c>
      <c r="R11" s="40" t="e">
        <f t="shared" si="59"/>
        <v>#VALUE!</v>
      </c>
      <c r="S11" s="41" t="e">
        <f t="shared" si="60"/>
        <v>#VALUE!</v>
      </c>
      <c r="T11" s="40" t="e">
        <f t="shared" si="61"/>
        <v>#VALUE!</v>
      </c>
      <c r="U11" s="41" t="e">
        <f t="shared" si="62"/>
        <v>#VALUE!</v>
      </c>
      <c r="V11" s="40" t="e">
        <f t="shared" si="63"/>
        <v>#N/A</v>
      </c>
      <c r="W11" s="41" t="e">
        <f t="shared" si="64"/>
        <v>#VALUE!</v>
      </c>
      <c r="X11" s="50">
        <f t="shared" si="65"/>
        <v>4.4089058635239403E-2</v>
      </c>
      <c r="Y11" s="51">
        <f t="shared" si="66"/>
        <v>-3.8904190309908501E-3</v>
      </c>
      <c r="Z11" s="50">
        <f t="shared" si="67"/>
        <v>-8.8016758329695896E-2</v>
      </c>
      <c r="AA11" s="51" t="e">
        <f t="shared" si="68"/>
        <v>#N/A</v>
      </c>
      <c r="AB11" s="50">
        <f t="shared" si="69"/>
        <v>7.2420936999854097E-3</v>
      </c>
      <c r="AC11" s="51">
        <f t="shared" si="70"/>
        <v>4.5923876036665402E-3</v>
      </c>
      <c r="AD11" s="50">
        <f t="shared" si="71"/>
        <v>-2.8857194820311499E-3</v>
      </c>
      <c r="AE11" s="51">
        <f t="shared" si="72"/>
        <v>3.8436301469518298E-3</v>
      </c>
      <c r="AF11" s="50">
        <f t="shared" si="73"/>
        <v>-1.9340317183180701E-4</v>
      </c>
      <c r="AG11" s="51">
        <f t="shared" si="74"/>
        <v>-3.8567146806339802E-4</v>
      </c>
      <c r="AH11" s="40">
        <f t="shared" si="75"/>
        <v>-5.3851803803092298E-2</v>
      </c>
      <c r="AI11" s="41">
        <f t="shared" si="76"/>
        <v>0.10750651857117501</v>
      </c>
      <c r="AJ11" s="40">
        <f t="shared" si="77"/>
        <v>-8.8457277412475905E-3</v>
      </c>
      <c r="AK11" s="41">
        <f t="shared" si="78"/>
        <v>-4.6947343166874001E-3</v>
      </c>
      <c r="AL11" s="40">
        <f t="shared" si="79"/>
        <v>3.5247112137906699E-3</v>
      </c>
      <c r="AM11" s="41">
        <f t="shared" si="80"/>
        <v>4.7518837746578502E-3</v>
      </c>
      <c r="AN11" s="40">
        <f t="shared" si="81"/>
        <v>-5.6092909187844299E-3</v>
      </c>
      <c r="AO11" s="41">
        <f t="shared" si="82"/>
        <v>2.3622889639241001E-4</v>
      </c>
      <c r="AP11" s="40" t="e">
        <f t="shared" si="83"/>
        <v>#N/A</v>
      </c>
      <c r="AQ11" s="41">
        <f t="shared" si="84"/>
        <v>4.7107161897996802E-4</v>
      </c>
    </row>
    <row r="12" spans="1:43" x14ac:dyDescent="0.25">
      <c r="A12">
        <v>13</v>
      </c>
      <c r="B12">
        <v>1</v>
      </c>
      <c r="C12" s="5">
        <v>2</v>
      </c>
      <c r="D12" t="s">
        <v>23</v>
      </c>
      <c r="M12" s="2" t="str">
        <f>'Data Import'!AD8</f>
        <v>0.50539</v>
      </c>
      <c r="N12" s="40" t="e">
        <f t="shared" si="55"/>
        <v>#N/A</v>
      </c>
      <c r="O12" s="41" t="e">
        <f t="shared" si="56"/>
        <v>#N/A</v>
      </c>
      <c r="P12" s="40" t="e">
        <f t="shared" si="57"/>
        <v>#N/A</v>
      </c>
      <c r="Q12" s="41" t="e">
        <f t="shared" si="58"/>
        <v>#N/A</v>
      </c>
      <c r="R12" s="40" t="e">
        <f t="shared" si="59"/>
        <v>#N/A</v>
      </c>
      <c r="S12" s="41" t="e">
        <f t="shared" si="60"/>
        <v>#N/A</v>
      </c>
      <c r="T12" s="40" t="e">
        <f t="shared" si="61"/>
        <v>#N/A</v>
      </c>
      <c r="U12" s="41" t="e">
        <f t="shared" si="62"/>
        <v>#N/A</v>
      </c>
      <c r="V12" s="40" t="e">
        <f t="shared" si="63"/>
        <v>#N/A</v>
      </c>
      <c r="W12" s="41" t="e">
        <f t="shared" si="64"/>
        <v>#N/A</v>
      </c>
      <c r="X12" s="50" t="e">
        <f t="shared" si="65"/>
        <v>#N/A</v>
      </c>
      <c r="Y12" s="51" t="e">
        <f t="shared" si="66"/>
        <v>#N/A</v>
      </c>
      <c r="Z12" s="50" t="e">
        <f t="shared" si="67"/>
        <v>#N/A</v>
      </c>
      <c r="AA12" s="51" t="e">
        <f t="shared" si="68"/>
        <v>#N/A</v>
      </c>
      <c r="AB12" s="50" t="e">
        <f t="shared" si="69"/>
        <v>#N/A</v>
      </c>
      <c r="AC12" s="51" t="e">
        <f t="shared" si="70"/>
        <v>#N/A</v>
      </c>
      <c r="AD12" s="50" t="e">
        <f t="shared" si="71"/>
        <v>#N/A</v>
      </c>
      <c r="AE12" s="51" t="e">
        <f t="shared" si="72"/>
        <v>#N/A</v>
      </c>
      <c r="AF12" s="50" t="e">
        <f t="shared" si="73"/>
        <v>#N/A</v>
      </c>
      <c r="AG12" s="51" t="e">
        <f t="shared" si="74"/>
        <v>#N/A</v>
      </c>
      <c r="AH12" s="40" t="e">
        <f t="shared" si="75"/>
        <v>#N/A</v>
      </c>
      <c r="AI12" s="41" t="e">
        <f t="shared" si="76"/>
        <v>#N/A</v>
      </c>
      <c r="AJ12" s="40" t="e">
        <f t="shared" si="77"/>
        <v>#N/A</v>
      </c>
      <c r="AK12" s="41" t="e">
        <f t="shared" si="78"/>
        <v>#N/A</v>
      </c>
      <c r="AL12" s="40" t="e">
        <f t="shared" si="79"/>
        <v>#N/A</v>
      </c>
      <c r="AM12" s="41" t="e">
        <f t="shared" si="80"/>
        <v>#N/A</v>
      </c>
      <c r="AN12" s="40" t="e">
        <f t="shared" si="81"/>
        <v>#N/A</v>
      </c>
      <c r="AO12" s="41" t="e">
        <f t="shared" si="82"/>
        <v>#N/A</v>
      </c>
      <c r="AP12" s="40" t="e">
        <f t="shared" si="83"/>
        <v>#N/A</v>
      </c>
      <c r="AQ12" s="41" t="e">
        <f t="shared" si="84"/>
        <v>#N/A</v>
      </c>
    </row>
    <row r="13" spans="1:43" x14ac:dyDescent="0.25">
      <c r="A13">
        <v>13</v>
      </c>
      <c r="B13">
        <v>3</v>
      </c>
      <c r="C13" s="5">
        <v>9</v>
      </c>
      <c r="D13" t="s">
        <v>24</v>
      </c>
      <c r="M13" s="2" t="str">
        <f>'Data Import'!AD9</f>
        <v>0.52194</v>
      </c>
      <c r="N13" s="40" t="e">
        <f t="shared" si="55"/>
        <v>#VALUE!</v>
      </c>
      <c r="O13" s="41" t="e">
        <f t="shared" si="56"/>
        <v>#VALUE!</v>
      </c>
      <c r="P13" s="40" t="e">
        <f t="shared" si="57"/>
        <v>#VALUE!</v>
      </c>
      <c r="Q13" s="41" t="e">
        <f t="shared" si="58"/>
        <v>#VALUE!</v>
      </c>
      <c r="R13" s="40" t="e">
        <f t="shared" si="59"/>
        <v>#VALUE!</v>
      </c>
      <c r="S13" s="41" t="e">
        <f t="shared" si="60"/>
        <v>#VALUE!</v>
      </c>
      <c r="T13" s="40" t="e">
        <f t="shared" si="61"/>
        <v>#VALUE!</v>
      </c>
      <c r="U13" s="41" t="e">
        <f t="shared" si="62"/>
        <v>#VALUE!</v>
      </c>
      <c r="V13" s="40" t="e">
        <f t="shared" si="63"/>
        <v>#N/A</v>
      </c>
      <c r="W13" s="41" t="e">
        <f t="shared" si="64"/>
        <v>#VALUE!</v>
      </c>
      <c r="X13" s="50">
        <f t="shared" si="65"/>
        <v>4.4089058635239403E-2</v>
      </c>
      <c r="Y13" s="51">
        <f t="shared" si="66"/>
        <v>-3.8904190309908501E-3</v>
      </c>
      <c r="Z13" s="50">
        <f t="shared" si="67"/>
        <v>-8.8016758329695896E-2</v>
      </c>
      <c r="AA13" s="51" t="e">
        <f t="shared" si="68"/>
        <v>#N/A</v>
      </c>
      <c r="AB13" s="50">
        <f t="shared" si="69"/>
        <v>7.2420936999854097E-3</v>
      </c>
      <c r="AC13" s="51">
        <f t="shared" si="70"/>
        <v>4.5923876036665402E-3</v>
      </c>
      <c r="AD13" s="50">
        <f t="shared" si="71"/>
        <v>-2.8857194820311499E-3</v>
      </c>
      <c r="AE13" s="51">
        <f t="shared" si="72"/>
        <v>3.8436301469518298E-3</v>
      </c>
      <c r="AF13" s="50">
        <f t="shared" si="73"/>
        <v>-1.9340317183180701E-4</v>
      </c>
      <c r="AG13" s="51">
        <f t="shared" si="74"/>
        <v>-3.8567146806339802E-4</v>
      </c>
      <c r="AH13" s="40">
        <f t="shared" si="75"/>
        <v>-5.3851803803092298E-2</v>
      </c>
      <c r="AI13" s="41">
        <f t="shared" si="76"/>
        <v>0.10750651857117501</v>
      </c>
      <c r="AJ13" s="40">
        <f t="shared" si="77"/>
        <v>-8.8457277412475905E-3</v>
      </c>
      <c r="AK13" s="41">
        <f t="shared" si="78"/>
        <v>-4.6947343166874001E-3</v>
      </c>
      <c r="AL13" s="40">
        <f t="shared" si="79"/>
        <v>3.5247112137906699E-3</v>
      </c>
      <c r="AM13" s="41">
        <f t="shared" si="80"/>
        <v>4.7518837746578502E-3</v>
      </c>
      <c r="AN13" s="40">
        <f t="shared" si="81"/>
        <v>-5.6092909187844299E-3</v>
      </c>
      <c r="AO13" s="41">
        <f t="shared" si="82"/>
        <v>2.3622889639241001E-4</v>
      </c>
      <c r="AP13" s="40" t="e">
        <f t="shared" si="83"/>
        <v>#N/A</v>
      </c>
      <c r="AQ13" s="41">
        <f t="shared" si="84"/>
        <v>4.7107161897996802E-4</v>
      </c>
    </row>
    <row r="14" spans="1:43" x14ac:dyDescent="0.25">
      <c r="A14">
        <v>13</v>
      </c>
      <c r="B14">
        <v>4</v>
      </c>
      <c r="C14" s="5">
        <v>8</v>
      </c>
      <c r="D14" t="s">
        <v>26</v>
      </c>
      <c r="M14" s="2" t="str">
        <f>'Data Import'!AD10</f>
        <v>0.51526</v>
      </c>
      <c r="N14" s="40" t="e">
        <f t="shared" si="55"/>
        <v>#VALUE!</v>
      </c>
      <c r="O14" s="41" t="e">
        <f t="shared" si="56"/>
        <v>#VALUE!</v>
      </c>
      <c r="P14" s="40" t="e">
        <f t="shared" si="57"/>
        <v>#VALUE!</v>
      </c>
      <c r="Q14" s="41" t="e">
        <f t="shared" si="58"/>
        <v>#VALUE!</v>
      </c>
      <c r="R14" s="40" t="e">
        <f t="shared" si="59"/>
        <v>#VALUE!</v>
      </c>
      <c r="S14" s="41" t="e">
        <f t="shared" si="60"/>
        <v>#VALUE!</v>
      </c>
      <c r="T14" s="40" t="e">
        <f t="shared" si="61"/>
        <v>#VALUE!</v>
      </c>
      <c r="U14" s="41" t="e">
        <f t="shared" si="62"/>
        <v>#VALUE!</v>
      </c>
      <c r="V14" s="40" t="e">
        <f t="shared" si="63"/>
        <v>#N/A</v>
      </c>
      <c r="W14" s="41" t="e">
        <f t="shared" si="64"/>
        <v>#VALUE!</v>
      </c>
      <c r="X14" s="50">
        <f t="shared" si="65"/>
        <v>4.4089058635239403E-2</v>
      </c>
      <c r="Y14" s="51">
        <f t="shared" si="66"/>
        <v>-3.8904190309908501E-3</v>
      </c>
      <c r="Z14" s="50">
        <f t="shared" si="67"/>
        <v>-8.8016758329695896E-2</v>
      </c>
      <c r="AA14" s="51" t="e">
        <f t="shared" si="68"/>
        <v>#N/A</v>
      </c>
      <c r="AB14" s="50">
        <f t="shared" si="69"/>
        <v>7.2420936999854097E-3</v>
      </c>
      <c r="AC14" s="51">
        <f t="shared" si="70"/>
        <v>4.5923876036665402E-3</v>
      </c>
      <c r="AD14" s="50">
        <f t="shared" si="71"/>
        <v>-2.8857194820311499E-3</v>
      </c>
      <c r="AE14" s="51">
        <f t="shared" si="72"/>
        <v>3.8436301469518298E-3</v>
      </c>
      <c r="AF14" s="50">
        <f t="shared" si="73"/>
        <v>-1.9340317183180701E-4</v>
      </c>
      <c r="AG14" s="51">
        <f t="shared" si="74"/>
        <v>-3.8567146806339802E-4</v>
      </c>
      <c r="AH14" s="40">
        <f t="shared" si="75"/>
        <v>-5.3851803803092298E-2</v>
      </c>
      <c r="AI14" s="41">
        <f t="shared" si="76"/>
        <v>0.10750651857117501</v>
      </c>
      <c r="AJ14" s="40">
        <f t="shared" si="77"/>
        <v>-8.8457277412475905E-3</v>
      </c>
      <c r="AK14" s="41">
        <f t="shared" si="78"/>
        <v>-4.6947343166874001E-3</v>
      </c>
      <c r="AL14" s="40">
        <f t="shared" si="79"/>
        <v>3.5247112137906699E-3</v>
      </c>
      <c r="AM14" s="41">
        <f t="shared" si="80"/>
        <v>4.7518837746578502E-3</v>
      </c>
      <c r="AN14" s="40">
        <f t="shared" si="81"/>
        <v>-5.6092909187844299E-3</v>
      </c>
      <c r="AO14" s="41">
        <f t="shared" si="82"/>
        <v>2.3622889639241001E-4</v>
      </c>
      <c r="AP14" s="40" t="e">
        <f t="shared" si="83"/>
        <v>#N/A</v>
      </c>
      <c r="AQ14" s="41">
        <f t="shared" si="84"/>
        <v>4.7107161897996802E-4</v>
      </c>
    </row>
    <row r="15" spans="1:43" ht="15.75" thickBot="1" x14ac:dyDescent="0.3">
      <c r="A15">
        <v>13</v>
      </c>
      <c r="B15">
        <v>5</v>
      </c>
      <c r="C15" s="5">
        <v>6</v>
      </c>
      <c r="D15" t="s">
        <v>29</v>
      </c>
      <c r="M15" s="2" t="str">
        <f>'Data Import'!AD11</f>
        <v>0.29534</v>
      </c>
      <c r="N15" s="42" t="e">
        <f t="shared" si="55"/>
        <v>#VALUE!</v>
      </c>
      <c r="O15" s="43" t="e">
        <f t="shared" si="56"/>
        <v>#VALUE!</v>
      </c>
      <c r="P15" s="42" t="e">
        <f t="shared" si="57"/>
        <v>#VALUE!</v>
      </c>
      <c r="Q15" s="43" t="e">
        <f t="shared" si="58"/>
        <v>#VALUE!</v>
      </c>
      <c r="R15" s="42" t="e">
        <f t="shared" si="59"/>
        <v>#VALUE!</v>
      </c>
      <c r="S15" s="43" t="e">
        <f t="shared" si="60"/>
        <v>#VALUE!</v>
      </c>
      <c r="T15" s="42" t="e">
        <f t="shared" si="61"/>
        <v>#VALUE!</v>
      </c>
      <c r="U15" s="43" t="e">
        <f t="shared" si="62"/>
        <v>#VALUE!</v>
      </c>
      <c r="V15" s="42" t="e">
        <f t="shared" si="63"/>
        <v>#N/A</v>
      </c>
      <c r="W15" s="43" t="e">
        <f t="shared" si="64"/>
        <v>#VALUE!</v>
      </c>
      <c r="X15" s="52">
        <f t="shared" si="65"/>
        <v>4.4089058635239403E-2</v>
      </c>
      <c r="Y15" s="53">
        <f t="shared" si="66"/>
        <v>-3.8904190309908501E-3</v>
      </c>
      <c r="Z15" s="52">
        <f t="shared" si="67"/>
        <v>-8.8016758329695896E-2</v>
      </c>
      <c r="AA15" s="53" t="e">
        <f t="shared" si="68"/>
        <v>#N/A</v>
      </c>
      <c r="AB15" s="52">
        <f t="shared" si="69"/>
        <v>7.2420936999854097E-3</v>
      </c>
      <c r="AC15" s="53">
        <f t="shared" si="70"/>
        <v>4.5923876036665402E-3</v>
      </c>
      <c r="AD15" s="52">
        <f t="shared" si="71"/>
        <v>-2.8857194820311499E-3</v>
      </c>
      <c r="AE15" s="53">
        <f t="shared" si="72"/>
        <v>3.8436301469518298E-3</v>
      </c>
      <c r="AF15" s="52">
        <f t="shared" si="73"/>
        <v>-1.9340317183180701E-4</v>
      </c>
      <c r="AG15" s="53">
        <f t="shared" si="74"/>
        <v>-3.8567146806339802E-4</v>
      </c>
      <c r="AH15" s="42">
        <f t="shared" si="75"/>
        <v>-5.3851803803092298E-2</v>
      </c>
      <c r="AI15" s="43">
        <f t="shared" si="76"/>
        <v>0.10750651857117501</v>
      </c>
      <c r="AJ15" s="42">
        <f t="shared" si="77"/>
        <v>-8.8457277412475905E-3</v>
      </c>
      <c r="AK15" s="43">
        <f t="shared" si="78"/>
        <v>-4.6947343166874001E-3</v>
      </c>
      <c r="AL15" s="42">
        <f t="shared" si="79"/>
        <v>3.5247112137906699E-3</v>
      </c>
      <c r="AM15" s="43">
        <f t="shared" si="80"/>
        <v>4.7518837746578502E-3</v>
      </c>
      <c r="AN15" s="42">
        <f t="shared" si="81"/>
        <v>-5.6092909187844299E-3</v>
      </c>
      <c r="AO15" s="43">
        <f t="shared" si="82"/>
        <v>2.3622889639241001E-4</v>
      </c>
      <c r="AP15" s="42" t="e">
        <f t="shared" si="83"/>
        <v>#N/A</v>
      </c>
      <c r="AQ15" s="43">
        <f t="shared" si="84"/>
        <v>4.7107161897996802E-4</v>
      </c>
    </row>
    <row r="16" spans="1:43" x14ac:dyDescent="0.25">
      <c r="A16">
        <v>13</v>
      </c>
      <c r="B16">
        <v>7</v>
      </c>
      <c r="C16" s="5">
        <v>10</v>
      </c>
      <c r="M16" s="2"/>
    </row>
    <row r="17" spans="15:59" x14ac:dyDescent="0.25">
      <c r="O17" s="21"/>
      <c r="P17" s="21"/>
      <c r="Q17" s="21"/>
      <c r="R17" s="21"/>
      <c r="S17" s="21"/>
      <c r="T17" s="21"/>
      <c r="X17" s="2">
        <f>ABS(X6)+ABS(Y6)</f>
        <v>4.7979477666230251E-2</v>
      </c>
      <c r="Z17" s="2" t="e">
        <f t="shared" ref="Z17" si="85">ABS(Z6)+ABS(AA6)</f>
        <v>#N/A</v>
      </c>
      <c r="AB17" s="2">
        <f t="shared" ref="AB17" si="86">ABS(AB6)+ABS(AC6)</f>
        <v>1.183448130365195E-2</v>
      </c>
      <c r="AD17" s="2">
        <f t="shared" ref="AD17" si="87">ABS(AD6)+ABS(AE6)</f>
        <v>6.7293496289829793E-3</v>
      </c>
      <c r="AF17" s="2">
        <f t="shared" ref="AF17" si="88">ABS(AF6)+ABS(AG6)</f>
        <v>5.7907463989520503E-4</v>
      </c>
      <c r="AH17" s="2">
        <f t="shared" ref="AH17" si="89">ABS(AH6)+ABS(AI6)</f>
        <v>0.16135832237426731</v>
      </c>
      <c r="AJ17" s="2">
        <f t="shared" ref="AJ17" si="90">ABS(AJ6)+ABS(AK6)</f>
        <v>1.354046205793499E-2</v>
      </c>
      <c r="AL17" s="2">
        <f t="shared" ref="AL17" si="91">ABS(AL6)+ABS(AM6)</f>
        <v>8.2765949884485192E-3</v>
      </c>
      <c r="AN17" s="2">
        <f t="shared" ref="AN17" si="92">ABS(AN6)+ABS(AO6)</f>
        <v>5.8455198151768396E-3</v>
      </c>
      <c r="AP17" s="2" t="e">
        <f t="shared" ref="AP17" si="93">ABS(AP6)+ABS(AQ6)</f>
        <v>#N/A</v>
      </c>
    </row>
    <row r="18" spans="15:59" x14ac:dyDescent="0.25">
      <c r="O18" s="21"/>
      <c r="P18" s="21"/>
      <c r="Q18" s="21"/>
      <c r="R18" s="21"/>
      <c r="S18" s="21"/>
      <c r="T18" s="21"/>
      <c r="X18" s="2">
        <f t="shared" ref="X18:X26" si="94">ABS(X7)+ABS(Y7)</f>
        <v>4.7979477666230251E-2</v>
      </c>
      <c r="Z18" s="2" t="e">
        <f t="shared" ref="Z18" si="95">ABS(Z7)+ABS(AA7)</f>
        <v>#N/A</v>
      </c>
      <c r="AB18" s="2">
        <f t="shared" ref="AB18" si="96">ABS(AB7)+ABS(AC7)</f>
        <v>1.183448130365195E-2</v>
      </c>
      <c r="AD18" s="2">
        <f t="shared" ref="AD18" si="97">ABS(AD7)+ABS(AE7)</f>
        <v>6.7293496289829793E-3</v>
      </c>
      <c r="AF18" s="2">
        <f t="shared" ref="AF18" si="98">ABS(AF7)+ABS(AG7)</f>
        <v>5.7907463989520503E-4</v>
      </c>
      <c r="AH18" s="2">
        <f t="shared" ref="AH18" si="99">ABS(AH7)+ABS(AI7)</f>
        <v>0.16135832237426731</v>
      </c>
      <c r="AJ18" s="2">
        <f t="shared" ref="AJ18" si="100">ABS(AJ7)+ABS(AK7)</f>
        <v>1.354046205793499E-2</v>
      </c>
      <c r="AL18" s="2">
        <f t="shared" ref="AL18" si="101">ABS(AL7)+ABS(AM7)</f>
        <v>8.2765949884485192E-3</v>
      </c>
      <c r="AN18" s="2">
        <f t="shared" ref="AN18" si="102">ABS(AN7)+ABS(AO7)</f>
        <v>5.8455198151768396E-3</v>
      </c>
      <c r="AP18" s="2" t="e">
        <f t="shared" ref="AP18" si="103">ABS(AP7)+ABS(AQ7)</f>
        <v>#N/A</v>
      </c>
    </row>
    <row r="19" spans="15:59" x14ac:dyDescent="0.25">
      <c r="O19" s="21"/>
      <c r="P19" s="21"/>
      <c r="Q19" s="21"/>
      <c r="R19" s="21"/>
      <c r="S19" s="21"/>
      <c r="T19" s="21"/>
      <c r="X19" s="2">
        <f t="shared" si="94"/>
        <v>4.7979477666230251E-2</v>
      </c>
      <c r="Z19" s="2" t="e">
        <f t="shared" ref="Z19" si="104">ABS(Z8)+ABS(AA8)</f>
        <v>#N/A</v>
      </c>
      <c r="AB19" s="2">
        <f t="shared" ref="AB19" si="105">ABS(AB8)+ABS(AC8)</f>
        <v>1.183448130365195E-2</v>
      </c>
      <c r="AD19" s="2">
        <f t="shared" ref="AD19" si="106">ABS(AD8)+ABS(AE8)</f>
        <v>6.7293496289829793E-3</v>
      </c>
      <c r="AF19" s="2">
        <f t="shared" ref="AF19" si="107">ABS(AF8)+ABS(AG8)</f>
        <v>5.7907463989520503E-4</v>
      </c>
      <c r="AH19" s="2">
        <f t="shared" ref="AH19" si="108">ABS(AH8)+ABS(AI8)</f>
        <v>0.16135832237426731</v>
      </c>
      <c r="AJ19" s="2">
        <f t="shared" ref="AJ19" si="109">ABS(AJ8)+ABS(AK8)</f>
        <v>1.354046205793499E-2</v>
      </c>
      <c r="AL19" s="2">
        <f t="shared" ref="AL19" si="110">ABS(AL8)+ABS(AM8)</f>
        <v>8.2765949884485192E-3</v>
      </c>
      <c r="AN19" s="2">
        <f t="shared" ref="AN19" si="111">ABS(AN8)+ABS(AO8)</f>
        <v>5.8455198151768396E-3</v>
      </c>
      <c r="AP19" s="2" t="e">
        <f t="shared" ref="AP19" si="112">ABS(AP8)+ABS(AQ8)</f>
        <v>#N/A</v>
      </c>
    </row>
    <row r="20" spans="15:59" x14ac:dyDescent="0.25">
      <c r="O20" s="21"/>
      <c r="P20" s="21"/>
      <c r="Q20" s="21"/>
      <c r="R20" s="21"/>
      <c r="S20" s="21"/>
      <c r="T20" s="21"/>
      <c r="X20" s="2">
        <f t="shared" si="94"/>
        <v>4.7979477666230251E-2</v>
      </c>
      <c r="Z20" s="2" t="e">
        <f t="shared" ref="Z20" si="113">ABS(Z9)+ABS(AA9)</f>
        <v>#N/A</v>
      </c>
      <c r="AB20" s="2">
        <f t="shared" ref="AB20" si="114">ABS(AB9)+ABS(AC9)</f>
        <v>1.183448130365195E-2</v>
      </c>
      <c r="AD20" s="2">
        <f t="shared" ref="AD20" si="115">ABS(AD9)+ABS(AE9)</f>
        <v>6.7293496289829793E-3</v>
      </c>
      <c r="AF20" s="2">
        <f t="shared" ref="AF20" si="116">ABS(AF9)+ABS(AG9)</f>
        <v>5.7907463989520503E-4</v>
      </c>
      <c r="AH20" s="2">
        <f t="shared" ref="AH20" si="117">ABS(AH9)+ABS(AI9)</f>
        <v>0.16135832237426731</v>
      </c>
      <c r="AJ20" s="2">
        <f t="shared" ref="AJ20" si="118">ABS(AJ9)+ABS(AK9)</f>
        <v>1.354046205793499E-2</v>
      </c>
      <c r="AL20" s="2">
        <f t="shared" ref="AL20" si="119">ABS(AL9)+ABS(AM9)</f>
        <v>8.2765949884485192E-3</v>
      </c>
      <c r="AN20" s="2">
        <f t="shared" ref="AN20" si="120">ABS(AN9)+ABS(AO9)</f>
        <v>5.8455198151768396E-3</v>
      </c>
      <c r="AP20" s="2" t="e">
        <f t="shared" ref="AP20" si="121">ABS(AP9)+ABS(AQ9)</f>
        <v>#N/A</v>
      </c>
    </row>
    <row r="21" spans="15:59" x14ac:dyDescent="0.25">
      <c r="O21" s="21"/>
      <c r="P21" s="21"/>
      <c r="Q21" s="21"/>
      <c r="R21" s="21"/>
      <c r="S21" s="21"/>
      <c r="T21" s="21"/>
      <c r="X21" s="2">
        <f t="shared" si="94"/>
        <v>4.7979477666230251E-2</v>
      </c>
      <c r="Z21" s="2" t="e">
        <f t="shared" ref="Z21" si="122">ABS(Z10)+ABS(AA10)</f>
        <v>#N/A</v>
      </c>
      <c r="AB21" s="2">
        <f t="shared" ref="AB21" si="123">ABS(AB10)+ABS(AC10)</f>
        <v>1.183448130365195E-2</v>
      </c>
      <c r="AD21" s="2">
        <f t="shared" ref="AD21" si="124">ABS(AD10)+ABS(AE10)</f>
        <v>6.7293496289829793E-3</v>
      </c>
      <c r="AF21" s="2">
        <f t="shared" ref="AF21" si="125">ABS(AF10)+ABS(AG10)</f>
        <v>5.7907463989520503E-4</v>
      </c>
      <c r="AH21" s="2">
        <f t="shared" ref="AH21" si="126">ABS(AH10)+ABS(AI10)</f>
        <v>0.16135832237426731</v>
      </c>
      <c r="AJ21" s="2">
        <f t="shared" ref="AJ21" si="127">ABS(AJ10)+ABS(AK10)</f>
        <v>1.354046205793499E-2</v>
      </c>
      <c r="AL21" s="2">
        <f t="shared" ref="AL21" si="128">ABS(AL10)+ABS(AM10)</f>
        <v>8.2765949884485192E-3</v>
      </c>
      <c r="AN21" s="2">
        <f t="shared" ref="AN21" si="129">ABS(AN10)+ABS(AO10)</f>
        <v>5.8455198151768396E-3</v>
      </c>
      <c r="AP21" s="2" t="e">
        <f t="shared" ref="AP21" si="130">ABS(AP10)+ABS(AQ10)</f>
        <v>#N/A</v>
      </c>
    </row>
    <row r="22" spans="15:59" x14ac:dyDescent="0.25">
      <c r="O22" s="21"/>
      <c r="P22" s="21"/>
      <c r="Q22" s="21"/>
      <c r="R22" s="21"/>
      <c r="S22" s="21"/>
      <c r="T22" s="21"/>
      <c r="X22" s="2">
        <f t="shared" si="94"/>
        <v>4.7979477666230251E-2</v>
      </c>
      <c r="Z22" s="2" t="e">
        <f t="shared" ref="Z22" si="131">ABS(Z11)+ABS(AA11)</f>
        <v>#N/A</v>
      </c>
      <c r="AB22" s="2">
        <f t="shared" ref="AB22" si="132">ABS(AB11)+ABS(AC11)</f>
        <v>1.183448130365195E-2</v>
      </c>
      <c r="AD22" s="2">
        <f t="shared" ref="AD22" si="133">ABS(AD11)+ABS(AE11)</f>
        <v>6.7293496289829793E-3</v>
      </c>
      <c r="AF22" s="2">
        <f t="shared" ref="AF22" si="134">ABS(AF11)+ABS(AG11)</f>
        <v>5.7907463989520503E-4</v>
      </c>
      <c r="AH22" s="2">
        <f t="shared" ref="AH22" si="135">ABS(AH11)+ABS(AI11)</f>
        <v>0.16135832237426731</v>
      </c>
      <c r="AJ22" s="2">
        <f t="shared" ref="AJ22" si="136">ABS(AJ11)+ABS(AK11)</f>
        <v>1.354046205793499E-2</v>
      </c>
      <c r="AL22" s="2">
        <f t="shared" ref="AL22" si="137">ABS(AL11)+ABS(AM11)</f>
        <v>8.2765949884485192E-3</v>
      </c>
      <c r="AN22" s="2">
        <f t="shared" ref="AN22" si="138">ABS(AN11)+ABS(AO11)</f>
        <v>5.8455198151768396E-3</v>
      </c>
      <c r="AP22" s="2" t="e">
        <f t="shared" ref="AP22" si="139">ABS(AP11)+ABS(AQ11)</f>
        <v>#N/A</v>
      </c>
    </row>
    <row r="23" spans="15:59" x14ac:dyDescent="0.25">
      <c r="O23" s="21"/>
      <c r="P23" s="21"/>
      <c r="Q23" s="21"/>
      <c r="R23" s="21"/>
      <c r="S23" s="21"/>
      <c r="T23" s="21"/>
      <c r="X23" s="2" t="e">
        <f t="shared" si="94"/>
        <v>#N/A</v>
      </c>
      <c r="Z23" s="2" t="e">
        <f t="shared" ref="Z23" si="140">ABS(Z12)+ABS(AA12)</f>
        <v>#N/A</v>
      </c>
      <c r="AB23" s="2" t="e">
        <f t="shared" ref="AB23" si="141">ABS(AB12)+ABS(AC12)</f>
        <v>#N/A</v>
      </c>
      <c r="AD23" s="2" t="e">
        <f t="shared" ref="AD23" si="142">ABS(AD12)+ABS(AE12)</f>
        <v>#N/A</v>
      </c>
      <c r="AF23" s="2" t="e">
        <f t="shared" ref="AF23" si="143">ABS(AF12)+ABS(AG12)</f>
        <v>#N/A</v>
      </c>
      <c r="AH23" s="2" t="e">
        <f t="shared" ref="AH23" si="144">ABS(AH12)+ABS(AI12)</f>
        <v>#N/A</v>
      </c>
      <c r="AJ23" s="2" t="e">
        <f t="shared" ref="AJ23" si="145">ABS(AJ12)+ABS(AK12)</f>
        <v>#N/A</v>
      </c>
      <c r="AL23" s="2" t="e">
        <f t="shared" ref="AL23" si="146">ABS(AL12)+ABS(AM12)</f>
        <v>#N/A</v>
      </c>
      <c r="AN23" s="2" t="e">
        <f t="shared" ref="AN23" si="147">ABS(AN12)+ABS(AO12)</f>
        <v>#N/A</v>
      </c>
      <c r="AP23" s="2" t="e">
        <f t="shared" ref="AP23" si="148">ABS(AP12)+ABS(AQ12)</f>
        <v>#N/A</v>
      </c>
      <c r="AX23">
        <v>1</v>
      </c>
      <c r="AY23">
        <f>AX23+1</f>
        <v>2</v>
      </c>
      <c r="AZ23">
        <f t="shared" ref="AZ23:BG23" si="149">AY23+1</f>
        <v>3</v>
      </c>
      <c r="BA23">
        <f t="shared" si="149"/>
        <v>4</v>
      </c>
      <c r="BB23">
        <f t="shared" si="149"/>
        <v>5</v>
      </c>
      <c r="BC23">
        <f t="shared" si="149"/>
        <v>6</v>
      </c>
      <c r="BD23">
        <f t="shared" si="149"/>
        <v>7</v>
      </c>
      <c r="BE23">
        <f t="shared" si="149"/>
        <v>8</v>
      </c>
      <c r="BF23">
        <f t="shared" si="149"/>
        <v>9</v>
      </c>
      <c r="BG23">
        <f t="shared" si="149"/>
        <v>10</v>
      </c>
    </row>
    <row r="24" spans="15:59" x14ac:dyDescent="0.25">
      <c r="O24" s="21"/>
      <c r="P24" s="21"/>
      <c r="Q24" s="21"/>
      <c r="R24" s="21"/>
      <c r="S24" s="21"/>
      <c r="T24" s="21"/>
      <c r="X24" s="2">
        <f t="shared" si="94"/>
        <v>4.7979477666230251E-2</v>
      </c>
      <c r="Z24" s="2" t="e">
        <f t="shared" ref="Z24" si="150">ABS(Z13)+ABS(AA13)</f>
        <v>#N/A</v>
      </c>
      <c r="AB24" s="2">
        <f t="shared" ref="AB24" si="151">ABS(AB13)+ABS(AC13)</f>
        <v>1.183448130365195E-2</v>
      </c>
      <c r="AD24" s="2">
        <f t="shared" ref="AD24" si="152">ABS(AD13)+ABS(AE13)</f>
        <v>6.7293496289829793E-3</v>
      </c>
      <c r="AF24" s="2">
        <f t="shared" ref="AF24" si="153">ABS(AF13)+ABS(AG13)</f>
        <v>5.7907463989520503E-4</v>
      </c>
      <c r="AH24" s="2">
        <f t="shared" ref="AH24" si="154">ABS(AH13)+ABS(AI13)</f>
        <v>0.16135832237426731</v>
      </c>
      <c r="AJ24" s="2">
        <f t="shared" ref="AJ24" si="155">ABS(AJ13)+ABS(AK13)</f>
        <v>1.354046205793499E-2</v>
      </c>
      <c r="AL24" s="2">
        <f t="shared" ref="AL24" si="156">ABS(AL13)+ABS(AM13)</f>
        <v>8.2765949884485192E-3</v>
      </c>
      <c r="AN24" s="2">
        <f t="shared" ref="AN24" si="157">ABS(AN13)+ABS(AO13)</f>
        <v>5.8455198151768396E-3</v>
      </c>
      <c r="AP24" s="2" t="e">
        <f t="shared" ref="AP24" si="158">ABS(AP13)+ABS(AQ13)</f>
        <v>#N/A</v>
      </c>
    </row>
    <row r="25" spans="15:59" x14ac:dyDescent="0.25">
      <c r="O25" s="21"/>
      <c r="P25" s="21"/>
      <c r="Q25" s="21"/>
      <c r="R25" s="21"/>
      <c r="S25" s="21"/>
      <c r="T25" s="21"/>
      <c r="X25" s="2">
        <f t="shared" si="94"/>
        <v>4.7979477666230251E-2</v>
      </c>
      <c r="Z25" s="2" t="e">
        <f t="shared" ref="Z25" si="159">ABS(Z14)+ABS(AA14)</f>
        <v>#N/A</v>
      </c>
      <c r="AB25" s="2">
        <f t="shared" ref="AB25" si="160">ABS(AB14)+ABS(AC14)</f>
        <v>1.183448130365195E-2</v>
      </c>
      <c r="AD25" s="2">
        <f t="shared" ref="AD25" si="161">ABS(AD14)+ABS(AE14)</f>
        <v>6.7293496289829793E-3</v>
      </c>
      <c r="AF25" s="2">
        <f t="shared" ref="AF25" si="162">ABS(AF14)+ABS(AG14)</f>
        <v>5.7907463989520503E-4</v>
      </c>
      <c r="AH25" s="2">
        <f t="shared" ref="AH25" si="163">ABS(AH14)+ABS(AI14)</f>
        <v>0.16135832237426731</v>
      </c>
      <c r="AJ25" s="2">
        <f t="shared" ref="AJ25" si="164">ABS(AJ14)+ABS(AK14)</f>
        <v>1.354046205793499E-2</v>
      </c>
      <c r="AL25" s="2">
        <f t="shared" ref="AL25" si="165">ABS(AL14)+ABS(AM14)</f>
        <v>8.2765949884485192E-3</v>
      </c>
      <c r="AN25" s="2">
        <f t="shared" ref="AN25" si="166">ABS(AN14)+ABS(AO14)</f>
        <v>5.8455198151768396E-3</v>
      </c>
      <c r="AP25" s="2" t="e">
        <f t="shared" ref="AP25" si="167">ABS(AP14)+ABS(AQ14)</f>
        <v>#N/A</v>
      </c>
    </row>
    <row r="26" spans="15:59" ht="45" customHeight="1" x14ac:dyDescent="0.25">
      <c r="O26" s="21"/>
      <c r="P26" s="21"/>
      <c r="Q26" s="21"/>
      <c r="R26" s="21"/>
      <c r="S26" s="21"/>
      <c r="T26" s="21"/>
      <c r="X26" s="2">
        <f t="shared" si="94"/>
        <v>4.7979477666230251E-2</v>
      </c>
      <c r="Z26" s="2" t="e">
        <f t="shared" ref="Z26" si="168">ABS(Z15)+ABS(AA15)</f>
        <v>#N/A</v>
      </c>
      <c r="AB26" s="2">
        <f t="shared" ref="AB26" si="169">ABS(AB15)+ABS(AC15)</f>
        <v>1.183448130365195E-2</v>
      </c>
      <c r="AD26" s="2">
        <f t="shared" ref="AD26" si="170">ABS(AD15)+ABS(AE15)</f>
        <v>6.7293496289829793E-3</v>
      </c>
      <c r="AF26" s="2">
        <f t="shared" ref="AF26" si="171">ABS(AF15)+ABS(AG15)</f>
        <v>5.7907463989520503E-4</v>
      </c>
      <c r="AH26" s="2">
        <f t="shared" ref="AH26" si="172">ABS(AH15)+ABS(AI15)</f>
        <v>0.16135832237426731</v>
      </c>
      <c r="AJ26" s="2">
        <f t="shared" ref="AJ26" si="173">ABS(AJ15)+ABS(AK15)</f>
        <v>1.354046205793499E-2</v>
      </c>
      <c r="AL26" s="2">
        <f t="shared" ref="AL26" si="174">ABS(AL15)+ABS(AM15)</f>
        <v>8.2765949884485192E-3</v>
      </c>
      <c r="AN26" s="2">
        <f t="shared" ref="AN26" si="175">ABS(AN15)+ABS(AO15)</f>
        <v>5.8455198151768396E-3</v>
      </c>
      <c r="AP26" s="2" t="e">
        <f>ABS(AP15)+ABS(AQ15)</f>
        <v>#N/A</v>
      </c>
      <c r="AW26" s="102" t="s">
        <v>193</v>
      </c>
      <c r="AX26" s="102"/>
      <c r="AY26" s="102"/>
      <c r="AZ26" s="102"/>
      <c r="BA26" s="102"/>
      <c r="BB26" s="102"/>
      <c r="BC26" s="102"/>
      <c r="BD26" s="102"/>
      <c r="BE26" s="102"/>
      <c r="BF26" s="102"/>
      <c r="BG26" s="102"/>
    </row>
    <row r="27" spans="15:59" x14ac:dyDescent="0.25">
      <c r="O27" s="21"/>
      <c r="P27" s="21"/>
      <c r="Q27" s="21"/>
      <c r="R27" s="21"/>
      <c r="S27" s="21"/>
      <c r="T27" s="21"/>
      <c r="X27" s="2"/>
      <c r="Z27" s="2"/>
      <c r="AB27" s="2"/>
      <c r="AD27" s="2"/>
      <c r="AF27" s="2"/>
      <c r="AH27" s="2"/>
      <c r="AJ27" s="2"/>
      <c r="AL27" s="2"/>
      <c r="AN27" s="2"/>
      <c r="AP27" s="2"/>
      <c r="AW27" s="34"/>
      <c r="AX27" s="34" t="s">
        <v>11</v>
      </c>
      <c r="AY27" s="34" t="s">
        <v>15</v>
      </c>
      <c r="AZ27" s="34" t="s">
        <v>17</v>
      </c>
      <c r="BA27" s="34" t="s">
        <v>18</v>
      </c>
      <c r="BB27" s="34" t="s">
        <v>19</v>
      </c>
      <c r="BC27" s="34" t="s">
        <v>21</v>
      </c>
      <c r="BD27" s="34" t="s">
        <v>23</v>
      </c>
      <c r="BE27" s="34" t="s">
        <v>24</v>
      </c>
      <c r="BF27" s="34" t="s">
        <v>26</v>
      </c>
      <c r="BG27" s="34" t="s">
        <v>29</v>
      </c>
    </row>
    <row r="28" spans="15:59" ht="45" x14ac:dyDescent="0.25">
      <c r="O28" s="21"/>
      <c r="P28" s="21"/>
      <c r="Q28" s="21"/>
      <c r="R28" s="21"/>
      <c r="S28" s="21"/>
      <c r="T28" s="21"/>
      <c r="X28" s="31" t="e">
        <f>IF(X17&gt;0,_xlfn.RANK.EQ(X17,$X17:$AP17),"")</f>
        <v>#N/A</v>
      </c>
      <c r="Y28" t="str">
        <f>"Week "&amp;X$2&amp;" - "&amp;IF(X6&gt;Y6,X$5&amp;" over "&amp;Y$5,Y$5&amp;" over "&amp;X$5)&amp;"  ("&amp;TEXT(X17,"0.0%")&amp;")"</f>
        <v>Week 12 - scott over perry  (4.8%)</v>
      </c>
      <c r="Z28" s="31" t="e">
        <f t="shared" ref="Z28" si="176">IF(Z17&gt;0,_xlfn.RANK.EQ(Z17,$X17:$AP17),"")</f>
        <v>#N/A</v>
      </c>
      <c r="AA28" t="e">
        <f t="shared" ref="AA28" si="177">"Week "&amp;Z$2&amp;" - "&amp;IF(Z6&gt;AA6,Z$5&amp;" over "&amp;AA$5,AA$5&amp;" over "&amp;Z$5)&amp;"  ("&amp;TEXT(Z17,"0.0%")&amp;")"</f>
        <v>#N/A</v>
      </c>
      <c r="AB28" s="31" t="e">
        <f t="shared" ref="AB28" si="178">IF(AB17&gt;0,_xlfn.RANK.EQ(AB17,$X17:$AP17),"")</f>
        <v>#N/A</v>
      </c>
      <c r="AC28" t="str">
        <f t="shared" ref="AC28" si="179">"Week "&amp;AB$2&amp;" - "&amp;IF(AB6&gt;AC6,AB$5&amp;" over "&amp;AC$5,AC$5&amp;" over "&amp;AB$5)&amp;"  ("&amp;TEXT(AB17,"0.0%")&amp;")"</f>
        <v>Week 12 - aj over comp  (1.2%)</v>
      </c>
      <c r="AD28" s="31" t="e">
        <f t="shared" ref="AD28" si="180">IF(AD17&gt;0,_xlfn.RANK.EQ(AD17,$X17:$AP17),"")</f>
        <v>#N/A</v>
      </c>
      <c r="AE28" t="str">
        <f t="shared" ref="AE28" si="181">"Week "&amp;AD$2&amp;" - "&amp;IF(AD6&gt;AE6,AD$5&amp;" over "&amp;AE$5,AE$5&amp;" over "&amp;AD$5)&amp;"  ("&amp;TEXT(AD17,"0.0%")&amp;")"</f>
        <v>Week 12 - matty over devon  (0.7%)</v>
      </c>
      <c r="AF28" s="31" t="e">
        <f t="shared" ref="AF28" si="182">IF(AF17&gt;0,_xlfn.RANK.EQ(AF17,$X17:$AP17),"")</f>
        <v>#N/A</v>
      </c>
      <c r="AG28" t="str">
        <f t="shared" ref="AG28" si="183">"Week "&amp;AF$2&amp;" - "&amp;IF(AF6&gt;AG6,AF$5&amp;" over "&amp;AG$5,AG$5&amp;" over "&amp;AF$5)&amp;"  ("&amp;TEXT(AF17,"0.0%")&amp;")"</f>
        <v>Week 12 - chad over seth  (0.1%)</v>
      </c>
      <c r="AH28" s="31" t="e">
        <f t="shared" ref="AH28" si="184">IF(AH17&gt;0,_xlfn.RANK.EQ(AH17,$X17:$AP17),"")</f>
        <v>#N/A</v>
      </c>
      <c r="AI28" t="str">
        <f t="shared" ref="AI28" si="185">"Week "&amp;AH$2&amp;" - "&amp;IF(AH6&gt;AI6,AH$5&amp;" over "&amp;AI$5,AI$5&amp;" over "&amp;AH$5)&amp;"  ("&amp;TEXT(AH17,"0.0%")&amp;")"</f>
        <v>Week 13 - cory over scott  (16.1%)</v>
      </c>
      <c r="AJ28" s="31" t="e">
        <f t="shared" ref="AJ28" si="186">IF(AJ17&gt;0,_xlfn.RANK.EQ(AJ17,$X17:$AP17),"")</f>
        <v>#N/A</v>
      </c>
      <c r="AK28" t="str">
        <f t="shared" ref="AK28" si="187">"Week "&amp;AJ$2&amp;" - "&amp;IF(AJ6&gt;AK6,AJ$5&amp;" over "&amp;AK$5,AK$5&amp;" over "&amp;AJ$5)&amp;"  ("&amp;TEXT(AJ17,"0.0%")&amp;")"</f>
        <v>Week 13 - matty over aj  (1.4%)</v>
      </c>
      <c r="AL28" s="31" t="e">
        <f t="shared" ref="AL28" si="188">IF(AL17&gt;0,_xlfn.RANK.EQ(AL17,$X17:$AP17),"")</f>
        <v>#N/A</v>
      </c>
      <c r="AM28" t="str">
        <f t="shared" ref="AM28" si="189">"Week "&amp;AL$2&amp;" - "&amp;IF(AL6&gt;AM6,AL$5&amp;" over "&amp;AM$5,AM$5&amp;" over "&amp;AL$5)&amp;"  ("&amp;TEXT(AL17,"0.0%")&amp;")"</f>
        <v>Week 13 - perry over devon  (0.8%)</v>
      </c>
      <c r="AN28" s="31" t="e">
        <f t="shared" ref="AN28" si="190">IF(AN17&gt;0,_xlfn.RANK.EQ(AN17,$X17:$AP17),"")</f>
        <v>#N/A</v>
      </c>
      <c r="AO28" t="str">
        <f t="shared" ref="AO28:AQ29" si="191">"Week "&amp;AN$2&amp;" - "&amp;IF(AN6&gt;AO6,AN$5&amp;" over "&amp;AO$5,AO$5&amp;" over "&amp;AN$5)&amp;"  ("&amp;TEXT(AN17,"0.0%")&amp;")"</f>
        <v>Week 13 - chad over comp  (0.6%)</v>
      </c>
      <c r="AP28" s="31" t="e">
        <f t="shared" ref="AP28" si="192">IF(AP17&gt;0,_xlfn.RANK.EQ(AP17,$X17:$AP17),"")</f>
        <v>#N/A</v>
      </c>
      <c r="AQ28" t="e">
        <f t="shared" ref="AQ28" si="193">"Week "&amp;AP$2&amp;" - "&amp;IF(AP6&gt;AQ6,AP$5&amp;" over "&amp;AQ$5,AQ$5&amp;" over "&amp;AP$5)&amp;"  ("&amp;TEXT(AP17,"0.0%")&amp;")"</f>
        <v>#N/A</v>
      </c>
      <c r="AW28" s="34">
        <v>1</v>
      </c>
      <c r="AX28" s="91" t="e">
        <f t="shared" ref="AX28:BG37" si="194">INDEX($X$28:$AQ$37,AX$23,MATCH($AW28,INDEX($X$28:$AQ$37,AX$23,),0)+1)</f>
        <v>#N/A</v>
      </c>
      <c r="AY28" s="91" t="e">
        <f t="shared" si="194"/>
        <v>#N/A</v>
      </c>
      <c r="AZ28" s="91" t="e">
        <f t="shared" si="194"/>
        <v>#N/A</v>
      </c>
      <c r="BA28" s="91" t="e">
        <f t="shared" si="194"/>
        <v>#N/A</v>
      </c>
      <c r="BB28" s="91" t="e">
        <f t="shared" si="194"/>
        <v>#N/A</v>
      </c>
      <c r="BC28" s="91" t="e">
        <f t="shared" si="194"/>
        <v>#N/A</v>
      </c>
      <c r="BD28" s="91" t="e">
        <f t="shared" si="194"/>
        <v>#N/A</v>
      </c>
      <c r="BE28" s="91" t="e">
        <f t="shared" si="194"/>
        <v>#N/A</v>
      </c>
      <c r="BF28" s="91" t="e">
        <f t="shared" si="194"/>
        <v>#N/A</v>
      </c>
      <c r="BG28" s="91" t="e">
        <f t="shared" si="194"/>
        <v>#N/A</v>
      </c>
    </row>
    <row r="29" spans="15:59" ht="45" x14ac:dyDescent="0.25">
      <c r="O29" s="21"/>
      <c r="P29" s="21"/>
      <c r="Q29" s="21"/>
      <c r="R29" s="21"/>
      <c r="S29" s="21"/>
      <c r="T29" s="21"/>
      <c r="X29" s="31" t="e">
        <f t="shared" ref="X29:X37" si="195">IF(X18&gt;0,_xlfn.RANK.EQ(X18,$X18:$AP18),"")</f>
        <v>#N/A</v>
      </c>
      <c r="Y29" t="str">
        <f t="shared" ref="Y29:AM37" si="196">"Week "&amp;X$2&amp;" - "&amp;IF(X7&gt;Y7,X$5&amp;" over "&amp;Y$5,Y$5&amp;" over "&amp;X$5)&amp;"  ("&amp;TEXT(X18,"0.0%")&amp;")"</f>
        <v>Week 12 - scott over perry  (4.8%)</v>
      </c>
      <c r="Z29" s="31" t="e">
        <f>IF(Z18&gt;0,_xlfn.RANK.EQ(Z18,$X18:$AP18),"")</f>
        <v>#N/A</v>
      </c>
      <c r="AA29" t="e">
        <f t="shared" si="196"/>
        <v>#N/A</v>
      </c>
      <c r="AB29" s="31" t="e">
        <f t="shared" ref="AB29" si="197">IF(AB18&gt;0,_xlfn.RANK.EQ(AB18,$X18:$AP18),"")</f>
        <v>#N/A</v>
      </c>
      <c r="AC29" t="str">
        <f t="shared" si="196"/>
        <v>Week 12 - aj over comp  (1.2%)</v>
      </c>
      <c r="AD29" s="31" t="e">
        <f t="shared" ref="AD29" si="198">IF(AD18&gt;0,_xlfn.RANK.EQ(AD18,$X18:$AP18),"")</f>
        <v>#N/A</v>
      </c>
      <c r="AE29" t="str">
        <f t="shared" si="196"/>
        <v>Week 12 - matty over devon  (0.7%)</v>
      </c>
      <c r="AF29" s="31" t="e">
        <f t="shared" ref="AF29" si="199">IF(AF18&gt;0,_xlfn.RANK.EQ(AF18,$X18:$AP18),"")</f>
        <v>#N/A</v>
      </c>
      <c r="AG29" t="str">
        <f t="shared" si="196"/>
        <v>Week 12 - chad over seth  (0.1%)</v>
      </c>
      <c r="AH29" s="31" t="e">
        <f t="shared" ref="AH29" si="200">IF(AH18&gt;0,_xlfn.RANK.EQ(AH18,$X18:$AP18),"")</f>
        <v>#N/A</v>
      </c>
      <c r="AI29" t="str">
        <f t="shared" si="196"/>
        <v>Week 13 - cory over scott  (16.1%)</v>
      </c>
      <c r="AJ29" s="31" t="e">
        <f t="shared" ref="AJ29" si="201">IF(AJ18&gt;0,_xlfn.RANK.EQ(AJ18,$X18:$AP18),"")</f>
        <v>#N/A</v>
      </c>
      <c r="AK29" t="str">
        <f t="shared" si="196"/>
        <v>Week 13 - matty over aj  (1.4%)</v>
      </c>
      <c r="AL29" s="31" t="e">
        <f t="shared" ref="AL29" si="202">IF(AL18&gt;0,_xlfn.RANK.EQ(AL18,$X18:$AP18),"")</f>
        <v>#N/A</v>
      </c>
      <c r="AM29" t="str">
        <f t="shared" si="196"/>
        <v>Week 13 - perry over devon  (0.8%)</v>
      </c>
      <c r="AN29" s="31" t="e">
        <f t="shared" ref="AN29" si="203">IF(AN18&gt;0,_xlfn.RANK.EQ(AN18,$X18:$AP18),"")</f>
        <v>#N/A</v>
      </c>
      <c r="AO29" t="str">
        <f t="shared" si="191"/>
        <v>Week 13 - chad over comp  (0.6%)</v>
      </c>
      <c r="AP29" s="31" t="e">
        <f t="shared" ref="AP29" si="204">IF(AP18&gt;0,_xlfn.RANK.EQ(AP18,$X18:$AP18),"")</f>
        <v>#N/A</v>
      </c>
      <c r="AQ29" t="e">
        <f t="shared" si="191"/>
        <v>#N/A</v>
      </c>
      <c r="AW29" s="34">
        <f t="shared" ref="AW29:AW37" si="205">AW28+1</f>
        <v>2</v>
      </c>
      <c r="AX29" s="91" t="e">
        <f t="shared" si="194"/>
        <v>#N/A</v>
      </c>
      <c r="AY29" s="91" t="e">
        <f t="shared" si="194"/>
        <v>#N/A</v>
      </c>
      <c r="AZ29" s="91" t="e">
        <f t="shared" si="194"/>
        <v>#N/A</v>
      </c>
      <c r="BA29" s="91" t="e">
        <f t="shared" si="194"/>
        <v>#N/A</v>
      </c>
      <c r="BB29" s="91" t="e">
        <f t="shared" si="194"/>
        <v>#N/A</v>
      </c>
      <c r="BC29" s="91" t="e">
        <f t="shared" si="194"/>
        <v>#N/A</v>
      </c>
      <c r="BD29" s="91" t="e">
        <f t="shared" si="194"/>
        <v>#N/A</v>
      </c>
      <c r="BE29" s="91" t="e">
        <f t="shared" si="194"/>
        <v>#N/A</v>
      </c>
      <c r="BF29" s="91" t="e">
        <f t="shared" si="194"/>
        <v>#N/A</v>
      </c>
      <c r="BG29" s="91" t="e">
        <f t="shared" si="194"/>
        <v>#N/A</v>
      </c>
    </row>
    <row r="30" spans="15:59" ht="45" x14ac:dyDescent="0.25">
      <c r="O30" s="21"/>
      <c r="P30" s="21"/>
      <c r="Q30" s="21"/>
      <c r="R30" s="21"/>
      <c r="S30" s="21"/>
      <c r="T30" s="21"/>
      <c r="X30" s="31" t="e">
        <f t="shared" si="195"/>
        <v>#N/A</v>
      </c>
      <c r="Y30" t="str">
        <f t="shared" si="196"/>
        <v>Week 12 - scott over perry  (4.8%)</v>
      </c>
      <c r="Z30" s="31" t="e">
        <f t="shared" ref="Z30" si="206">IF(Z19&gt;0,_xlfn.RANK.EQ(Z19,$X19:$AP19),"")</f>
        <v>#N/A</v>
      </c>
      <c r="AA30" t="e">
        <f t="shared" ref="AA30:AQ37" si="207">"Week "&amp;Z$2&amp;" - "&amp;IF(Z8&gt;AA8,Z$5&amp;" over "&amp;AA$5,AA$5&amp;" over "&amp;Z$5)&amp;"  ("&amp;TEXT(Z19,"0.0%")&amp;")"</f>
        <v>#N/A</v>
      </c>
      <c r="AB30" s="31" t="e">
        <f t="shared" ref="AB30" si="208">IF(AB19&gt;0,_xlfn.RANK.EQ(AB19,$X19:$AP19),"")</f>
        <v>#N/A</v>
      </c>
      <c r="AC30" t="str">
        <f t="shared" si="207"/>
        <v>Week 12 - aj over comp  (1.2%)</v>
      </c>
      <c r="AD30" s="31" t="e">
        <f t="shared" ref="AD30" si="209">IF(AD19&gt;0,_xlfn.RANK.EQ(AD19,$X19:$AP19),"")</f>
        <v>#N/A</v>
      </c>
      <c r="AE30" t="str">
        <f t="shared" si="207"/>
        <v>Week 12 - matty over devon  (0.7%)</v>
      </c>
      <c r="AF30" s="31" t="e">
        <f t="shared" ref="AF30" si="210">IF(AF19&gt;0,_xlfn.RANK.EQ(AF19,$X19:$AP19),"")</f>
        <v>#N/A</v>
      </c>
      <c r="AG30" t="str">
        <f t="shared" si="207"/>
        <v>Week 12 - chad over seth  (0.1%)</v>
      </c>
      <c r="AH30" s="31" t="e">
        <f t="shared" ref="AH30" si="211">IF(AH19&gt;0,_xlfn.RANK.EQ(AH19,$X19:$AP19),"")</f>
        <v>#N/A</v>
      </c>
      <c r="AI30" t="str">
        <f t="shared" si="207"/>
        <v>Week 13 - cory over scott  (16.1%)</v>
      </c>
      <c r="AJ30" s="31" t="e">
        <f t="shared" ref="AJ30" si="212">IF(AJ19&gt;0,_xlfn.RANK.EQ(AJ19,$X19:$AP19),"")</f>
        <v>#N/A</v>
      </c>
      <c r="AK30" t="str">
        <f t="shared" si="207"/>
        <v>Week 13 - matty over aj  (1.4%)</v>
      </c>
      <c r="AL30" s="31" t="e">
        <f t="shared" ref="AL30" si="213">IF(AL19&gt;0,_xlfn.RANK.EQ(AL19,$X19:$AP19),"")</f>
        <v>#N/A</v>
      </c>
      <c r="AM30" t="str">
        <f t="shared" si="207"/>
        <v>Week 13 - perry over devon  (0.8%)</v>
      </c>
      <c r="AN30" s="31" t="e">
        <f t="shared" ref="AN30" si="214">IF(AN19&gt;0,_xlfn.RANK.EQ(AN19,$X19:$AP19),"")</f>
        <v>#N/A</v>
      </c>
      <c r="AO30" t="str">
        <f t="shared" si="207"/>
        <v>Week 13 - chad over comp  (0.6%)</v>
      </c>
      <c r="AP30" s="31" t="e">
        <f t="shared" ref="AP30" si="215">IF(AP19&gt;0,_xlfn.RANK.EQ(AP19,$X19:$AP19),"")</f>
        <v>#N/A</v>
      </c>
      <c r="AQ30" t="e">
        <f t="shared" si="207"/>
        <v>#N/A</v>
      </c>
      <c r="AW30" s="34">
        <f t="shared" si="205"/>
        <v>3</v>
      </c>
      <c r="AX30" s="91" t="e">
        <f t="shared" si="194"/>
        <v>#N/A</v>
      </c>
      <c r="AY30" s="91" t="e">
        <f t="shared" si="194"/>
        <v>#N/A</v>
      </c>
      <c r="AZ30" s="91" t="e">
        <f t="shared" si="194"/>
        <v>#N/A</v>
      </c>
      <c r="BA30" s="91" t="e">
        <f t="shared" si="194"/>
        <v>#N/A</v>
      </c>
      <c r="BB30" s="91" t="e">
        <f t="shared" si="194"/>
        <v>#N/A</v>
      </c>
      <c r="BC30" s="91" t="e">
        <f t="shared" si="194"/>
        <v>#N/A</v>
      </c>
      <c r="BD30" s="91" t="e">
        <f t="shared" si="194"/>
        <v>#N/A</v>
      </c>
      <c r="BE30" s="91" t="e">
        <f t="shared" si="194"/>
        <v>#N/A</v>
      </c>
      <c r="BF30" s="91" t="e">
        <f t="shared" si="194"/>
        <v>#N/A</v>
      </c>
      <c r="BG30" s="91" t="e">
        <f t="shared" si="194"/>
        <v>#N/A</v>
      </c>
    </row>
    <row r="31" spans="15:59" ht="45" x14ac:dyDescent="0.25">
      <c r="O31" s="21"/>
      <c r="P31" s="21"/>
      <c r="Q31" s="21"/>
      <c r="R31" s="21"/>
      <c r="S31" s="21"/>
      <c r="T31" s="21"/>
      <c r="X31" s="31" t="e">
        <f t="shared" si="195"/>
        <v>#N/A</v>
      </c>
      <c r="Y31" t="str">
        <f t="shared" si="196"/>
        <v>Week 12 - scott over perry  (4.8%)</v>
      </c>
      <c r="Z31" s="31" t="e">
        <f t="shared" ref="Z31" si="216">IF(Z20&gt;0,_xlfn.RANK.EQ(Z20,$X20:$AP20),"")</f>
        <v>#N/A</v>
      </c>
      <c r="AA31" t="e">
        <f t="shared" si="207"/>
        <v>#N/A</v>
      </c>
      <c r="AB31" s="31" t="e">
        <f t="shared" ref="AB31" si="217">IF(AB20&gt;0,_xlfn.RANK.EQ(AB20,$X20:$AP20),"")</f>
        <v>#N/A</v>
      </c>
      <c r="AC31" t="str">
        <f t="shared" si="207"/>
        <v>Week 12 - aj over comp  (1.2%)</v>
      </c>
      <c r="AD31" s="31" t="e">
        <f t="shared" ref="AD31" si="218">IF(AD20&gt;0,_xlfn.RANK.EQ(AD20,$X20:$AP20),"")</f>
        <v>#N/A</v>
      </c>
      <c r="AE31" t="str">
        <f t="shared" si="207"/>
        <v>Week 12 - matty over devon  (0.7%)</v>
      </c>
      <c r="AF31" s="31" t="e">
        <f t="shared" ref="AF31" si="219">IF(AF20&gt;0,_xlfn.RANK.EQ(AF20,$X20:$AP20),"")</f>
        <v>#N/A</v>
      </c>
      <c r="AG31" t="str">
        <f t="shared" si="207"/>
        <v>Week 12 - chad over seth  (0.1%)</v>
      </c>
      <c r="AH31" s="31" t="e">
        <f t="shared" ref="AH31" si="220">IF(AH20&gt;0,_xlfn.RANK.EQ(AH20,$X20:$AP20),"")</f>
        <v>#N/A</v>
      </c>
      <c r="AI31" t="str">
        <f t="shared" si="207"/>
        <v>Week 13 - cory over scott  (16.1%)</v>
      </c>
      <c r="AJ31" s="31" t="e">
        <f t="shared" ref="AJ31" si="221">IF(AJ20&gt;0,_xlfn.RANK.EQ(AJ20,$X20:$AP20),"")</f>
        <v>#N/A</v>
      </c>
      <c r="AK31" t="str">
        <f t="shared" si="207"/>
        <v>Week 13 - matty over aj  (1.4%)</v>
      </c>
      <c r="AL31" s="31" t="e">
        <f t="shared" ref="AL31" si="222">IF(AL20&gt;0,_xlfn.RANK.EQ(AL20,$X20:$AP20),"")</f>
        <v>#N/A</v>
      </c>
      <c r="AM31" t="str">
        <f t="shared" si="207"/>
        <v>Week 13 - perry over devon  (0.8%)</v>
      </c>
      <c r="AN31" s="31" t="e">
        <f t="shared" ref="AN31" si="223">IF(AN20&gt;0,_xlfn.RANK.EQ(AN20,$X20:$AP20),"")</f>
        <v>#N/A</v>
      </c>
      <c r="AO31" t="str">
        <f t="shared" si="207"/>
        <v>Week 13 - chad over comp  (0.6%)</v>
      </c>
      <c r="AP31" s="31" t="e">
        <f t="shared" ref="AP31" si="224">IF(AP20&gt;0,_xlfn.RANK.EQ(AP20,$X20:$AP20),"")</f>
        <v>#N/A</v>
      </c>
      <c r="AQ31" t="e">
        <f t="shared" si="207"/>
        <v>#N/A</v>
      </c>
      <c r="AW31" s="34">
        <f t="shared" si="205"/>
        <v>4</v>
      </c>
      <c r="AX31" s="91" t="e">
        <f t="shared" si="194"/>
        <v>#N/A</v>
      </c>
      <c r="AY31" s="91" t="e">
        <f t="shared" si="194"/>
        <v>#N/A</v>
      </c>
      <c r="AZ31" s="91" t="e">
        <f t="shared" si="194"/>
        <v>#N/A</v>
      </c>
      <c r="BA31" s="91" t="e">
        <f t="shared" si="194"/>
        <v>#N/A</v>
      </c>
      <c r="BB31" s="91" t="e">
        <f t="shared" si="194"/>
        <v>#N/A</v>
      </c>
      <c r="BC31" s="91" t="e">
        <f t="shared" si="194"/>
        <v>#N/A</v>
      </c>
      <c r="BD31" s="91" t="e">
        <f t="shared" si="194"/>
        <v>#N/A</v>
      </c>
      <c r="BE31" s="91" t="e">
        <f t="shared" si="194"/>
        <v>#N/A</v>
      </c>
      <c r="BF31" s="91" t="e">
        <f t="shared" si="194"/>
        <v>#N/A</v>
      </c>
      <c r="BG31" s="91" t="e">
        <f t="shared" si="194"/>
        <v>#N/A</v>
      </c>
    </row>
    <row r="32" spans="15:59" ht="45" x14ac:dyDescent="0.25">
      <c r="O32" s="21"/>
      <c r="P32" s="21"/>
      <c r="Q32" s="21"/>
      <c r="R32" s="21"/>
      <c r="S32" s="21"/>
      <c r="T32" s="21"/>
      <c r="X32" s="31" t="e">
        <f t="shared" si="195"/>
        <v>#N/A</v>
      </c>
      <c r="Y32" t="str">
        <f>"Week "&amp;X$2&amp;" - "&amp;IF(X10&gt;Y10,X$5&amp;" over "&amp;Y$5,Y$5&amp;" over "&amp;X$5)&amp;"  ("&amp;TEXT(X21,"0.0%")&amp;")"</f>
        <v>Week 12 - scott over perry  (4.8%)</v>
      </c>
      <c r="Z32" s="31" t="e">
        <f t="shared" ref="Z32" si="225">IF(Z21&gt;0,_xlfn.RANK.EQ(Z21,$X21:$AP21),"")</f>
        <v>#N/A</v>
      </c>
      <c r="AA32" t="e">
        <f t="shared" si="207"/>
        <v>#N/A</v>
      </c>
      <c r="AB32" s="31" t="e">
        <f t="shared" ref="AB32" si="226">IF(AB21&gt;0,_xlfn.RANK.EQ(AB21,$X21:$AP21),"")</f>
        <v>#N/A</v>
      </c>
      <c r="AC32" t="str">
        <f t="shared" si="207"/>
        <v>Week 12 - aj over comp  (1.2%)</v>
      </c>
      <c r="AD32" s="31" t="e">
        <f>IF(AD21&gt;0,_xlfn.RANK.EQ(AD21,$X21:$AP21),"")</f>
        <v>#N/A</v>
      </c>
      <c r="AE32" t="str">
        <f t="shared" si="207"/>
        <v>Week 12 - matty over devon  (0.7%)</v>
      </c>
      <c r="AF32" s="31" t="e">
        <f t="shared" ref="AF32" si="227">IF(AF21&gt;0,_xlfn.RANK.EQ(AF21,$X21:$AP21),"")</f>
        <v>#N/A</v>
      </c>
      <c r="AG32" t="str">
        <f t="shared" si="207"/>
        <v>Week 12 - chad over seth  (0.1%)</v>
      </c>
      <c r="AH32" s="31" t="e">
        <f t="shared" ref="AH32" si="228">IF(AH21&gt;0,_xlfn.RANK.EQ(AH21,$X21:$AP21),"")</f>
        <v>#N/A</v>
      </c>
      <c r="AI32" t="str">
        <f t="shared" si="207"/>
        <v>Week 13 - cory over scott  (16.1%)</v>
      </c>
      <c r="AJ32" s="31" t="e">
        <f t="shared" ref="AJ32" si="229">IF(AJ21&gt;0,_xlfn.RANK.EQ(AJ21,$X21:$AP21),"")</f>
        <v>#N/A</v>
      </c>
      <c r="AK32" t="str">
        <f t="shared" si="207"/>
        <v>Week 13 - matty over aj  (1.4%)</v>
      </c>
      <c r="AL32" s="31" t="e">
        <f t="shared" ref="AL32" si="230">IF(AL21&gt;0,_xlfn.RANK.EQ(AL21,$X21:$AP21),"")</f>
        <v>#N/A</v>
      </c>
      <c r="AM32" t="str">
        <f t="shared" si="207"/>
        <v>Week 13 - perry over devon  (0.8%)</v>
      </c>
      <c r="AN32" s="31" t="e">
        <f t="shared" ref="AN32" si="231">IF(AN21&gt;0,_xlfn.RANK.EQ(AN21,$X21:$AP21),"")</f>
        <v>#N/A</v>
      </c>
      <c r="AO32" t="str">
        <f t="shared" si="207"/>
        <v>Week 13 - chad over comp  (0.6%)</v>
      </c>
      <c r="AP32" s="31" t="e">
        <f t="shared" ref="AP32" si="232">IF(AP21&gt;0,_xlfn.RANK.EQ(AP21,$X21:$AP21),"")</f>
        <v>#N/A</v>
      </c>
      <c r="AQ32" t="e">
        <f t="shared" si="207"/>
        <v>#N/A</v>
      </c>
      <c r="AW32" s="34">
        <f t="shared" si="205"/>
        <v>5</v>
      </c>
      <c r="AX32" s="91" t="e">
        <f t="shared" si="194"/>
        <v>#N/A</v>
      </c>
      <c r="AY32" s="91" t="e">
        <f t="shared" si="194"/>
        <v>#N/A</v>
      </c>
      <c r="AZ32" s="91" t="e">
        <f t="shared" si="194"/>
        <v>#N/A</v>
      </c>
      <c r="BA32" s="91" t="e">
        <f t="shared" si="194"/>
        <v>#N/A</v>
      </c>
      <c r="BB32" s="91" t="e">
        <f t="shared" si="194"/>
        <v>#N/A</v>
      </c>
      <c r="BC32" s="91" t="e">
        <f t="shared" si="194"/>
        <v>#N/A</v>
      </c>
      <c r="BD32" s="91" t="e">
        <f t="shared" si="194"/>
        <v>#N/A</v>
      </c>
      <c r="BE32" s="91" t="e">
        <f t="shared" si="194"/>
        <v>#N/A</v>
      </c>
      <c r="BF32" s="91" t="e">
        <f t="shared" si="194"/>
        <v>#N/A</v>
      </c>
      <c r="BG32" s="91" t="e">
        <f t="shared" si="194"/>
        <v>#N/A</v>
      </c>
    </row>
    <row r="33" spans="15:59" ht="30" x14ac:dyDescent="0.25">
      <c r="O33" s="21"/>
      <c r="P33" s="21"/>
      <c r="Q33" s="21"/>
      <c r="R33" s="21"/>
      <c r="S33" s="21"/>
      <c r="T33" s="21"/>
      <c r="X33" s="31" t="e">
        <f t="shared" si="195"/>
        <v>#N/A</v>
      </c>
      <c r="Y33" t="str">
        <f>"Week "&amp;X$2&amp;" - "&amp;IF(X11&gt;Y11,X$5&amp;" over "&amp;Y$5,Y$5&amp;" over "&amp;X$5)&amp;"  ("&amp;TEXT(X22,"0.0%")&amp;")"</f>
        <v>Week 12 - scott over perry  (4.8%)</v>
      </c>
      <c r="Z33" s="31" t="e">
        <f t="shared" ref="Z33" si="233">IF(Z22&gt;0,_xlfn.RANK.EQ(Z22,$X22:$AP22),"")</f>
        <v>#N/A</v>
      </c>
      <c r="AA33" t="e">
        <f t="shared" si="207"/>
        <v>#N/A</v>
      </c>
      <c r="AB33" s="31" t="e">
        <f t="shared" ref="AB33" si="234">IF(AB22&gt;0,_xlfn.RANK.EQ(AB22,$X22:$AP22),"")</f>
        <v>#N/A</v>
      </c>
      <c r="AC33" t="str">
        <f t="shared" si="207"/>
        <v>Week 12 - aj over comp  (1.2%)</v>
      </c>
      <c r="AD33" s="31" t="e">
        <f t="shared" ref="AD33" si="235">IF(AD22&gt;0,_xlfn.RANK.EQ(AD22,$X22:$AP22),"")</f>
        <v>#N/A</v>
      </c>
      <c r="AE33" t="str">
        <f t="shared" si="207"/>
        <v>Week 12 - matty over devon  (0.7%)</v>
      </c>
      <c r="AF33" s="31" t="e">
        <f t="shared" ref="AF33" si="236">IF(AF22&gt;0,_xlfn.RANK.EQ(AF22,$X22:$AP22),"")</f>
        <v>#N/A</v>
      </c>
      <c r="AG33" t="str">
        <f>"Week "&amp;AF$2&amp;" - "&amp;IF(AF11&gt;AG11,AF$5&amp;" over "&amp;AG$5,AG$5&amp;" over "&amp;AF$5)&amp;"  ("&amp;TEXT(AF22,"0.0%")&amp;")"</f>
        <v>Week 12 - chad over seth  (0.1%)</v>
      </c>
      <c r="AH33" s="31" t="e">
        <f t="shared" ref="AH33" si="237">IF(AH22&gt;0,_xlfn.RANK.EQ(AH22,$X22:$AP22),"")</f>
        <v>#N/A</v>
      </c>
      <c r="AI33" t="str">
        <f t="shared" si="207"/>
        <v>Week 13 - cory over scott  (16.1%)</v>
      </c>
      <c r="AJ33" s="31" t="e">
        <f t="shared" ref="AJ33" si="238">IF(AJ22&gt;0,_xlfn.RANK.EQ(AJ22,$X22:$AP22),"")</f>
        <v>#N/A</v>
      </c>
      <c r="AK33" t="str">
        <f t="shared" si="207"/>
        <v>Week 13 - matty over aj  (1.4%)</v>
      </c>
      <c r="AL33" s="31" t="e">
        <f t="shared" ref="AL33" si="239">IF(AL22&gt;0,_xlfn.RANK.EQ(AL22,$X22:$AP22),"")</f>
        <v>#N/A</v>
      </c>
      <c r="AM33" t="str">
        <f t="shared" si="207"/>
        <v>Week 13 - perry over devon  (0.8%)</v>
      </c>
      <c r="AN33" s="31" t="e">
        <f t="shared" ref="AN33" si="240">IF(AN22&gt;0,_xlfn.RANK.EQ(AN22,$X22:$AP22),"")</f>
        <v>#N/A</v>
      </c>
      <c r="AO33" t="str">
        <f t="shared" si="207"/>
        <v>Week 13 - chad over comp  (0.6%)</v>
      </c>
      <c r="AP33" s="31" t="e">
        <f t="shared" ref="AP33" si="241">IF(AP22&gt;0,_xlfn.RANK.EQ(AP22,$X22:$AP22),"")</f>
        <v>#N/A</v>
      </c>
      <c r="AQ33" t="e">
        <f t="shared" si="207"/>
        <v>#N/A</v>
      </c>
      <c r="AW33" s="34">
        <f t="shared" si="205"/>
        <v>6</v>
      </c>
      <c r="AX33" s="91" t="e">
        <f t="shared" si="194"/>
        <v>#N/A</v>
      </c>
      <c r="AY33" s="91" t="e">
        <f t="shared" si="194"/>
        <v>#N/A</v>
      </c>
      <c r="AZ33" s="91" t="e">
        <f t="shared" si="194"/>
        <v>#N/A</v>
      </c>
      <c r="BA33" s="91" t="e">
        <f t="shared" si="194"/>
        <v>#N/A</v>
      </c>
      <c r="BB33" s="91" t="e">
        <f t="shared" si="194"/>
        <v>#N/A</v>
      </c>
      <c r="BC33" s="91" t="e">
        <f t="shared" si="194"/>
        <v>#N/A</v>
      </c>
      <c r="BD33" s="91" t="e">
        <f t="shared" si="194"/>
        <v>#N/A</v>
      </c>
      <c r="BE33" s="91" t="e">
        <f t="shared" si="194"/>
        <v>#N/A</v>
      </c>
      <c r="BF33" s="91" t="e">
        <f t="shared" si="194"/>
        <v>#N/A</v>
      </c>
      <c r="BG33" s="91" t="e">
        <f t="shared" si="194"/>
        <v>#N/A</v>
      </c>
    </row>
    <row r="34" spans="15:59" ht="45" x14ac:dyDescent="0.25">
      <c r="O34" s="21"/>
      <c r="P34" s="21"/>
      <c r="Q34" s="21"/>
      <c r="R34" s="21"/>
      <c r="S34" s="21"/>
      <c r="T34" s="21"/>
      <c r="X34" s="31" t="e">
        <f t="shared" si="195"/>
        <v>#N/A</v>
      </c>
      <c r="Y34" t="e">
        <f t="shared" si="196"/>
        <v>#N/A</v>
      </c>
      <c r="Z34" s="31" t="e">
        <f t="shared" ref="Z34" si="242">IF(Z23&gt;0,_xlfn.RANK.EQ(Z23,$X23:$AP23),"")</f>
        <v>#N/A</v>
      </c>
      <c r="AA34" t="e">
        <f t="shared" si="207"/>
        <v>#N/A</v>
      </c>
      <c r="AB34" s="31" t="e">
        <f t="shared" ref="AB34" si="243">IF(AB23&gt;0,_xlfn.RANK.EQ(AB23,$X23:$AP23),"")</f>
        <v>#N/A</v>
      </c>
      <c r="AC34" t="e">
        <f t="shared" si="207"/>
        <v>#N/A</v>
      </c>
      <c r="AD34" s="31" t="e">
        <f t="shared" ref="AD34" si="244">IF(AD23&gt;0,_xlfn.RANK.EQ(AD23,$X23:$AP23),"")</f>
        <v>#N/A</v>
      </c>
      <c r="AE34" t="e">
        <f t="shared" si="207"/>
        <v>#N/A</v>
      </c>
      <c r="AF34" s="31" t="e">
        <f t="shared" ref="AF34" si="245">IF(AF23&gt;0,_xlfn.RANK.EQ(AF23,$X23:$AP23),"")</f>
        <v>#N/A</v>
      </c>
      <c r="AG34" t="e">
        <f t="shared" si="207"/>
        <v>#N/A</v>
      </c>
      <c r="AH34" s="31" t="e">
        <f t="shared" ref="AH34" si="246">IF(AH23&gt;0,_xlfn.RANK.EQ(AH23,$X23:$AP23),"")</f>
        <v>#N/A</v>
      </c>
      <c r="AI34" t="e">
        <f t="shared" si="207"/>
        <v>#N/A</v>
      </c>
      <c r="AJ34" s="31" t="e">
        <f t="shared" ref="AJ34" si="247">IF(AJ23&gt;0,_xlfn.RANK.EQ(AJ23,$X23:$AP23),"")</f>
        <v>#N/A</v>
      </c>
      <c r="AK34" t="e">
        <f t="shared" si="207"/>
        <v>#N/A</v>
      </c>
      <c r="AL34" s="31" t="e">
        <f t="shared" ref="AL34" si="248">IF(AL23&gt;0,_xlfn.RANK.EQ(AL23,$X23:$AP23),"")</f>
        <v>#N/A</v>
      </c>
      <c r="AM34" t="e">
        <f t="shared" si="207"/>
        <v>#N/A</v>
      </c>
      <c r="AN34" s="31" t="e">
        <f t="shared" ref="AN34" si="249">IF(AN23&gt;0,_xlfn.RANK.EQ(AN23,$X23:$AP23),"")</f>
        <v>#N/A</v>
      </c>
      <c r="AO34" t="e">
        <f t="shared" si="207"/>
        <v>#N/A</v>
      </c>
      <c r="AP34" s="31" t="e">
        <f t="shared" ref="AP34" si="250">IF(AP23&gt;0,_xlfn.RANK.EQ(AP23,$X23:$AP23),"")</f>
        <v>#N/A</v>
      </c>
      <c r="AQ34" t="e">
        <f t="shared" si="207"/>
        <v>#N/A</v>
      </c>
      <c r="AW34" s="34">
        <f t="shared" si="205"/>
        <v>7</v>
      </c>
      <c r="AX34" s="91" t="e">
        <f t="shared" si="194"/>
        <v>#N/A</v>
      </c>
      <c r="AY34" s="91" t="e">
        <f t="shared" si="194"/>
        <v>#N/A</v>
      </c>
      <c r="AZ34" s="91" t="e">
        <f t="shared" si="194"/>
        <v>#N/A</v>
      </c>
      <c r="BA34" s="91" t="e">
        <f t="shared" si="194"/>
        <v>#N/A</v>
      </c>
      <c r="BB34" s="91" t="e">
        <f t="shared" si="194"/>
        <v>#N/A</v>
      </c>
      <c r="BC34" s="91" t="e">
        <f t="shared" si="194"/>
        <v>#N/A</v>
      </c>
      <c r="BD34" s="91" t="e">
        <f t="shared" si="194"/>
        <v>#N/A</v>
      </c>
      <c r="BE34" s="91" t="e">
        <f t="shared" si="194"/>
        <v>#N/A</v>
      </c>
      <c r="BF34" s="91" t="e">
        <f t="shared" si="194"/>
        <v>#N/A</v>
      </c>
      <c r="BG34" s="91" t="e">
        <f t="shared" si="194"/>
        <v>#N/A</v>
      </c>
    </row>
    <row r="35" spans="15:59" x14ac:dyDescent="0.25">
      <c r="O35" s="21"/>
      <c r="P35" s="21"/>
      <c r="Q35" s="21"/>
      <c r="R35" s="21"/>
      <c r="S35" s="21"/>
      <c r="T35" s="21"/>
      <c r="X35" s="31" t="e">
        <f t="shared" si="195"/>
        <v>#N/A</v>
      </c>
      <c r="Y35" t="str">
        <f t="shared" si="196"/>
        <v>Week 12 - scott over perry  (4.8%)</v>
      </c>
      <c r="Z35" s="31" t="e">
        <f t="shared" ref="Z35" si="251">IF(Z24&gt;0,_xlfn.RANK.EQ(Z24,$X24:$AP24),"")</f>
        <v>#N/A</v>
      </c>
      <c r="AA35" t="e">
        <f t="shared" si="207"/>
        <v>#N/A</v>
      </c>
      <c r="AB35" s="31" t="e">
        <f t="shared" ref="AB35" si="252">IF(AB24&gt;0,_xlfn.RANK.EQ(AB24,$X24:$AP24),"")</f>
        <v>#N/A</v>
      </c>
      <c r="AC35" t="str">
        <f t="shared" si="207"/>
        <v>Week 12 - aj over comp  (1.2%)</v>
      </c>
      <c r="AD35" s="31" t="e">
        <f>IF(AD24&gt;0,_xlfn.RANK.EQ(AD24,$X24:$AP24),"")</f>
        <v>#N/A</v>
      </c>
      <c r="AE35" t="str">
        <f t="shared" si="207"/>
        <v>Week 12 - matty over devon  (0.7%)</v>
      </c>
      <c r="AF35" s="31" t="e">
        <f t="shared" ref="AF35" si="253">IF(AF24&gt;0,_xlfn.RANK.EQ(AF24,$X24:$AP24),"")</f>
        <v>#N/A</v>
      </c>
      <c r="AG35" t="str">
        <f t="shared" si="207"/>
        <v>Week 12 - chad over seth  (0.1%)</v>
      </c>
      <c r="AH35" s="31" t="e">
        <f t="shared" ref="AH35" si="254">IF(AH24&gt;0,_xlfn.RANK.EQ(AH24,$X24:$AP24),"")</f>
        <v>#N/A</v>
      </c>
      <c r="AI35" t="str">
        <f t="shared" si="207"/>
        <v>Week 13 - cory over scott  (16.1%)</v>
      </c>
      <c r="AJ35" s="31" t="e">
        <f t="shared" ref="AJ35" si="255">IF(AJ24&gt;0,_xlfn.RANK.EQ(AJ24,$X24:$AP24),"")</f>
        <v>#N/A</v>
      </c>
      <c r="AK35" t="str">
        <f t="shared" si="207"/>
        <v>Week 13 - matty over aj  (1.4%)</v>
      </c>
      <c r="AL35" s="31" t="e">
        <f t="shared" ref="AL35" si="256">IF(AL24&gt;0,_xlfn.RANK.EQ(AL24,$X24:$AP24),"")</f>
        <v>#N/A</v>
      </c>
      <c r="AM35" t="str">
        <f t="shared" si="207"/>
        <v>Week 13 - perry over devon  (0.8%)</v>
      </c>
      <c r="AN35" s="31" t="e">
        <f t="shared" ref="AN35" si="257">IF(AN24&gt;0,_xlfn.RANK.EQ(AN24,$X24:$AP24),"")</f>
        <v>#N/A</v>
      </c>
      <c r="AO35" t="str">
        <f t="shared" si="207"/>
        <v>Week 13 - chad over comp  (0.6%)</v>
      </c>
      <c r="AP35" s="31" t="e">
        <f t="shared" ref="AP35" si="258">IF(AP24&gt;0,_xlfn.RANK.EQ(AP24,$X24:$AP24),"")</f>
        <v>#N/A</v>
      </c>
      <c r="AQ35" t="e">
        <f t="shared" si="207"/>
        <v>#N/A</v>
      </c>
      <c r="AW35" s="34">
        <f t="shared" si="205"/>
        <v>8</v>
      </c>
      <c r="AX35" s="91" t="e">
        <f t="shared" si="194"/>
        <v>#N/A</v>
      </c>
      <c r="AY35" s="91" t="e">
        <f t="shared" si="194"/>
        <v>#N/A</v>
      </c>
      <c r="AZ35" s="91" t="e">
        <f t="shared" si="194"/>
        <v>#N/A</v>
      </c>
      <c r="BA35" s="91" t="e">
        <f t="shared" si="194"/>
        <v>#N/A</v>
      </c>
      <c r="BB35" s="91" t="e">
        <f t="shared" si="194"/>
        <v>#N/A</v>
      </c>
      <c r="BC35" s="91" t="e">
        <f t="shared" si="194"/>
        <v>#N/A</v>
      </c>
      <c r="BD35" s="91" t="e">
        <f t="shared" si="194"/>
        <v>#N/A</v>
      </c>
      <c r="BE35" s="91" t="e">
        <f t="shared" si="194"/>
        <v>#N/A</v>
      </c>
      <c r="BF35" s="91" t="e">
        <f t="shared" si="194"/>
        <v>#N/A</v>
      </c>
      <c r="BG35" s="91" t="e">
        <f t="shared" si="194"/>
        <v>#N/A</v>
      </c>
    </row>
    <row r="36" spans="15:59" x14ac:dyDescent="0.25">
      <c r="O36" s="21"/>
      <c r="P36" s="21"/>
      <c r="Q36" s="21"/>
      <c r="R36" s="21"/>
      <c r="S36" s="21"/>
      <c r="T36" s="21"/>
      <c r="X36" s="31" t="e">
        <f t="shared" si="195"/>
        <v>#N/A</v>
      </c>
      <c r="Y36" t="str">
        <f t="shared" si="196"/>
        <v>Week 12 - scott over perry  (4.8%)</v>
      </c>
      <c r="Z36" s="31" t="e">
        <f t="shared" ref="Z36" si="259">IF(Z25&gt;0,_xlfn.RANK.EQ(Z25,$X25:$AP25),"")</f>
        <v>#N/A</v>
      </c>
      <c r="AA36" t="e">
        <f t="shared" si="207"/>
        <v>#N/A</v>
      </c>
      <c r="AB36" s="31" t="e">
        <f t="shared" ref="AB36" si="260">IF(AB25&gt;0,_xlfn.RANK.EQ(AB25,$X25:$AP25),"")</f>
        <v>#N/A</v>
      </c>
      <c r="AC36" t="str">
        <f t="shared" si="207"/>
        <v>Week 12 - aj over comp  (1.2%)</v>
      </c>
      <c r="AD36" s="31" t="e">
        <f t="shared" ref="AD36" si="261">IF(AD25&gt;0,_xlfn.RANK.EQ(AD25,$X25:$AP25),"")</f>
        <v>#N/A</v>
      </c>
      <c r="AE36" t="str">
        <f t="shared" si="207"/>
        <v>Week 12 - matty over devon  (0.7%)</v>
      </c>
      <c r="AF36" s="31" t="e">
        <f t="shared" ref="AF36" si="262">IF(AF25&gt;0,_xlfn.RANK.EQ(AF25,$X25:$AP25),"")</f>
        <v>#N/A</v>
      </c>
      <c r="AG36" t="str">
        <f t="shared" si="207"/>
        <v>Week 12 - chad over seth  (0.1%)</v>
      </c>
      <c r="AH36" s="31" t="e">
        <f t="shared" ref="AH36" si="263">IF(AH25&gt;0,_xlfn.RANK.EQ(AH25,$X25:$AP25),"")</f>
        <v>#N/A</v>
      </c>
      <c r="AI36" t="str">
        <f t="shared" si="207"/>
        <v>Week 13 - cory over scott  (16.1%)</v>
      </c>
      <c r="AJ36" s="31" t="e">
        <f t="shared" ref="AJ36" si="264">IF(AJ25&gt;0,_xlfn.RANK.EQ(AJ25,$X25:$AP25),"")</f>
        <v>#N/A</v>
      </c>
      <c r="AK36" t="str">
        <f t="shared" si="207"/>
        <v>Week 13 - matty over aj  (1.4%)</v>
      </c>
      <c r="AL36" s="31" t="e">
        <f t="shared" ref="AL36" si="265">IF(AL25&gt;0,_xlfn.RANK.EQ(AL25,$X25:$AP25),"")</f>
        <v>#N/A</v>
      </c>
      <c r="AM36" t="str">
        <f t="shared" si="207"/>
        <v>Week 13 - perry over devon  (0.8%)</v>
      </c>
      <c r="AN36" s="31" t="e">
        <f t="shared" ref="AN36" si="266">IF(AN25&gt;0,_xlfn.RANK.EQ(AN25,$X25:$AP25),"")</f>
        <v>#N/A</v>
      </c>
      <c r="AO36" t="str">
        <f t="shared" si="207"/>
        <v>Week 13 - chad over comp  (0.6%)</v>
      </c>
      <c r="AP36" s="31" t="e">
        <f t="shared" ref="AP36" si="267">IF(AP25&gt;0,_xlfn.RANK.EQ(AP25,$X25:$AP25),"")</f>
        <v>#N/A</v>
      </c>
      <c r="AQ36" t="e">
        <f t="shared" si="207"/>
        <v>#N/A</v>
      </c>
      <c r="AW36" s="34">
        <f t="shared" si="205"/>
        <v>9</v>
      </c>
      <c r="AX36" s="91" t="e">
        <f t="shared" si="194"/>
        <v>#N/A</v>
      </c>
      <c r="AY36" s="91" t="e">
        <f t="shared" si="194"/>
        <v>#N/A</v>
      </c>
      <c r="AZ36" s="91" t="e">
        <f t="shared" si="194"/>
        <v>#N/A</v>
      </c>
      <c r="BA36" s="91" t="e">
        <f t="shared" si="194"/>
        <v>#N/A</v>
      </c>
      <c r="BB36" s="91" t="e">
        <f t="shared" si="194"/>
        <v>#N/A</v>
      </c>
      <c r="BC36" s="91" t="e">
        <f t="shared" si="194"/>
        <v>#N/A</v>
      </c>
      <c r="BD36" s="91" t="e">
        <f t="shared" si="194"/>
        <v>#N/A</v>
      </c>
      <c r="BE36" s="91" t="e">
        <f t="shared" si="194"/>
        <v>#N/A</v>
      </c>
      <c r="BF36" s="91" t="e">
        <f t="shared" si="194"/>
        <v>#N/A</v>
      </c>
      <c r="BG36" s="91" t="e">
        <f t="shared" si="194"/>
        <v>#N/A</v>
      </c>
    </row>
    <row r="37" spans="15:59" x14ac:dyDescent="0.25">
      <c r="O37" s="21"/>
      <c r="P37" s="21"/>
      <c r="Q37" s="21"/>
      <c r="R37" s="21"/>
      <c r="S37" s="21"/>
      <c r="T37" s="21"/>
      <c r="X37" s="31" t="e">
        <f t="shared" si="195"/>
        <v>#N/A</v>
      </c>
      <c r="Y37" t="str">
        <f t="shared" si="196"/>
        <v>Week 12 - scott over perry  (4.8%)</v>
      </c>
      <c r="Z37" s="31" t="e">
        <f t="shared" ref="Z37" si="268">IF(Z26&gt;0,_xlfn.RANK.EQ(Z26,$X26:$AP26),"")</f>
        <v>#N/A</v>
      </c>
      <c r="AA37" t="e">
        <f t="shared" si="207"/>
        <v>#N/A</v>
      </c>
      <c r="AB37" s="31" t="e">
        <f t="shared" ref="AB37" si="269">IF(AB26&gt;0,_xlfn.RANK.EQ(AB26,$X26:$AP26),"")</f>
        <v>#N/A</v>
      </c>
      <c r="AC37" t="str">
        <f t="shared" si="207"/>
        <v>Week 12 - aj over comp  (1.2%)</v>
      </c>
      <c r="AD37" s="31" t="e">
        <f t="shared" ref="AD37" si="270">IF(AD26&gt;0,_xlfn.RANK.EQ(AD26,$X26:$AP26),"")</f>
        <v>#N/A</v>
      </c>
      <c r="AE37" t="str">
        <f t="shared" si="207"/>
        <v>Week 12 - matty over devon  (0.7%)</v>
      </c>
      <c r="AF37" s="31" t="e">
        <f t="shared" ref="AF37" si="271">IF(AF26&gt;0,_xlfn.RANK.EQ(AF26,$X26:$AP26),"")</f>
        <v>#N/A</v>
      </c>
      <c r="AG37" t="str">
        <f t="shared" si="207"/>
        <v>Week 12 - chad over seth  (0.1%)</v>
      </c>
      <c r="AH37" s="31" t="e">
        <f t="shared" ref="AH37" si="272">IF(AH26&gt;0,_xlfn.RANK.EQ(AH26,$X26:$AP26),"")</f>
        <v>#N/A</v>
      </c>
      <c r="AI37" t="str">
        <f t="shared" si="207"/>
        <v>Week 13 - cory over scott  (16.1%)</v>
      </c>
      <c r="AJ37" s="31" t="e">
        <f t="shared" ref="AJ37" si="273">IF(AJ26&gt;0,_xlfn.RANK.EQ(AJ26,$X26:$AP26),"")</f>
        <v>#N/A</v>
      </c>
      <c r="AK37" t="str">
        <f t="shared" si="207"/>
        <v>Week 13 - matty over aj  (1.4%)</v>
      </c>
      <c r="AL37" s="31" t="e">
        <f t="shared" ref="AL37" si="274">IF(AL26&gt;0,_xlfn.RANK.EQ(AL26,$X26:$AP26),"")</f>
        <v>#N/A</v>
      </c>
      <c r="AM37" t="str">
        <f t="shared" si="207"/>
        <v>Week 13 - perry over devon  (0.8%)</v>
      </c>
      <c r="AN37" s="31" t="e">
        <f t="shared" ref="AN37" si="275">IF(AN26&gt;0,_xlfn.RANK.EQ(AN26,$X26:$AP26),"")</f>
        <v>#N/A</v>
      </c>
      <c r="AO37" t="str">
        <f t="shared" si="207"/>
        <v>Week 13 - chad over comp  (0.6%)</v>
      </c>
      <c r="AP37" s="31" t="e">
        <f t="shared" ref="AP37" si="276">IF(AP26&gt;0,_xlfn.RANK.EQ(AP26,$X26:$AP26),"")</f>
        <v>#N/A</v>
      </c>
      <c r="AQ37" t="e">
        <f t="shared" si="207"/>
        <v>#N/A</v>
      </c>
      <c r="AW37" s="34">
        <f t="shared" si="205"/>
        <v>10</v>
      </c>
      <c r="AX37" s="91" t="e">
        <f t="shared" si="194"/>
        <v>#N/A</v>
      </c>
      <c r="AY37" s="91" t="e">
        <f t="shared" si="194"/>
        <v>#N/A</v>
      </c>
      <c r="AZ37" s="91" t="e">
        <f t="shared" si="194"/>
        <v>#N/A</v>
      </c>
      <c r="BA37" s="91" t="e">
        <f t="shared" si="194"/>
        <v>#N/A</v>
      </c>
      <c r="BB37" s="91" t="e">
        <f t="shared" si="194"/>
        <v>#N/A</v>
      </c>
      <c r="BC37" s="91" t="e">
        <f t="shared" si="194"/>
        <v>#N/A</v>
      </c>
      <c r="BD37" s="91" t="e">
        <f t="shared" si="194"/>
        <v>#N/A</v>
      </c>
      <c r="BE37" s="91" t="e">
        <f t="shared" si="194"/>
        <v>#N/A</v>
      </c>
      <c r="BF37" s="91" t="e">
        <f t="shared" si="194"/>
        <v>#N/A</v>
      </c>
      <c r="BG37" s="91" t="e">
        <f t="shared" si="194"/>
        <v>#N/A</v>
      </c>
    </row>
    <row r="38" spans="15:59" x14ac:dyDescent="0.25">
      <c r="O38" s="21"/>
      <c r="P38" s="21"/>
      <c r="Q38" s="21"/>
      <c r="R38" s="21"/>
      <c r="S38" s="21"/>
      <c r="T38" s="21"/>
      <c r="X38" s="31"/>
      <c r="Z38" s="31"/>
      <c r="AB38" s="31"/>
      <c r="AD38" s="31"/>
      <c r="AF38" s="31"/>
      <c r="AH38" s="31"/>
      <c r="AJ38" s="31"/>
      <c r="AL38" s="31"/>
      <c r="AN38" s="31"/>
      <c r="AP38" s="31"/>
    </row>
    <row r="39" spans="15:59" x14ac:dyDescent="0.25">
      <c r="O39" s="21"/>
      <c r="P39" s="21"/>
      <c r="Q39" s="21"/>
      <c r="R39" s="21"/>
      <c r="S39" s="21"/>
      <c r="T39" s="21"/>
      <c r="X39" s="31"/>
      <c r="Z39" s="31"/>
      <c r="AB39" s="31"/>
      <c r="AD39" s="31"/>
      <c r="AF39" s="31"/>
      <c r="AH39" s="31"/>
      <c r="AJ39" s="31"/>
      <c r="AL39" s="31"/>
      <c r="AN39" s="31"/>
      <c r="AP39" s="31"/>
    </row>
    <row r="40" spans="15:59" x14ac:dyDescent="0.25">
      <c r="O40" s="21"/>
      <c r="P40" s="21"/>
      <c r="Q40" s="21"/>
      <c r="R40" s="21"/>
      <c r="S40" s="21"/>
      <c r="T40" s="21"/>
      <c r="X40" s="31"/>
      <c r="Z40" s="31"/>
      <c r="AB40" s="31"/>
      <c r="AD40" s="31"/>
      <c r="AF40" s="31"/>
      <c r="AH40" s="31"/>
      <c r="AJ40" s="31"/>
      <c r="AL40" s="31"/>
      <c r="AN40" s="31"/>
      <c r="AP40" s="31"/>
    </row>
    <row r="41" spans="15:59" x14ac:dyDescent="0.25">
      <c r="O41" s="21"/>
      <c r="P41" s="21"/>
      <c r="Q41" s="21"/>
      <c r="R41" s="21"/>
      <c r="S41" s="21"/>
      <c r="T41" s="21"/>
      <c r="X41" s="31"/>
      <c r="Z41" s="31"/>
      <c r="AB41" s="31"/>
      <c r="AD41" s="31"/>
      <c r="AF41" s="31"/>
      <c r="AH41" s="31"/>
      <c r="AJ41" s="31"/>
      <c r="AL41" s="31"/>
      <c r="AN41" s="31"/>
      <c r="AP41" s="31"/>
    </row>
    <row r="42" spans="15:59" x14ac:dyDescent="0.25">
      <c r="O42" s="21"/>
      <c r="P42" s="21"/>
      <c r="Q42" s="21"/>
      <c r="R42" s="21"/>
      <c r="S42" s="21"/>
      <c r="T42" s="21"/>
      <c r="X42" s="31"/>
      <c r="Z42" s="31"/>
      <c r="AB42" s="31"/>
      <c r="AD42" s="31"/>
      <c r="AF42" s="31"/>
      <c r="AH42" s="31"/>
      <c r="AJ42" s="31"/>
      <c r="AL42" s="31"/>
      <c r="AN42" s="31"/>
      <c r="AP42" s="31"/>
    </row>
    <row r="43" spans="15:59" x14ac:dyDescent="0.25">
      <c r="O43" s="21"/>
      <c r="P43" s="21"/>
      <c r="Q43" s="21"/>
      <c r="R43" s="21"/>
      <c r="S43" s="21"/>
      <c r="T43" s="21"/>
      <c r="X43" s="31"/>
      <c r="Z43" s="31"/>
      <c r="AB43" s="31"/>
      <c r="AD43" s="31"/>
      <c r="AF43" s="31"/>
      <c r="AH43" s="31"/>
      <c r="AJ43" s="31"/>
      <c r="AL43" s="31"/>
      <c r="AN43" s="31"/>
      <c r="AP43" s="31"/>
    </row>
    <row r="44" spans="15:59" x14ac:dyDescent="0.25">
      <c r="O44" s="21"/>
      <c r="P44" s="21"/>
      <c r="Q44" s="21"/>
      <c r="R44" s="21"/>
      <c r="S44" s="21"/>
      <c r="T44" s="21"/>
      <c r="X44" s="31"/>
      <c r="Z44" s="31"/>
      <c r="AB44" s="31"/>
      <c r="AD44" s="31"/>
      <c r="AF44" s="31"/>
      <c r="AH44" s="31"/>
      <c r="AJ44" s="31"/>
      <c r="AL44" s="31"/>
      <c r="AN44" s="31"/>
      <c r="AP44" s="31"/>
    </row>
    <row r="45" spans="15:59" x14ac:dyDescent="0.25">
      <c r="O45" s="21"/>
      <c r="P45" s="21"/>
      <c r="Q45" s="21"/>
      <c r="R45" s="21"/>
      <c r="S45" s="21"/>
      <c r="T45" s="21"/>
      <c r="X45" s="31"/>
      <c r="Z45" s="31"/>
      <c r="AB45" s="31"/>
      <c r="AD45" s="31"/>
      <c r="AF45" s="31"/>
      <c r="AH45" s="31"/>
      <c r="AJ45" s="31"/>
      <c r="AL45" s="31"/>
      <c r="AN45" s="31"/>
      <c r="AP45" s="31"/>
    </row>
    <row r="46" spans="15:59" x14ac:dyDescent="0.25">
      <c r="O46" s="21"/>
      <c r="P46" s="21"/>
      <c r="Q46" s="21"/>
      <c r="R46" s="21"/>
      <c r="S46" s="21"/>
      <c r="T46" s="21"/>
      <c r="X46" s="31"/>
      <c r="Z46" s="31"/>
      <c r="AB46" s="31"/>
      <c r="AD46" s="31"/>
      <c r="AF46" s="31"/>
      <c r="AH46" s="31"/>
      <c r="AJ46" s="31"/>
      <c r="AL46" s="31"/>
      <c r="AN46" s="31"/>
      <c r="AP46" s="31"/>
    </row>
    <row r="47" spans="15:59" x14ac:dyDescent="0.25">
      <c r="O47" s="21"/>
      <c r="P47" s="21"/>
      <c r="Q47" s="21"/>
      <c r="R47" s="21"/>
      <c r="S47" s="21"/>
      <c r="T47" s="21"/>
      <c r="X47" s="31"/>
      <c r="Z47" s="31"/>
      <c r="AB47" s="31"/>
      <c r="AD47" s="31"/>
      <c r="AF47" s="31"/>
      <c r="AH47" s="31"/>
      <c r="AJ47" s="31"/>
      <c r="AL47" s="31"/>
      <c r="AN47" s="31"/>
      <c r="AP47" s="31"/>
    </row>
    <row r="48" spans="15:59" x14ac:dyDescent="0.25">
      <c r="O48" s="21"/>
      <c r="P48" s="21"/>
      <c r="Q48" s="21"/>
      <c r="R48" s="21"/>
      <c r="S48" s="21"/>
      <c r="T48" s="21"/>
      <c r="X48" s="2"/>
      <c r="Z48" s="2"/>
      <c r="AB48" s="2"/>
      <c r="AD48" s="2"/>
      <c r="AF48" s="2"/>
      <c r="AH48" s="2"/>
      <c r="AJ48" s="2"/>
      <c r="AL48" s="2"/>
      <c r="AN48" s="2"/>
      <c r="AP48" s="2"/>
    </row>
    <row r="49" spans="1:42" x14ac:dyDescent="0.25">
      <c r="O49" s="21"/>
      <c r="P49" s="21"/>
      <c r="Q49" s="21"/>
      <c r="R49" s="21"/>
      <c r="S49" s="21"/>
      <c r="T49" s="21"/>
      <c r="X49" s="2"/>
      <c r="Z49" s="2"/>
      <c r="AB49" s="2"/>
      <c r="AD49" s="2"/>
      <c r="AF49" s="2"/>
      <c r="AH49" s="2"/>
      <c r="AJ49" s="2"/>
      <c r="AL49" s="2"/>
      <c r="AN49" s="2"/>
      <c r="AP49" s="2"/>
    </row>
    <row r="50" spans="1:42" x14ac:dyDescent="0.25">
      <c r="O50" s="21"/>
      <c r="P50" s="21"/>
      <c r="Q50" s="21"/>
      <c r="R50" s="21"/>
      <c r="S50" s="21"/>
      <c r="T50" s="21"/>
    </row>
    <row r="51" spans="1:42" x14ac:dyDescent="0.25">
      <c r="O51" s="21"/>
      <c r="P51" s="21"/>
      <c r="Q51" s="21"/>
      <c r="R51" s="21"/>
      <c r="S51" s="21"/>
      <c r="T51" s="21"/>
    </row>
    <row r="52" spans="1:42" x14ac:dyDescent="0.25">
      <c r="N52" s="22"/>
    </row>
    <row r="53" spans="1:42" x14ac:dyDescent="0.25">
      <c r="A53" t="s">
        <v>99</v>
      </c>
    </row>
    <row r="54" spans="1:42" x14ac:dyDescent="0.25">
      <c r="A54" s="27">
        <v>11</v>
      </c>
    </row>
    <row r="57" spans="1:42" x14ac:dyDescent="0.25">
      <c r="A57" t="s">
        <v>173</v>
      </c>
      <c r="B57" t="s">
        <v>174</v>
      </c>
      <c r="C57">
        <v>1</v>
      </c>
      <c r="D57">
        <v>2</v>
      </c>
      <c r="E57">
        <v>3</v>
      </c>
      <c r="F57">
        <v>4</v>
      </c>
      <c r="G57">
        <v>5</v>
      </c>
      <c r="H57">
        <v>6</v>
      </c>
      <c r="I57">
        <v>7</v>
      </c>
      <c r="J57">
        <v>8</v>
      </c>
      <c r="K57">
        <v>9</v>
      </c>
      <c r="L57">
        <v>10</v>
      </c>
    </row>
    <row r="58" spans="1:42" x14ac:dyDescent="0.25">
      <c r="A58" t="s">
        <v>11</v>
      </c>
      <c r="B58" t="s">
        <v>11</v>
      </c>
      <c r="C58">
        <v>4.4089058635239403E-2</v>
      </c>
      <c r="D58">
        <v>-5.3851803803092298E-2</v>
      </c>
      <c r="E58">
        <v>-1.25951958904602E-3</v>
      </c>
      <c r="F58">
        <v>1.01723714172119E-3</v>
      </c>
      <c r="G58">
        <v>7.2359669169659302E-3</v>
      </c>
      <c r="H58">
        <v>-4.2053823287584403E-3</v>
      </c>
      <c r="I58">
        <v>-8.9496332849055699E-2</v>
      </c>
      <c r="J58">
        <v>-1.2601934357229199E-3</v>
      </c>
      <c r="K58">
        <v>1.55731538220694E-3</v>
      </c>
      <c r="L58">
        <v>5.9470564932254798E-2</v>
      </c>
      <c r="N58" t="str">
        <f>A58&amp;B58</f>
        <v>scottscott</v>
      </c>
    </row>
    <row r="59" spans="1:42" x14ac:dyDescent="0.25">
      <c r="A59" t="s">
        <v>15</v>
      </c>
      <c r="B59" t="s">
        <v>11</v>
      </c>
      <c r="C59">
        <v>-8.8016758329695896E-2</v>
      </c>
      <c r="D59">
        <v>0.10750651857117501</v>
      </c>
      <c r="E59">
        <v>-4.2639141916578898E-3</v>
      </c>
      <c r="F59" s="32">
        <v>-3.7850869266609098E-5</v>
      </c>
      <c r="G59">
        <v>-2.29010120796602E-3</v>
      </c>
      <c r="H59">
        <v>1.3309556637783901E-3</v>
      </c>
      <c r="I59">
        <v>-4.7891017484093497E-3</v>
      </c>
      <c r="J59" s="32">
        <v>4.6891147629068999E-5</v>
      </c>
      <c r="K59">
        <v>5.2720570738471499E-3</v>
      </c>
      <c r="L59">
        <v>3.1823715836080098E-3</v>
      </c>
      <c r="N59" t="str">
        <f t="shared" ref="N59:N122" si="277">A59&amp;B59</f>
        <v>coryscott</v>
      </c>
    </row>
    <row r="60" spans="1:42" x14ac:dyDescent="0.25">
      <c r="A60" t="s">
        <v>17</v>
      </c>
      <c r="B60" t="s">
        <v>11</v>
      </c>
      <c r="C60" s="32">
        <v>7.2420936999854097E-3</v>
      </c>
      <c r="D60" s="32">
        <v>-8.8457277412475905E-3</v>
      </c>
      <c r="E60">
        <v>9.8460399016025796E-2</v>
      </c>
      <c r="F60">
        <v>1.5258933024903101E-3</v>
      </c>
      <c r="G60">
        <v>-3.07795951681361E-3</v>
      </c>
      <c r="H60">
        <v>1.78884131300994E-3</v>
      </c>
      <c r="I60">
        <v>-5.31967987575777E-3</v>
      </c>
      <c r="J60">
        <v>-1.89033672144362E-3</v>
      </c>
      <c r="K60">
        <v>-0.121739983450374</v>
      </c>
      <c r="L60">
        <v>3.53494224175238E-3</v>
      </c>
      <c r="N60" t="str">
        <f t="shared" si="277"/>
        <v>ajscott</v>
      </c>
    </row>
    <row r="61" spans="1:42" x14ac:dyDescent="0.25">
      <c r="A61" t="s">
        <v>18</v>
      </c>
      <c r="B61" t="s">
        <v>11</v>
      </c>
      <c r="C61" s="32">
        <v>-2.8857194820311499E-3</v>
      </c>
      <c r="D61">
        <v>3.5247112137906699E-3</v>
      </c>
      <c r="E61" s="32">
        <v>-2.0782132908873699E-3</v>
      </c>
      <c r="F61">
        <v>9.9601675281020693E-2</v>
      </c>
      <c r="G61">
        <v>6.5409565785177802E-3</v>
      </c>
      <c r="H61">
        <v>-3.8014578458035499E-3</v>
      </c>
      <c r="I61">
        <v>7.36649716948051E-3</v>
      </c>
      <c r="J61">
        <v>-0.123390478216093</v>
      </c>
      <c r="K61">
        <v>2.5695777608802902E-3</v>
      </c>
      <c r="L61">
        <v>-4.8950580911481497E-3</v>
      </c>
      <c r="N61" t="str">
        <f t="shared" si="277"/>
        <v>devonscott</v>
      </c>
    </row>
    <row r="62" spans="1:42" x14ac:dyDescent="0.25">
      <c r="A62" t="s">
        <v>19</v>
      </c>
      <c r="B62" t="s">
        <v>11</v>
      </c>
      <c r="C62">
        <v>4.5923876036665402E-3</v>
      </c>
      <c r="D62">
        <v>-5.6092909187844299E-3</v>
      </c>
      <c r="E62" s="32">
        <v>-2.8280693123032799E-3</v>
      </c>
      <c r="F62">
        <v>3.1669208804713201E-4</v>
      </c>
      <c r="G62">
        <v>0.115679468930243</v>
      </c>
      <c r="H62">
        <v>-6.7230323192713895E-2</v>
      </c>
      <c r="I62">
        <v>-4.1704523821450802E-4</v>
      </c>
      <c r="J62">
        <v>-3.9233063180049699E-4</v>
      </c>
      <c r="K62">
        <v>3.4967267522476001E-3</v>
      </c>
      <c r="L62">
        <v>2.7712773394589202E-4</v>
      </c>
      <c r="N62" t="str">
        <f t="shared" si="277"/>
        <v>compscott</v>
      </c>
    </row>
    <row r="63" spans="1:42" x14ac:dyDescent="0.25">
      <c r="A63" t="s">
        <v>21</v>
      </c>
      <c r="B63" t="s">
        <v>11</v>
      </c>
      <c r="C63" s="32">
        <v>-1.9340317183180701E-4</v>
      </c>
      <c r="D63" s="32">
        <v>2.3622889639241001E-4</v>
      </c>
      <c r="E63" s="32">
        <v>6.6376080743768605E-4</v>
      </c>
      <c r="F63" s="32">
        <v>-1.60301225286441E-3</v>
      </c>
      <c r="G63" s="32">
        <v>-0.133953224507563</v>
      </c>
      <c r="H63" s="32">
        <v>7.7850621719056295E-2</v>
      </c>
      <c r="I63" s="32">
        <v>7.44818295676564E-3</v>
      </c>
      <c r="J63" s="32">
        <v>1.9858747145479199E-3</v>
      </c>
      <c r="K63" s="32">
        <v>-8.2069776803683802E-4</v>
      </c>
      <c r="L63" s="32">
        <v>-4.9493385265821904E-3</v>
      </c>
      <c r="N63" t="str">
        <f t="shared" si="277"/>
        <v>chadscott</v>
      </c>
    </row>
    <row r="64" spans="1:42" x14ac:dyDescent="0.25">
      <c r="A64" t="s">
        <v>217</v>
      </c>
      <c r="B64" t="s">
        <v>11</v>
      </c>
      <c r="C64">
        <v>2.3916135603084801E-3</v>
      </c>
      <c r="D64">
        <v>-2.92119424204729E-3</v>
      </c>
      <c r="E64">
        <v>-4.0515877437326004E-3</v>
      </c>
      <c r="F64">
        <v>3.3076372573825902E-4</v>
      </c>
      <c r="G64">
        <v>-3.8259788878006202E-3</v>
      </c>
      <c r="H64">
        <v>2.2235734615141398E-3</v>
      </c>
      <c r="I64">
        <v>0.11456564901558</v>
      </c>
      <c r="J64">
        <v>-4.0976313079299498E-4</v>
      </c>
      <c r="K64">
        <v>5.0095290065751402E-3</v>
      </c>
      <c r="L64">
        <v>-7.6129196045141304E-2</v>
      </c>
      <c r="N64" t="str">
        <f t="shared" si="277"/>
        <v>lucasscott</v>
      </c>
    </row>
    <row r="65" spans="1:14" x14ac:dyDescent="0.25">
      <c r="A65" t="s">
        <v>24</v>
      </c>
      <c r="B65" t="s">
        <v>11</v>
      </c>
      <c r="C65">
        <v>-3.8904190309908501E-3</v>
      </c>
      <c r="D65">
        <v>4.7518837746578502E-3</v>
      </c>
      <c r="E65">
        <v>-1.9851445212168998E-3</v>
      </c>
      <c r="F65">
        <v>-0.101732538764593</v>
      </c>
      <c r="G65">
        <v>5.3908967243443398E-3</v>
      </c>
      <c r="H65">
        <v>-3.13306874960473E-3</v>
      </c>
      <c r="I65" s="32">
        <v>4.8367090827112803E-3</v>
      </c>
      <c r="J65">
        <v>0.126030275825012</v>
      </c>
      <c r="K65">
        <v>2.45450418213533E-3</v>
      </c>
      <c r="L65" s="32">
        <v>-3.2140067911714501E-3</v>
      </c>
      <c r="N65" t="str">
        <f t="shared" si="277"/>
        <v>perryscott</v>
      </c>
    </row>
    <row r="66" spans="1:14" x14ac:dyDescent="0.25">
      <c r="A66" t="s">
        <v>26</v>
      </c>
      <c r="B66" t="s">
        <v>11</v>
      </c>
      <c r="C66">
        <v>3.8436301469518298E-3</v>
      </c>
      <c r="D66">
        <v>-4.6947343166874001E-3</v>
      </c>
      <c r="E66">
        <v>-8.0618074376876597E-2</v>
      </c>
      <c r="F66">
        <v>6.3766689557956402E-4</v>
      </c>
      <c r="G66">
        <v>1.0589955381434301E-3</v>
      </c>
      <c r="H66">
        <v>-6.1546454999683597E-4</v>
      </c>
      <c r="I66">
        <v>-4.3446024748259003E-3</v>
      </c>
      <c r="J66">
        <v>-7.8996686517710001E-4</v>
      </c>
      <c r="K66">
        <v>9.9679090665116002E-2</v>
      </c>
      <c r="L66">
        <v>2.8870005659309399E-3</v>
      </c>
      <c r="N66" t="str">
        <f t="shared" si="277"/>
        <v>mattyscott</v>
      </c>
    </row>
    <row r="67" spans="1:14" x14ac:dyDescent="0.25">
      <c r="A67" t="s">
        <v>29</v>
      </c>
      <c r="B67" t="s">
        <v>11</v>
      </c>
      <c r="C67">
        <v>-3.8567146806339802E-4</v>
      </c>
      <c r="D67">
        <v>4.7107161897996802E-4</v>
      </c>
      <c r="E67">
        <v>-4.9012480555654702E-4</v>
      </c>
      <c r="F67">
        <v>1.1913152853579899E-3</v>
      </c>
      <c r="G67">
        <v>6.1821786919142897E-3</v>
      </c>
      <c r="H67">
        <v>-3.5929441528049799E-3</v>
      </c>
      <c r="I67">
        <v>-0.12621181503932699</v>
      </c>
      <c r="J67">
        <v>-1.4758482962432E-3</v>
      </c>
      <c r="K67">
        <v>6.0600796171228499E-4</v>
      </c>
      <c r="L67">
        <v>8.3868106128699396E-2</v>
      </c>
      <c r="N67" t="str">
        <f t="shared" si="277"/>
        <v>sethscott</v>
      </c>
    </row>
    <row r="68" spans="1:14" x14ac:dyDescent="0.25">
      <c r="A68" t="s">
        <v>11</v>
      </c>
      <c r="B68" t="s">
        <v>15</v>
      </c>
      <c r="C68">
        <v>4.4089058635239403E-2</v>
      </c>
      <c r="D68">
        <v>-5.3851803803092298E-2</v>
      </c>
      <c r="E68">
        <v>-1.25951958904602E-3</v>
      </c>
      <c r="F68">
        <v>1.01723714172119E-3</v>
      </c>
      <c r="G68">
        <v>7.2359669169659302E-3</v>
      </c>
      <c r="H68">
        <v>-4.2053823287584403E-3</v>
      </c>
      <c r="I68">
        <v>-8.9496332849055699E-2</v>
      </c>
      <c r="J68">
        <v>-1.2601934357229199E-3</v>
      </c>
      <c r="K68">
        <v>1.55731538220694E-3</v>
      </c>
      <c r="L68">
        <v>5.9470564932254798E-2</v>
      </c>
      <c r="N68" t="str">
        <f t="shared" si="277"/>
        <v>scottcory</v>
      </c>
    </row>
    <row r="69" spans="1:14" x14ac:dyDescent="0.25">
      <c r="A69" t="s">
        <v>15</v>
      </c>
      <c r="B69" t="s">
        <v>15</v>
      </c>
      <c r="C69">
        <v>-8.8016758329695896E-2</v>
      </c>
      <c r="D69">
        <v>0.10750651857117501</v>
      </c>
      <c r="E69">
        <v>-4.2639141916578898E-3</v>
      </c>
      <c r="F69" s="32">
        <v>-3.7850869266609098E-5</v>
      </c>
      <c r="G69">
        <v>-2.29010120796602E-3</v>
      </c>
      <c r="H69">
        <v>1.3309556637783901E-3</v>
      </c>
      <c r="I69">
        <v>-4.7891017484093497E-3</v>
      </c>
      <c r="J69" s="32">
        <v>4.6891147629068999E-5</v>
      </c>
      <c r="K69">
        <v>5.2720570738471499E-3</v>
      </c>
      <c r="L69">
        <v>3.1823715836080098E-3</v>
      </c>
      <c r="N69" t="str">
        <f t="shared" si="277"/>
        <v>corycory</v>
      </c>
    </row>
    <row r="70" spans="1:14" x14ac:dyDescent="0.25">
      <c r="A70" t="s">
        <v>17</v>
      </c>
      <c r="B70" t="s">
        <v>15</v>
      </c>
      <c r="C70" s="32">
        <v>7.2420936999854097E-3</v>
      </c>
      <c r="D70" s="32">
        <v>-8.8457277412475905E-3</v>
      </c>
      <c r="E70">
        <v>9.8460399016025796E-2</v>
      </c>
      <c r="F70">
        <v>1.5258933024903101E-3</v>
      </c>
      <c r="G70">
        <v>-3.07795951681361E-3</v>
      </c>
      <c r="H70">
        <v>1.78884131300994E-3</v>
      </c>
      <c r="I70">
        <v>-5.31967987575777E-3</v>
      </c>
      <c r="J70">
        <v>-1.89033672144362E-3</v>
      </c>
      <c r="K70">
        <v>-0.121739983450374</v>
      </c>
      <c r="L70">
        <v>3.53494224175238E-3</v>
      </c>
      <c r="N70" t="str">
        <f t="shared" si="277"/>
        <v>ajcory</v>
      </c>
    </row>
    <row r="71" spans="1:14" x14ac:dyDescent="0.25">
      <c r="A71" t="s">
        <v>18</v>
      </c>
      <c r="B71" t="s">
        <v>15</v>
      </c>
      <c r="C71" s="32">
        <v>-2.8857194820311499E-3</v>
      </c>
      <c r="D71">
        <v>3.5247112137906699E-3</v>
      </c>
      <c r="E71" s="32">
        <v>-2.0782132908873699E-3</v>
      </c>
      <c r="F71">
        <v>9.9601675281020693E-2</v>
      </c>
      <c r="G71">
        <v>6.5409565785177802E-3</v>
      </c>
      <c r="H71">
        <v>-3.8014578458035499E-3</v>
      </c>
      <c r="I71">
        <v>7.36649716948051E-3</v>
      </c>
      <c r="J71">
        <v>-0.123390478216093</v>
      </c>
      <c r="K71">
        <v>2.5695777608802902E-3</v>
      </c>
      <c r="L71">
        <v>-4.8950580911481497E-3</v>
      </c>
      <c r="N71" t="str">
        <f t="shared" si="277"/>
        <v>devoncory</v>
      </c>
    </row>
    <row r="72" spans="1:14" x14ac:dyDescent="0.25">
      <c r="A72" t="s">
        <v>19</v>
      </c>
      <c r="B72" t="s">
        <v>15</v>
      </c>
      <c r="C72">
        <v>4.5923876036665402E-3</v>
      </c>
      <c r="D72">
        <v>-5.6092909187844299E-3</v>
      </c>
      <c r="E72" s="32">
        <v>-2.8280693123032799E-3</v>
      </c>
      <c r="F72">
        <v>3.1669208804713201E-4</v>
      </c>
      <c r="G72">
        <v>0.115679468930243</v>
      </c>
      <c r="H72">
        <v>-6.7230323192713895E-2</v>
      </c>
      <c r="I72">
        <v>-4.1704523821450802E-4</v>
      </c>
      <c r="J72">
        <v>-3.9233063180049699E-4</v>
      </c>
      <c r="K72">
        <v>3.4967267522476001E-3</v>
      </c>
      <c r="L72">
        <v>2.7712773394589202E-4</v>
      </c>
      <c r="N72" t="str">
        <f t="shared" si="277"/>
        <v>compcory</v>
      </c>
    </row>
    <row r="73" spans="1:14" x14ac:dyDescent="0.25">
      <c r="A73" t="s">
        <v>21</v>
      </c>
      <c r="B73" t="s">
        <v>15</v>
      </c>
      <c r="C73" s="32">
        <v>-1.9340317183180701E-4</v>
      </c>
      <c r="D73" s="32">
        <v>2.3622889639241001E-4</v>
      </c>
      <c r="E73">
        <v>6.6376080743768605E-4</v>
      </c>
      <c r="F73">
        <v>-1.60301225286441E-3</v>
      </c>
      <c r="G73">
        <v>-0.133953224507563</v>
      </c>
      <c r="H73">
        <v>7.7850621719056295E-2</v>
      </c>
      <c r="I73">
        <v>7.44818295676564E-3</v>
      </c>
      <c r="J73">
        <v>1.9858747145479199E-3</v>
      </c>
      <c r="K73">
        <v>-8.2069776803683802E-4</v>
      </c>
      <c r="L73">
        <v>-4.9493385265821904E-3</v>
      </c>
      <c r="N73" t="str">
        <f t="shared" si="277"/>
        <v>chadcory</v>
      </c>
    </row>
    <row r="74" spans="1:14" x14ac:dyDescent="0.25">
      <c r="A74" t="s">
        <v>217</v>
      </c>
      <c r="B74" t="s">
        <v>15</v>
      </c>
      <c r="C74">
        <v>2.3916135603084801E-3</v>
      </c>
      <c r="D74">
        <v>-2.92119424204729E-3</v>
      </c>
      <c r="E74">
        <v>-4.0515877437326004E-3</v>
      </c>
      <c r="F74">
        <v>3.3076372573825902E-4</v>
      </c>
      <c r="G74">
        <v>-3.8259788878006202E-3</v>
      </c>
      <c r="H74">
        <v>2.2235734615141398E-3</v>
      </c>
      <c r="I74">
        <v>0.11456564901558</v>
      </c>
      <c r="J74">
        <v>-4.0976313079299498E-4</v>
      </c>
      <c r="K74">
        <v>5.0095290065751402E-3</v>
      </c>
      <c r="L74">
        <v>-7.6129196045141304E-2</v>
      </c>
      <c r="N74" t="str">
        <f t="shared" si="277"/>
        <v>lucascory</v>
      </c>
    </row>
    <row r="75" spans="1:14" x14ac:dyDescent="0.25">
      <c r="A75" t="s">
        <v>24</v>
      </c>
      <c r="B75" t="s">
        <v>15</v>
      </c>
      <c r="C75">
        <v>-3.8904190309908501E-3</v>
      </c>
      <c r="D75">
        <v>4.7518837746578502E-3</v>
      </c>
      <c r="E75">
        <v>-1.9851445212168998E-3</v>
      </c>
      <c r="F75">
        <v>-0.101732538764593</v>
      </c>
      <c r="G75">
        <v>5.3908967243443398E-3</v>
      </c>
      <c r="H75">
        <v>-3.13306874960473E-3</v>
      </c>
      <c r="I75" s="32">
        <v>4.8367090827112803E-3</v>
      </c>
      <c r="J75">
        <v>0.126030275825012</v>
      </c>
      <c r="K75">
        <v>2.45450418213533E-3</v>
      </c>
      <c r="L75" s="32">
        <v>-3.2140067911714501E-3</v>
      </c>
      <c r="N75" t="str">
        <f t="shared" si="277"/>
        <v>perrycory</v>
      </c>
    </row>
    <row r="76" spans="1:14" x14ac:dyDescent="0.25">
      <c r="A76" t="s">
        <v>26</v>
      </c>
      <c r="B76" t="s">
        <v>15</v>
      </c>
      <c r="C76">
        <v>3.8436301469518298E-3</v>
      </c>
      <c r="D76">
        <v>-4.6947343166874001E-3</v>
      </c>
      <c r="E76">
        <v>-8.0618074376876597E-2</v>
      </c>
      <c r="F76">
        <v>6.3766689557956402E-4</v>
      </c>
      <c r="G76">
        <v>1.0589955381434301E-3</v>
      </c>
      <c r="H76">
        <v>-6.1546454999683597E-4</v>
      </c>
      <c r="I76">
        <v>-4.3446024748259003E-3</v>
      </c>
      <c r="J76">
        <v>-7.8996686517710001E-4</v>
      </c>
      <c r="K76">
        <v>9.9679090665116002E-2</v>
      </c>
      <c r="L76">
        <v>2.8870005659309399E-3</v>
      </c>
      <c r="N76" t="str">
        <f t="shared" si="277"/>
        <v>mattycory</v>
      </c>
    </row>
    <row r="77" spans="1:14" x14ac:dyDescent="0.25">
      <c r="A77" t="s">
        <v>29</v>
      </c>
      <c r="B77" t="s">
        <v>15</v>
      </c>
      <c r="C77">
        <v>-3.8567146806339802E-4</v>
      </c>
      <c r="D77">
        <v>4.7107161897996802E-4</v>
      </c>
      <c r="E77">
        <v>-4.9012480555654702E-4</v>
      </c>
      <c r="F77">
        <v>1.1913152853579899E-3</v>
      </c>
      <c r="G77">
        <v>6.1821786919142897E-3</v>
      </c>
      <c r="H77">
        <v>-3.5929441528049799E-3</v>
      </c>
      <c r="I77">
        <v>-0.12621181503932699</v>
      </c>
      <c r="J77">
        <v>-1.4758482962432E-3</v>
      </c>
      <c r="K77">
        <v>6.0600796171228499E-4</v>
      </c>
      <c r="L77">
        <v>8.3868106128699396E-2</v>
      </c>
      <c r="N77" t="str">
        <f t="shared" si="277"/>
        <v>sethcory</v>
      </c>
    </row>
    <row r="78" spans="1:14" x14ac:dyDescent="0.25">
      <c r="A78" t="s">
        <v>11</v>
      </c>
      <c r="B78" t="s">
        <v>17</v>
      </c>
      <c r="C78">
        <v>4.4089058635239403E-2</v>
      </c>
      <c r="D78">
        <v>-5.3851803803092298E-2</v>
      </c>
      <c r="E78">
        <v>-1.25951958904602E-3</v>
      </c>
      <c r="F78">
        <v>1.01723714172119E-3</v>
      </c>
      <c r="G78">
        <v>7.2359669169659302E-3</v>
      </c>
      <c r="H78">
        <v>-4.2053823287584403E-3</v>
      </c>
      <c r="I78">
        <v>-8.9496332849055699E-2</v>
      </c>
      <c r="J78">
        <v>-1.2601934357229199E-3</v>
      </c>
      <c r="K78">
        <v>1.55731538220694E-3</v>
      </c>
      <c r="L78">
        <v>5.9470564932254798E-2</v>
      </c>
      <c r="N78" t="str">
        <f t="shared" si="277"/>
        <v>scottaj</v>
      </c>
    </row>
    <row r="79" spans="1:14" x14ac:dyDescent="0.25">
      <c r="A79" t="s">
        <v>15</v>
      </c>
      <c r="B79" t="s">
        <v>17</v>
      </c>
      <c r="C79">
        <v>-8.8016758329695896E-2</v>
      </c>
      <c r="D79">
        <v>0.10750651857117501</v>
      </c>
      <c r="E79">
        <v>-4.2639141916578898E-3</v>
      </c>
      <c r="F79" s="32">
        <v>-3.7850869266609098E-5</v>
      </c>
      <c r="G79">
        <v>-2.29010120796602E-3</v>
      </c>
      <c r="H79">
        <v>1.3309556637783901E-3</v>
      </c>
      <c r="I79">
        <v>-4.7891017484093497E-3</v>
      </c>
      <c r="J79" s="32">
        <v>4.6891147629068999E-5</v>
      </c>
      <c r="K79">
        <v>5.2720570738471499E-3</v>
      </c>
      <c r="L79">
        <v>3.1823715836080098E-3</v>
      </c>
      <c r="N79" t="str">
        <f t="shared" si="277"/>
        <v>coryaj</v>
      </c>
    </row>
    <row r="80" spans="1:14" x14ac:dyDescent="0.25">
      <c r="A80" t="s">
        <v>17</v>
      </c>
      <c r="B80" t="s">
        <v>17</v>
      </c>
      <c r="C80" s="32">
        <v>7.2420936999854097E-3</v>
      </c>
      <c r="D80" s="32">
        <v>-8.8457277412475905E-3</v>
      </c>
      <c r="E80">
        <v>9.8460399016025796E-2</v>
      </c>
      <c r="F80">
        <v>1.5258933024903101E-3</v>
      </c>
      <c r="G80">
        <v>-3.07795951681361E-3</v>
      </c>
      <c r="H80">
        <v>1.78884131300994E-3</v>
      </c>
      <c r="I80">
        <v>-5.31967987575777E-3</v>
      </c>
      <c r="J80">
        <v>-1.89033672144362E-3</v>
      </c>
      <c r="K80">
        <v>-0.121739983450374</v>
      </c>
      <c r="L80">
        <v>3.53494224175238E-3</v>
      </c>
      <c r="N80" t="str">
        <f t="shared" si="277"/>
        <v>ajaj</v>
      </c>
    </row>
    <row r="81" spans="1:14" x14ac:dyDescent="0.25">
      <c r="A81" t="s">
        <v>18</v>
      </c>
      <c r="B81" t="s">
        <v>17</v>
      </c>
      <c r="C81" s="32">
        <v>-2.8857194820311499E-3</v>
      </c>
      <c r="D81">
        <v>3.5247112137906699E-3</v>
      </c>
      <c r="E81" s="32">
        <v>-2.0782132908873699E-3</v>
      </c>
      <c r="F81">
        <v>9.9601675281020693E-2</v>
      </c>
      <c r="G81">
        <v>6.5409565785177802E-3</v>
      </c>
      <c r="H81">
        <v>-3.8014578458035499E-3</v>
      </c>
      <c r="I81">
        <v>7.36649716948051E-3</v>
      </c>
      <c r="J81">
        <v>-0.123390478216093</v>
      </c>
      <c r="K81">
        <v>2.5695777608802902E-3</v>
      </c>
      <c r="L81">
        <v>-4.8950580911481497E-3</v>
      </c>
      <c r="N81" t="str">
        <f t="shared" si="277"/>
        <v>devonaj</v>
      </c>
    </row>
    <row r="82" spans="1:14" x14ac:dyDescent="0.25">
      <c r="A82" t="s">
        <v>19</v>
      </c>
      <c r="B82" t="s">
        <v>17</v>
      </c>
      <c r="C82">
        <v>4.5923876036665402E-3</v>
      </c>
      <c r="D82">
        <v>-5.6092909187844299E-3</v>
      </c>
      <c r="E82" s="32">
        <v>-2.8280693123032799E-3</v>
      </c>
      <c r="F82">
        <v>3.1669208804713201E-4</v>
      </c>
      <c r="G82">
        <v>0.115679468930243</v>
      </c>
      <c r="H82">
        <v>-6.7230323192713895E-2</v>
      </c>
      <c r="I82">
        <v>-4.1704523821450802E-4</v>
      </c>
      <c r="J82">
        <v>-3.9233063180049699E-4</v>
      </c>
      <c r="K82">
        <v>3.4967267522476001E-3</v>
      </c>
      <c r="L82">
        <v>2.7712773394589202E-4</v>
      </c>
      <c r="N82" t="str">
        <f t="shared" si="277"/>
        <v>compaj</v>
      </c>
    </row>
    <row r="83" spans="1:14" x14ac:dyDescent="0.25">
      <c r="A83" t="s">
        <v>21</v>
      </c>
      <c r="B83" t="s">
        <v>17</v>
      </c>
      <c r="C83" s="32">
        <v>-1.9340317183180701E-4</v>
      </c>
      <c r="D83" s="32">
        <v>2.3622889639241001E-4</v>
      </c>
      <c r="E83">
        <v>6.6376080743768605E-4</v>
      </c>
      <c r="F83">
        <v>-1.60301225286441E-3</v>
      </c>
      <c r="G83">
        <v>-0.133953224507563</v>
      </c>
      <c r="H83">
        <v>7.7850621719056295E-2</v>
      </c>
      <c r="I83">
        <v>7.44818295676564E-3</v>
      </c>
      <c r="J83">
        <v>1.9858747145479199E-3</v>
      </c>
      <c r="K83">
        <v>-8.2069776803683802E-4</v>
      </c>
      <c r="L83">
        <v>-4.9493385265821904E-3</v>
      </c>
      <c r="N83" t="str">
        <f t="shared" si="277"/>
        <v>chadaj</v>
      </c>
    </row>
    <row r="84" spans="1:14" x14ac:dyDescent="0.25">
      <c r="A84" t="s">
        <v>217</v>
      </c>
      <c r="B84" t="s">
        <v>17</v>
      </c>
      <c r="C84">
        <v>2.3916135603084801E-3</v>
      </c>
      <c r="D84">
        <v>-2.92119424204729E-3</v>
      </c>
      <c r="E84">
        <v>-4.0515877437326004E-3</v>
      </c>
      <c r="F84">
        <v>3.3076372573825902E-4</v>
      </c>
      <c r="G84">
        <v>-3.8259788878006202E-3</v>
      </c>
      <c r="H84">
        <v>2.2235734615141398E-3</v>
      </c>
      <c r="I84">
        <v>0.11456564901558</v>
      </c>
      <c r="J84">
        <v>-4.0976313079299498E-4</v>
      </c>
      <c r="K84">
        <v>5.0095290065751402E-3</v>
      </c>
      <c r="L84">
        <v>-7.6129196045141304E-2</v>
      </c>
      <c r="N84" t="str">
        <f t="shared" si="277"/>
        <v>lucasaj</v>
      </c>
    </row>
    <row r="85" spans="1:14" x14ac:dyDescent="0.25">
      <c r="A85" t="s">
        <v>24</v>
      </c>
      <c r="B85" t="s">
        <v>17</v>
      </c>
      <c r="C85">
        <v>-3.8904190309908501E-3</v>
      </c>
      <c r="D85">
        <v>4.7518837746578502E-3</v>
      </c>
      <c r="E85">
        <v>-1.9851445212168998E-3</v>
      </c>
      <c r="F85">
        <v>-0.101732538764593</v>
      </c>
      <c r="G85">
        <v>5.3908967243443398E-3</v>
      </c>
      <c r="H85">
        <v>-3.13306874960473E-3</v>
      </c>
      <c r="I85" s="32">
        <v>4.8367090827112803E-3</v>
      </c>
      <c r="J85">
        <v>0.126030275825012</v>
      </c>
      <c r="K85">
        <v>2.45450418213533E-3</v>
      </c>
      <c r="L85" s="32">
        <v>-3.2140067911714501E-3</v>
      </c>
      <c r="N85" t="str">
        <f t="shared" si="277"/>
        <v>perryaj</v>
      </c>
    </row>
    <row r="86" spans="1:14" x14ac:dyDescent="0.25">
      <c r="A86" t="s">
        <v>26</v>
      </c>
      <c r="B86" t="s">
        <v>17</v>
      </c>
      <c r="C86">
        <v>3.8436301469518298E-3</v>
      </c>
      <c r="D86">
        <v>-4.6947343166874001E-3</v>
      </c>
      <c r="E86">
        <v>-8.0618074376876597E-2</v>
      </c>
      <c r="F86">
        <v>6.3766689557956402E-4</v>
      </c>
      <c r="G86">
        <v>1.0589955381434301E-3</v>
      </c>
      <c r="H86">
        <v>-6.1546454999683597E-4</v>
      </c>
      <c r="I86">
        <v>-4.3446024748259003E-3</v>
      </c>
      <c r="J86">
        <v>-7.8996686517710001E-4</v>
      </c>
      <c r="K86">
        <v>9.9679090665116002E-2</v>
      </c>
      <c r="L86">
        <v>2.8870005659309399E-3</v>
      </c>
      <c r="N86" t="str">
        <f t="shared" si="277"/>
        <v>mattyaj</v>
      </c>
    </row>
    <row r="87" spans="1:14" x14ac:dyDescent="0.25">
      <c r="A87" t="s">
        <v>29</v>
      </c>
      <c r="B87" t="s">
        <v>17</v>
      </c>
      <c r="C87">
        <v>-3.8567146806339802E-4</v>
      </c>
      <c r="D87" s="32">
        <v>4.7107161897996802E-4</v>
      </c>
      <c r="E87" s="32">
        <v>-4.9012480555654702E-4</v>
      </c>
      <c r="F87" s="32">
        <v>1.1913152853579899E-3</v>
      </c>
      <c r="G87" s="32">
        <v>6.1821786919142897E-3</v>
      </c>
      <c r="H87" s="32">
        <v>-3.5929441528049799E-3</v>
      </c>
      <c r="I87" s="32">
        <v>-0.12621181503932699</v>
      </c>
      <c r="J87" s="32">
        <v>-1.4758482962432E-3</v>
      </c>
      <c r="K87" s="32">
        <v>6.0600796171228499E-4</v>
      </c>
      <c r="L87" s="32">
        <v>8.3868106128699396E-2</v>
      </c>
      <c r="N87" t="str">
        <f t="shared" si="277"/>
        <v>sethaj</v>
      </c>
    </row>
    <row r="88" spans="1:14" x14ac:dyDescent="0.25">
      <c r="A88" t="s">
        <v>11</v>
      </c>
      <c r="B88" t="s">
        <v>18</v>
      </c>
      <c r="C88">
        <v>4.4089058635239403E-2</v>
      </c>
      <c r="D88">
        <v>-5.3851803803092298E-2</v>
      </c>
      <c r="E88">
        <v>-1.25951958904602E-3</v>
      </c>
      <c r="F88">
        <v>1.01723714172119E-3</v>
      </c>
      <c r="G88">
        <v>7.2359669169659302E-3</v>
      </c>
      <c r="H88">
        <v>-4.2053823287584403E-3</v>
      </c>
      <c r="I88">
        <v>-8.9496332849055699E-2</v>
      </c>
      <c r="J88">
        <v>-1.2601934357229199E-3</v>
      </c>
      <c r="K88">
        <v>1.55731538220694E-3</v>
      </c>
      <c r="L88">
        <v>5.9470564932254798E-2</v>
      </c>
      <c r="N88" t="str">
        <f t="shared" si="277"/>
        <v>scottdevon</v>
      </c>
    </row>
    <row r="89" spans="1:14" x14ac:dyDescent="0.25">
      <c r="A89" t="s">
        <v>15</v>
      </c>
      <c r="B89" t="s">
        <v>18</v>
      </c>
      <c r="C89">
        <v>-8.8016758329695896E-2</v>
      </c>
      <c r="D89">
        <v>0.10750651857117501</v>
      </c>
      <c r="E89">
        <v>-4.2639141916578898E-3</v>
      </c>
      <c r="F89" s="32">
        <v>-3.7850869266609098E-5</v>
      </c>
      <c r="G89">
        <v>-2.29010120796602E-3</v>
      </c>
      <c r="H89">
        <v>1.3309556637783901E-3</v>
      </c>
      <c r="I89">
        <v>-4.7891017484093497E-3</v>
      </c>
      <c r="J89" s="32">
        <v>4.6891147629068999E-5</v>
      </c>
      <c r="K89">
        <v>5.2720570738471499E-3</v>
      </c>
      <c r="L89">
        <v>3.1823715836080098E-3</v>
      </c>
      <c r="N89" t="str">
        <f t="shared" si="277"/>
        <v>corydevon</v>
      </c>
    </row>
    <row r="90" spans="1:14" x14ac:dyDescent="0.25">
      <c r="A90" t="s">
        <v>17</v>
      </c>
      <c r="B90" t="s">
        <v>18</v>
      </c>
      <c r="C90" s="32">
        <v>7.2420936999854097E-3</v>
      </c>
      <c r="D90" s="32">
        <v>-8.8457277412475905E-3</v>
      </c>
      <c r="E90">
        <v>9.8460399016025796E-2</v>
      </c>
      <c r="F90">
        <v>1.5258933024903101E-3</v>
      </c>
      <c r="G90">
        <v>-3.07795951681361E-3</v>
      </c>
      <c r="H90">
        <v>1.78884131300994E-3</v>
      </c>
      <c r="I90">
        <v>-5.31967987575777E-3</v>
      </c>
      <c r="J90">
        <v>-1.89033672144362E-3</v>
      </c>
      <c r="K90">
        <v>-0.121739983450374</v>
      </c>
      <c r="L90">
        <v>3.53494224175238E-3</v>
      </c>
      <c r="N90" t="str">
        <f t="shared" si="277"/>
        <v>ajdevon</v>
      </c>
    </row>
    <row r="91" spans="1:14" x14ac:dyDescent="0.25">
      <c r="A91" t="s">
        <v>18</v>
      </c>
      <c r="B91" t="s">
        <v>18</v>
      </c>
      <c r="C91" s="32">
        <v>-2.8857194820311499E-3</v>
      </c>
      <c r="D91">
        <v>3.5247112137906699E-3</v>
      </c>
      <c r="E91" s="32">
        <v>-2.0782132908873699E-3</v>
      </c>
      <c r="F91">
        <v>9.9601675281020693E-2</v>
      </c>
      <c r="G91">
        <v>6.5409565785177802E-3</v>
      </c>
      <c r="H91">
        <v>-3.8014578458035499E-3</v>
      </c>
      <c r="I91">
        <v>7.36649716948051E-3</v>
      </c>
      <c r="J91">
        <v>-0.123390478216093</v>
      </c>
      <c r="K91">
        <v>2.5695777608802902E-3</v>
      </c>
      <c r="L91">
        <v>-4.8950580911481497E-3</v>
      </c>
      <c r="N91" t="str">
        <f t="shared" si="277"/>
        <v>devondevon</v>
      </c>
    </row>
    <row r="92" spans="1:14" x14ac:dyDescent="0.25">
      <c r="A92" t="s">
        <v>19</v>
      </c>
      <c r="B92" t="s">
        <v>18</v>
      </c>
      <c r="C92">
        <v>4.5923876036665402E-3</v>
      </c>
      <c r="D92">
        <v>-5.6092909187844299E-3</v>
      </c>
      <c r="E92" s="32">
        <v>-2.8280693123032799E-3</v>
      </c>
      <c r="F92">
        <v>3.1669208804713201E-4</v>
      </c>
      <c r="G92">
        <v>0.115679468930243</v>
      </c>
      <c r="H92">
        <v>-6.7230323192713895E-2</v>
      </c>
      <c r="I92">
        <v>-4.1704523821450802E-4</v>
      </c>
      <c r="J92">
        <v>-3.9233063180049699E-4</v>
      </c>
      <c r="K92">
        <v>3.4967267522476001E-3</v>
      </c>
      <c r="L92">
        <v>2.7712773394589202E-4</v>
      </c>
      <c r="N92" t="str">
        <f t="shared" si="277"/>
        <v>compdevon</v>
      </c>
    </row>
    <row r="93" spans="1:14" x14ac:dyDescent="0.25">
      <c r="A93" t="s">
        <v>21</v>
      </c>
      <c r="B93" t="s">
        <v>18</v>
      </c>
      <c r="C93" s="32">
        <v>-1.9340317183180701E-4</v>
      </c>
      <c r="D93" s="32">
        <v>2.3622889639241001E-4</v>
      </c>
      <c r="E93">
        <v>6.6376080743768605E-4</v>
      </c>
      <c r="F93">
        <v>-1.60301225286441E-3</v>
      </c>
      <c r="G93">
        <v>-0.133953224507563</v>
      </c>
      <c r="H93">
        <v>7.7850621719056295E-2</v>
      </c>
      <c r="I93">
        <v>7.44818295676564E-3</v>
      </c>
      <c r="J93">
        <v>1.9858747145479199E-3</v>
      </c>
      <c r="K93">
        <v>-8.2069776803683802E-4</v>
      </c>
      <c r="L93">
        <v>-4.9493385265821904E-3</v>
      </c>
      <c r="N93" t="str">
        <f t="shared" si="277"/>
        <v>chaddevon</v>
      </c>
    </row>
    <row r="94" spans="1:14" x14ac:dyDescent="0.25">
      <c r="A94" t="s">
        <v>217</v>
      </c>
      <c r="B94" t="s">
        <v>18</v>
      </c>
      <c r="C94">
        <v>2.3916135603084801E-3</v>
      </c>
      <c r="D94">
        <v>-2.92119424204729E-3</v>
      </c>
      <c r="E94">
        <v>-4.0515877437326004E-3</v>
      </c>
      <c r="F94">
        <v>3.3076372573825902E-4</v>
      </c>
      <c r="G94">
        <v>-3.8259788878006202E-3</v>
      </c>
      <c r="H94">
        <v>2.2235734615141398E-3</v>
      </c>
      <c r="I94">
        <v>0.11456564901558</v>
      </c>
      <c r="J94">
        <v>-4.0976313079299498E-4</v>
      </c>
      <c r="K94">
        <v>5.0095290065751402E-3</v>
      </c>
      <c r="L94">
        <v>-7.6129196045141304E-2</v>
      </c>
      <c r="N94" t="str">
        <f t="shared" si="277"/>
        <v>lucasdevon</v>
      </c>
    </row>
    <row r="95" spans="1:14" x14ac:dyDescent="0.25">
      <c r="A95" t="s">
        <v>24</v>
      </c>
      <c r="B95" t="s">
        <v>18</v>
      </c>
      <c r="C95">
        <v>-3.8904190309908501E-3</v>
      </c>
      <c r="D95">
        <v>4.7518837746578502E-3</v>
      </c>
      <c r="E95">
        <v>-1.9851445212168998E-3</v>
      </c>
      <c r="F95">
        <v>-0.101732538764593</v>
      </c>
      <c r="G95">
        <v>5.3908967243443398E-3</v>
      </c>
      <c r="H95">
        <v>-3.13306874960473E-3</v>
      </c>
      <c r="I95" s="32">
        <v>4.8367090827112803E-3</v>
      </c>
      <c r="J95">
        <v>0.126030275825012</v>
      </c>
      <c r="K95">
        <v>2.45450418213533E-3</v>
      </c>
      <c r="L95" s="32">
        <v>-3.2140067911714501E-3</v>
      </c>
      <c r="N95" t="str">
        <f t="shared" si="277"/>
        <v>perrydevon</v>
      </c>
    </row>
    <row r="96" spans="1:14" x14ac:dyDescent="0.25">
      <c r="A96" t="s">
        <v>26</v>
      </c>
      <c r="B96" t="s">
        <v>18</v>
      </c>
      <c r="C96">
        <v>3.8436301469518298E-3</v>
      </c>
      <c r="D96">
        <v>-4.6947343166874001E-3</v>
      </c>
      <c r="E96">
        <v>-8.0618074376876597E-2</v>
      </c>
      <c r="F96">
        <v>6.3766689557956402E-4</v>
      </c>
      <c r="G96">
        <v>1.0589955381434301E-3</v>
      </c>
      <c r="H96">
        <v>-6.1546454999683597E-4</v>
      </c>
      <c r="I96">
        <v>-4.3446024748259003E-3</v>
      </c>
      <c r="J96">
        <v>-7.8996686517710001E-4</v>
      </c>
      <c r="K96">
        <v>9.9679090665116002E-2</v>
      </c>
      <c r="L96">
        <v>2.8870005659309399E-3</v>
      </c>
      <c r="N96" t="str">
        <f t="shared" si="277"/>
        <v>mattydevon</v>
      </c>
    </row>
    <row r="97" spans="1:14" x14ac:dyDescent="0.25">
      <c r="A97" t="s">
        <v>29</v>
      </c>
      <c r="B97" t="s">
        <v>18</v>
      </c>
      <c r="C97">
        <v>-3.8567146806339802E-4</v>
      </c>
      <c r="D97">
        <v>4.7107161897996802E-4</v>
      </c>
      <c r="E97">
        <v>-4.9012480555654702E-4</v>
      </c>
      <c r="F97">
        <v>1.1913152853579899E-3</v>
      </c>
      <c r="G97">
        <v>6.1821786919142897E-3</v>
      </c>
      <c r="H97">
        <v>-3.5929441528049799E-3</v>
      </c>
      <c r="I97">
        <v>-0.12621181503932699</v>
      </c>
      <c r="J97">
        <v>-1.4758482962432E-3</v>
      </c>
      <c r="K97">
        <v>6.0600796171228499E-4</v>
      </c>
      <c r="L97">
        <v>8.3868106128699396E-2</v>
      </c>
      <c r="N97" t="str">
        <f t="shared" si="277"/>
        <v>sethdevon</v>
      </c>
    </row>
    <row r="98" spans="1:14" x14ac:dyDescent="0.25">
      <c r="A98" t="s">
        <v>11</v>
      </c>
      <c r="B98" t="s">
        <v>19</v>
      </c>
      <c r="C98">
        <v>4.4089058635239403E-2</v>
      </c>
      <c r="D98">
        <v>-5.3851803803092298E-2</v>
      </c>
      <c r="E98">
        <v>-1.25951958904602E-3</v>
      </c>
      <c r="F98">
        <v>1.01723714172119E-3</v>
      </c>
      <c r="G98">
        <v>7.2359669169659302E-3</v>
      </c>
      <c r="H98">
        <v>-4.2053823287584403E-3</v>
      </c>
      <c r="I98">
        <v>-8.9496332849055699E-2</v>
      </c>
      <c r="J98">
        <v>-1.2601934357229199E-3</v>
      </c>
      <c r="K98">
        <v>1.55731538220694E-3</v>
      </c>
      <c r="L98">
        <v>5.9470564932254798E-2</v>
      </c>
      <c r="N98" t="str">
        <f t="shared" si="277"/>
        <v>scottcomp</v>
      </c>
    </row>
    <row r="99" spans="1:14" x14ac:dyDescent="0.25">
      <c r="A99" t="s">
        <v>15</v>
      </c>
      <c r="B99" t="s">
        <v>19</v>
      </c>
      <c r="C99">
        <v>-8.8016758329695896E-2</v>
      </c>
      <c r="D99">
        <v>0.10750651857117501</v>
      </c>
      <c r="E99">
        <v>-4.2639141916578898E-3</v>
      </c>
      <c r="F99" s="32">
        <v>-3.7850869266609098E-5</v>
      </c>
      <c r="G99">
        <v>-2.29010120796602E-3</v>
      </c>
      <c r="H99">
        <v>1.3309556637783901E-3</v>
      </c>
      <c r="I99">
        <v>-4.7891017484093497E-3</v>
      </c>
      <c r="J99" s="32">
        <v>4.6891147629068999E-5</v>
      </c>
      <c r="K99">
        <v>5.2720570738471499E-3</v>
      </c>
      <c r="L99">
        <v>3.1823715836080098E-3</v>
      </c>
      <c r="N99" t="str">
        <f t="shared" si="277"/>
        <v>corycomp</v>
      </c>
    </row>
    <row r="100" spans="1:14" x14ac:dyDescent="0.25">
      <c r="A100" t="s">
        <v>17</v>
      </c>
      <c r="B100" t="s">
        <v>19</v>
      </c>
      <c r="C100" s="32">
        <v>7.2420936999854097E-3</v>
      </c>
      <c r="D100" s="32">
        <v>-8.8457277412475905E-3</v>
      </c>
      <c r="E100">
        <v>9.8460399016025796E-2</v>
      </c>
      <c r="F100">
        <v>1.5258933024903101E-3</v>
      </c>
      <c r="G100">
        <v>-3.07795951681361E-3</v>
      </c>
      <c r="H100">
        <v>1.78884131300994E-3</v>
      </c>
      <c r="I100">
        <v>-5.31967987575777E-3</v>
      </c>
      <c r="J100">
        <v>-1.89033672144362E-3</v>
      </c>
      <c r="K100">
        <v>-0.121739983450374</v>
      </c>
      <c r="L100">
        <v>3.53494224175238E-3</v>
      </c>
      <c r="N100" t="str">
        <f t="shared" si="277"/>
        <v>ajcomp</v>
      </c>
    </row>
    <row r="101" spans="1:14" x14ac:dyDescent="0.25">
      <c r="A101" t="s">
        <v>18</v>
      </c>
      <c r="B101" t="s">
        <v>19</v>
      </c>
      <c r="C101" s="32">
        <v>-2.8857194820311499E-3</v>
      </c>
      <c r="D101">
        <v>3.5247112137906699E-3</v>
      </c>
      <c r="E101" s="32">
        <v>-2.0782132908873699E-3</v>
      </c>
      <c r="F101">
        <v>9.9601675281020693E-2</v>
      </c>
      <c r="G101">
        <v>6.5409565785177802E-3</v>
      </c>
      <c r="H101">
        <v>-3.8014578458035499E-3</v>
      </c>
      <c r="I101">
        <v>7.36649716948051E-3</v>
      </c>
      <c r="J101">
        <v>-0.123390478216093</v>
      </c>
      <c r="K101">
        <v>2.5695777608802902E-3</v>
      </c>
      <c r="L101">
        <v>-4.8950580911481497E-3</v>
      </c>
      <c r="N101" t="str">
        <f t="shared" si="277"/>
        <v>devoncomp</v>
      </c>
    </row>
    <row r="102" spans="1:14" x14ac:dyDescent="0.25">
      <c r="A102" t="s">
        <v>19</v>
      </c>
      <c r="B102" t="s">
        <v>19</v>
      </c>
      <c r="C102">
        <v>4.5923876036665402E-3</v>
      </c>
      <c r="D102">
        <v>-5.6092909187844299E-3</v>
      </c>
      <c r="E102" s="32">
        <v>-2.8280693123032799E-3</v>
      </c>
      <c r="F102">
        <v>3.1669208804713201E-4</v>
      </c>
      <c r="G102">
        <v>0.115679468930243</v>
      </c>
      <c r="H102">
        <v>-6.7230323192713895E-2</v>
      </c>
      <c r="I102">
        <v>-4.1704523821450802E-4</v>
      </c>
      <c r="J102">
        <v>-3.9233063180049699E-4</v>
      </c>
      <c r="K102">
        <v>3.4967267522476001E-3</v>
      </c>
      <c r="L102">
        <v>2.7712773394589202E-4</v>
      </c>
      <c r="N102" t="str">
        <f t="shared" si="277"/>
        <v>compcomp</v>
      </c>
    </row>
    <row r="103" spans="1:14" x14ac:dyDescent="0.25">
      <c r="A103" t="s">
        <v>21</v>
      </c>
      <c r="B103" t="s">
        <v>19</v>
      </c>
      <c r="C103" s="32">
        <v>-1.9340317183180701E-4</v>
      </c>
      <c r="D103" s="32">
        <v>2.3622889639241001E-4</v>
      </c>
      <c r="E103">
        <v>6.6376080743768605E-4</v>
      </c>
      <c r="F103">
        <v>-1.60301225286441E-3</v>
      </c>
      <c r="G103">
        <v>-0.133953224507563</v>
      </c>
      <c r="H103">
        <v>7.7850621719056295E-2</v>
      </c>
      <c r="I103">
        <v>7.44818295676564E-3</v>
      </c>
      <c r="J103">
        <v>1.9858747145479199E-3</v>
      </c>
      <c r="K103">
        <v>-8.2069776803683802E-4</v>
      </c>
      <c r="L103">
        <v>-4.9493385265821904E-3</v>
      </c>
      <c r="N103" t="str">
        <f t="shared" si="277"/>
        <v>chadcomp</v>
      </c>
    </row>
    <row r="104" spans="1:14" x14ac:dyDescent="0.25">
      <c r="A104" t="s">
        <v>217</v>
      </c>
      <c r="B104" t="s">
        <v>19</v>
      </c>
      <c r="C104">
        <v>2.3916135603084801E-3</v>
      </c>
      <c r="D104">
        <v>-2.92119424204729E-3</v>
      </c>
      <c r="E104">
        <v>-4.0515877437326004E-3</v>
      </c>
      <c r="F104">
        <v>3.3076372573825902E-4</v>
      </c>
      <c r="G104">
        <v>-3.8259788878006202E-3</v>
      </c>
      <c r="H104">
        <v>2.2235734615141398E-3</v>
      </c>
      <c r="I104">
        <v>0.11456564901558</v>
      </c>
      <c r="J104">
        <v>-4.0976313079299498E-4</v>
      </c>
      <c r="K104">
        <v>5.0095290065751402E-3</v>
      </c>
      <c r="L104">
        <v>-7.6129196045141304E-2</v>
      </c>
      <c r="N104" t="str">
        <f t="shared" si="277"/>
        <v>lucascomp</v>
      </c>
    </row>
    <row r="105" spans="1:14" x14ac:dyDescent="0.25">
      <c r="A105" t="s">
        <v>24</v>
      </c>
      <c r="B105" t="s">
        <v>19</v>
      </c>
      <c r="C105">
        <v>-3.8904190309908501E-3</v>
      </c>
      <c r="D105">
        <v>4.7518837746578502E-3</v>
      </c>
      <c r="E105">
        <v>-1.9851445212168998E-3</v>
      </c>
      <c r="F105">
        <v>-0.101732538764593</v>
      </c>
      <c r="G105">
        <v>5.3908967243443398E-3</v>
      </c>
      <c r="H105">
        <v>-3.13306874960473E-3</v>
      </c>
      <c r="I105" s="32">
        <v>4.8367090827112803E-3</v>
      </c>
      <c r="J105">
        <v>0.126030275825012</v>
      </c>
      <c r="K105">
        <v>2.45450418213533E-3</v>
      </c>
      <c r="L105" s="32">
        <v>-3.2140067911714501E-3</v>
      </c>
      <c r="N105" t="str">
        <f t="shared" si="277"/>
        <v>perrycomp</v>
      </c>
    </row>
    <row r="106" spans="1:14" x14ac:dyDescent="0.25">
      <c r="A106" t="s">
        <v>26</v>
      </c>
      <c r="B106" t="s">
        <v>19</v>
      </c>
      <c r="C106">
        <v>3.8436301469518298E-3</v>
      </c>
      <c r="D106">
        <v>-4.6947343166874001E-3</v>
      </c>
      <c r="E106">
        <v>-8.0618074376876597E-2</v>
      </c>
      <c r="F106">
        <v>6.3766689557956402E-4</v>
      </c>
      <c r="G106">
        <v>1.0589955381434301E-3</v>
      </c>
      <c r="H106">
        <v>-6.1546454999683597E-4</v>
      </c>
      <c r="I106">
        <v>-4.3446024748259003E-3</v>
      </c>
      <c r="J106">
        <v>-7.8996686517710001E-4</v>
      </c>
      <c r="K106">
        <v>9.9679090665116002E-2</v>
      </c>
      <c r="L106">
        <v>2.8870005659309399E-3</v>
      </c>
      <c r="N106" t="str">
        <f t="shared" si="277"/>
        <v>mattycomp</v>
      </c>
    </row>
    <row r="107" spans="1:14" x14ac:dyDescent="0.25">
      <c r="A107" t="s">
        <v>29</v>
      </c>
      <c r="B107" t="s">
        <v>19</v>
      </c>
      <c r="C107">
        <v>-3.8567146806339802E-4</v>
      </c>
      <c r="D107">
        <v>4.7107161897996802E-4</v>
      </c>
      <c r="E107">
        <v>-4.9012480555654702E-4</v>
      </c>
      <c r="F107">
        <v>1.1913152853579899E-3</v>
      </c>
      <c r="G107">
        <v>6.1821786919142897E-3</v>
      </c>
      <c r="H107">
        <v>-3.5929441528049799E-3</v>
      </c>
      <c r="I107">
        <v>-0.12621181503932699</v>
      </c>
      <c r="J107">
        <v>-1.4758482962432E-3</v>
      </c>
      <c r="K107">
        <v>6.0600796171228499E-4</v>
      </c>
      <c r="L107">
        <v>8.3868106128699396E-2</v>
      </c>
      <c r="N107" t="str">
        <f t="shared" si="277"/>
        <v>sethcomp</v>
      </c>
    </row>
    <row r="108" spans="1:14" x14ac:dyDescent="0.25">
      <c r="A108" t="s">
        <v>11</v>
      </c>
      <c r="B108" t="s">
        <v>21</v>
      </c>
      <c r="C108">
        <v>4.4089058635239403E-2</v>
      </c>
      <c r="D108">
        <v>-5.3851803803092298E-2</v>
      </c>
      <c r="E108">
        <v>-1.25951958904602E-3</v>
      </c>
      <c r="F108">
        <v>1.01723714172119E-3</v>
      </c>
      <c r="G108">
        <v>7.2359669169659302E-3</v>
      </c>
      <c r="H108">
        <v>-4.2053823287584403E-3</v>
      </c>
      <c r="I108">
        <v>-8.9496332849055699E-2</v>
      </c>
      <c r="J108">
        <v>-1.2601934357229199E-3</v>
      </c>
      <c r="K108">
        <v>1.55731538220694E-3</v>
      </c>
      <c r="L108">
        <v>5.9470564932254798E-2</v>
      </c>
      <c r="N108" t="str">
        <f t="shared" si="277"/>
        <v>scottchad</v>
      </c>
    </row>
    <row r="109" spans="1:14" x14ac:dyDescent="0.25">
      <c r="A109" t="s">
        <v>15</v>
      </c>
      <c r="B109" t="s">
        <v>21</v>
      </c>
      <c r="C109">
        <v>-8.8016758329695896E-2</v>
      </c>
      <c r="D109">
        <v>0.10750651857117501</v>
      </c>
      <c r="E109">
        <v>-4.2639141916578898E-3</v>
      </c>
      <c r="F109" s="32">
        <v>-3.7850869266609098E-5</v>
      </c>
      <c r="G109">
        <v>-2.29010120796602E-3</v>
      </c>
      <c r="H109">
        <v>1.3309556637783901E-3</v>
      </c>
      <c r="I109">
        <v>-4.7891017484093497E-3</v>
      </c>
      <c r="J109" s="32">
        <v>4.6891147629068999E-5</v>
      </c>
      <c r="K109">
        <v>5.2720570738471499E-3</v>
      </c>
      <c r="L109">
        <v>3.1823715836080098E-3</v>
      </c>
      <c r="N109" t="str">
        <f t="shared" si="277"/>
        <v>corychad</v>
      </c>
    </row>
    <row r="110" spans="1:14" x14ac:dyDescent="0.25">
      <c r="A110" t="s">
        <v>17</v>
      </c>
      <c r="B110" t="s">
        <v>21</v>
      </c>
      <c r="C110" s="32">
        <v>7.2420936999854097E-3</v>
      </c>
      <c r="D110" s="32">
        <v>-8.8457277412475905E-3</v>
      </c>
      <c r="E110">
        <v>9.8460399016025796E-2</v>
      </c>
      <c r="F110">
        <v>1.5258933024903101E-3</v>
      </c>
      <c r="G110">
        <v>-3.07795951681361E-3</v>
      </c>
      <c r="H110">
        <v>1.78884131300994E-3</v>
      </c>
      <c r="I110">
        <v>-5.31967987575777E-3</v>
      </c>
      <c r="J110">
        <v>-1.89033672144362E-3</v>
      </c>
      <c r="K110">
        <v>-0.121739983450374</v>
      </c>
      <c r="L110">
        <v>3.53494224175238E-3</v>
      </c>
      <c r="N110" t="str">
        <f t="shared" si="277"/>
        <v>ajchad</v>
      </c>
    </row>
    <row r="111" spans="1:14" x14ac:dyDescent="0.25">
      <c r="A111" t="s">
        <v>18</v>
      </c>
      <c r="B111" t="s">
        <v>21</v>
      </c>
      <c r="C111" s="32">
        <v>-2.8857194820311499E-3</v>
      </c>
      <c r="D111">
        <v>3.5247112137906699E-3</v>
      </c>
      <c r="E111" s="32">
        <v>-2.0782132908873699E-3</v>
      </c>
      <c r="F111">
        <v>9.9601675281020693E-2</v>
      </c>
      <c r="G111">
        <v>6.5409565785177802E-3</v>
      </c>
      <c r="H111">
        <v>-3.8014578458035499E-3</v>
      </c>
      <c r="I111">
        <v>7.36649716948051E-3</v>
      </c>
      <c r="J111">
        <v>-0.123390478216093</v>
      </c>
      <c r="K111">
        <v>2.5695777608802902E-3</v>
      </c>
      <c r="L111">
        <v>-4.8950580911481497E-3</v>
      </c>
      <c r="N111" t="str">
        <f t="shared" si="277"/>
        <v>devonchad</v>
      </c>
    </row>
    <row r="112" spans="1:14" x14ac:dyDescent="0.25">
      <c r="A112" t="s">
        <v>19</v>
      </c>
      <c r="B112" t="s">
        <v>21</v>
      </c>
      <c r="C112">
        <v>4.5923876036665402E-3</v>
      </c>
      <c r="D112">
        <v>-5.6092909187844299E-3</v>
      </c>
      <c r="E112" s="32">
        <v>-2.8280693123032799E-3</v>
      </c>
      <c r="F112">
        <v>3.1669208804713201E-4</v>
      </c>
      <c r="G112">
        <v>0.115679468930243</v>
      </c>
      <c r="H112">
        <v>-6.7230323192713895E-2</v>
      </c>
      <c r="I112">
        <v>-4.1704523821450802E-4</v>
      </c>
      <c r="J112">
        <v>-3.9233063180049699E-4</v>
      </c>
      <c r="K112">
        <v>3.4967267522476001E-3</v>
      </c>
      <c r="L112">
        <v>2.7712773394589202E-4</v>
      </c>
      <c r="N112" t="str">
        <f t="shared" si="277"/>
        <v>compchad</v>
      </c>
    </row>
    <row r="113" spans="1:14" x14ac:dyDescent="0.25">
      <c r="A113" t="s">
        <v>21</v>
      </c>
      <c r="B113" t="s">
        <v>21</v>
      </c>
      <c r="C113" s="32">
        <v>-1.9340317183180701E-4</v>
      </c>
      <c r="D113" s="32">
        <v>2.3622889639241001E-4</v>
      </c>
      <c r="E113">
        <v>6.6376080743768605E-4</v>
      </c>
      <c r="F113">
        <v>-1.60301225286441E-3</v>
      </c>
      <c r="G113">
        <v>-0.133953224507563</v>
      </c>
      <c r="H113">
        <v>7.7850621719056295E-2</v>
      </c>
      <c r="I113">
        <v>7.44818295676564E-3</v>
      </c>
      <c r="J113">
        <v>1.9858747145479199E-3</v>
      </c>
      <c r="K113">
        <v>-8.2069776803683802E-4</v>
      </c>
      <c r="L113">
        <v>-4.9493385265821904E-3</v>
      </c>
      <c r="N113" t="str">
        <f t="shared" si="277"/>
        <v>chadchad</v>
      </c>
    </row>
    <row r="114" spans="1:14" x14ac:dyDescent="0.25">
      <c r="A114" t="s">
        <v>217</v>
      </c>
      <c r="B114" t="s">
        <v>21</v>
      </c>
      <c r="C114">
        <v>2.3916135603084801E-3</v>
      </c>
      <c r="D114">
        <v>-2.92119424204729E-3</v>
      </c>
      <c r="E114">
        <v>-4.0515877437326004E-3</v>
      </c>
      <c r="F114">
        <v>3.3076372573825902E-4</v>
      </c>
      <c r="G114">
        <v>-3.8259788878006202E-3</v>
      </c>
      <c r="H114">
        <v>2.2235734615141398E-3</v>
      </c>
      <c r="I114">
        <v>0.11456564901558</v>
      </c>
      <c r="J114">
        <v>-4.0976313079299498E-4</v>
      </c>
      <c r="K114">
        <v>5.0095290065751402E-3</v>
      </c>
      <c r="L114">
        <v>-7.6129196045141304E-2</v>
      </c>
      <c r="N114" t="str">
        <f t="shared" si="277"/>
        <v>lucaschad</v>
      </c>
    </row>
    <row r="115" spans="1:14" x14ac:dyDescent="0.25">
      <c r="A115" t="s">
        <v>24</v>
      </c>
      <c r="B115" t="s">
        <v>21</v>
      </c>
      <c r="C115">
        <v>-3.8904190309908501E-3</v>
      </c>
      <c r="D115">
        <v>4.7518837746578502E-3</v>
      </c>
      <c r="E115">
        <v>-1.9851445212168998E-3</v>
      </c>
      <c r="F115">
        <v>-0.101732538764593</v>
      </c>
      <c r="G115">
        <v>5.3908967243443398E-3</v>
      </c>
      <c r="H115">
        <v>-3.13306874960473E-3</v>
      </c>
      <c r="I115" s="32">
        <v>4.8367090827112803E-3</v>
      </c>
      <c r="J115">
        <v>0.126030275825012</v>
      </c>
      <c r="K115">
        <v>2.45450418213533E-3</v>
      </c>
      <c r="L115" s="32">
        <v>-3.2140067911714501E-3</v>
      </c>
      <c r="N115" t="str">
        <f t="shared" si="277"/>
        <v>perrychad</v>
      </c>
    </row>
    <row r="116" spans="1:14" x14ac:dyDescent="0.25">
      <c r="A116" t="s">
        <v>26</v>
      </c>
      <c r="B116" t="s">
        <v>21</v>
      </c>
      <c r="C116">
        <v>3.8436301469518298E-3</v>
      </c>
      <c r="D116">
        <v>-4.6947343166874001E-3</v>
      </c>
      <c r="E116">
        <v>-8.0618074376876597E-2</v>
      </c>
      <c r="F116">
        <v>6.3766689557956402E-4</v>
      </c>
      <c r="G116">
        <v>1.0589955381434301E-3</v>
      </c>
      <c r="H116">
        <v>-6.1546454999683597E-4</v>
      </c>
      <c r="I116">
        <v>-4.3446024748259003E-3</v>
      </c>
      <c r="J116">
        <v>-7.8996686517710001E-4</v>
      </c>
      <c r="K116">
        <v>9.9679090665116002E-2</v>
      </c>
      <c r="L116">
        <v>2.8870005659309399E-3</v>
      </c>
      <c r="N116" t="str">
        <f t="shared" si="277"/>
        <v>mattychad</v>
      </c>
    </row>
    <row r="117" spans="1:14" x14ac:dyDescent="0.25">
      <c r="A117" t="s">
        <v>29</v>
      </c>
      <c r="B117" t="s">
        <v>21</v>
      </c>
      <c r="C117">
        <v>-3.8567146806339802E-4</v>
      </c>
      <c r="D117">
        <v>4.7107161897996802E-4</v>
      </c>
      <c r="E117">
        <v>-4.9012480555654702E-4</v>
      </c>
      <c r="F117">
        <v>1.1913152853579899E-3</v>
      </c>
      <c r="G117">
        <v>6.1821786919142897E-3</v>
      </c>
      <c r="H117">
        <v>-3.5929441528049799E-3</v>
      </c>
      <c r="I117">
        <v>-0.12621181503932699</v>
      </c>
      <c r="J117">
        <v>-1.4758482962432E-3</v>
      </c>
      <c r="K117">
        <v>6.0600796171228499E-4</v>
      </c>
      <c r="L117">
        <v>8.3868106128699396E-2</v>
      </c>
      <c r="N117" t="str">
        <f t="shared" si="277"/>
        <v>sethchad</v>
      </c>
    </row>
    <row r="118" spans="1:14" x14ac:dyDescent="0.25">
      <c r="A118" t="s">
        <v>11</v>
      </c>
      <c r="B118" t="s">
        <v>217</v>
      </c>
      <c r="C118">
        <v>4.4089058635239403E-2</v>
      </c>
      <c r="D118">
        <v>-5.3851803803092298E-2</v>
      </c>
      <c r="E118">
        <v>-1.25951958904602E-3</v>
      </c>
      <c r="F118">
        <v>1.01723714172119E-3</v>
      </c>
      <c r="G118">
        <v>7.2359669169659302E-3</v>
      </c>
      <c r="H118">
        <v>-4.2053823287584403E-3</v>
      </c>
      <c r="I118">
        <v>-8.9496332849055699E-2</v>
      </c>
      <c r="J118">
        <v>-1.2601934357229199E-3</v>
      </c>
      <c r="K118">
        <v>1.55731538220694E-3</v>
      </c>
      <c r="L118">
        <v>5.9470564932254798E-2</v>
      </c>
      <c r="N118" t="str">
        <f t="shared" si="277"/>
        <v>scottlucas</v>
      </c>
    </row>
    <row r="119" spans="1:14" x14ac:dyDescent="0.25">
      <c r="A119" t="s">
        <v>15</v>
      </c>
      <c r="B119" t="s">
        <v>217</v>
      </c>
      <c r="C119">
        <v>-8.8016758329695896E-2</v>
      </c>
      <c r="D119">
        <v>0.10750651857117501</v>
      </c>
      <c r="E119">
        <v>-4.2639141916578898E-3</v>
      </c>
      <c r="F119" s="32">
        <v>-3.7850869266609098E-5</v>
      </c>
      <c r="G119">
        <v>-2.29010120796602E-3</v>
      </c>
      <c r="H119">
        <v>1.3309556637783901E-3</v>
      </c>
      <c r="I119">
        <v>-4.7891017484093497E-3</v>
      </c>
      <c r="J119" s="32">
        <v>4.6891147629068999E-5</v>
      </c>
      <c r="K119">
        <v>5.2720570738471499E-3</v>
      </c>
      <c r="L119">
        <v>3.1823715836080098E-3</v>
      </c>
      <c r="N119" t="str">
        <f t="shared" si="277"/>
        <v>corylucas</v>
      </c>
    </row>
    <row r="120" spans="1:14" x14ac:dyDescent="0.25">
      <c r="A120" t="s">
        <v>17</v>
      </c>
      <c r="B120" t="s">
        <v>217</v>
      </c>
      <c r="C120" s="32">
        <v>7.2420936999854097E-3</v>
      </c>
      <c r="D120" s="32">
        <v>-8.8457277412475905E-3</v>
      </c>
      <c r="E120">
        <v>9.8460399016025796E-2</v>
      </c>
      <c r="F120">
        <v>1.5258933024903101E-3</v>
      </c>
      <c r="G120">
        <v>-3.07795951681361E-3</v>
      </c>
      <c r="H120">
        <v>1.78884131300994E-3</v>
      </c>
      <c r="I120">
        <v>-5.31967987575777E-3</v>
      </c>
      <c r="J120">
        <v>-1.89033672144362E-3</v>
      </c>
      <c r="K120">
        <v>-0.121739983450374</v>
      </c>
      <c r="L120">
        <v>3.53494224175238E-3</v>
      </c>
      <c r="N120" t="str">
        <f t="shared" si="277"/>
        <v>ajlucas</v>
      </c>
    </row>
    <row r="121" spans="1:14" x14ac:dyDescent="0.25">
      <c r="A121" t="s">
        <v>18</v>
      </c>
      <c r="B121" t="s">
        <v>217</v>
      </c>
      <c r="C121" s="32">
        <v>-2.8857194820311499E-3</v>
      </c>
      <c r="D121">
        <v>3.5247112137906699E-3</v>
      </c>
      <c r="E121" s="32">
        <v>-2.0782132908873699E-3</v>
      </c>
      <c r="F121">
        <v>9.9601675281020693E-2</v>
      </c>
      <c r="G121">
        <v>6.5409565785177802E-3</v>
      </c>
      <c r="H121">
        <v>-3.8014578458035499E-3</v>
      </c>
      <c r="I121">
        <v>7.36649716948051E-3</v>
      </c>
      <c r="J121">
        <v>-0.123390478216093</v>
      </c>
      <c r="K121">
        <v>2.5695777608802902E-3</v>
      </c>
      <c r="L121">
        <v>-4.8950580911481497E-3</v>
      </c>
      <c r="N121" t="str">
        <f t="shared" si="277"/>
        <v>devonlucas</v>
      </c>
    </row>
    <row r="122" spans="1:14" x14ac:dyDescent="0.25">
      <c r="A122" t="s">
        <v>19</v>
      </c>
      <c r="B122" t="s">
        <v>217</v>
      </c>
      <c r="C122">
        <v>4.5923876036665402E-3</v>
      </c>
      <c r="D122">
        <v>-5.6092909187844299E-3</v>
      </c>
      <c r="E122" s="32">
        <v>-2.8280693123032799E-3</v>
      </c>
      <c r="F122">
        <v>3.1669208804713201E-4</v>
      </c>
      <c r="G122">
        <v>0.115679468930243</v>
      </c>
      <c r="H122">
        <v>-6.7230323192713895E-2</v>
      </c>
      <c r="I122">
        <v>-4.1704523821450802E-4</v>
      </c>
      <c r="J122">
        <v>-3.9233063180049699E-4</v>
      </c>
      <c r="K122">
        <v>3.4967267522476001E-3</v>
      </c>
      <c r="L122">
        <v>2.7712773394589202E-4</v>
      </c>
      <c r="N122" t="str">
        <f t="shared" si="277"/>
        <v>complucas</v>
      </c>
    </row>
    <row r="123" spans="1:14" x14ac:dyDescent="0.25">
      <c r="A123" t="s">
        <v>21</v>
      </c>
      <c r="B123" t="s">
        <v>217</v>
      </c>
      <c r="C123" s="32">
        <v>-1.9340317183180701E-4</v>
      </c>
      <c r="D123" s="32">
        <v>2.3622889639241001E-4</v>
      </c>
      <c r="E123">
        <v>6.6376080743768605E-4</v>
      </c>
      <c r="F123">
        <v>-1.60301225286441E-3</v>
      </c>
      <c r="G123">
        <v>-0.133953224507563</v>
      </c>
      <c r="H123">
        <v>7.7850621719056295E-2</v>
      </c>
      <c r="I123">
        <v>7.44818295676564E-3</v>
      </c>
      <c r="J123">
        <v>1.9858747145479199E-3</v>
      </c>
      <c r="K123">
        <v>-8.2069776803683802E-4</v>
      </c>
      <c r="L123">
        <v>-4.9493385265821904E-3</v>
      </c>
      <c r="N123" t="str">
        <f t="shared" ref="N123:N157" si="278">A123&amp;B123</f>
        <v>chadlucas</v>
      </c>
    </row>
    <row r="124" spans="1:14" x14ac:dyDescent="0.25">
      <c r="A124" t="s">
        <v>217</v>
      </c>
      <c r="B124" t="s">
        <v>217</v>
      </c>
      <c r="C124">
        <v>2.3916135603084801E-3</v>
      </c>
      <c r="D124">
        <v>-2.92119424204729E-3</v>
      </c>
      <c r="E124">
        <v>-4.0515877437326004E-3</v>
      </c>
      <c r="F124">
        <v>3.3076372573825902E-4</v>
      </c>
      <c r="G124">
        <v>-3.8259788878006202E-3</v>
      </c>
      <c r="H124">
        <v>2.2235734615141398E-3</v>
      </c>
      <c r="I124">
        <v>0.11456564901558</v>
      </c>
      <c r="J124">
        <v>-4.0976313079299498E-4</v>
      </c>
      <c r="K124">
        <v>5.0095290065751402E-3</v>
      </c>
      <c r="L124">
        <v>-7.6129196045141304E-2</v>
      </c>
      <c r="N124" t="str">
        <f t="shared" si="278"/>
        <v>lucaslucas</v>
      </c>
    </row>
    <row r="125" spans="1:14" x14ac:dyDescent="0.25">
      <c r="A125" t="s">
        <v>24</v>
      </c>
      <c r="B125" t="s">
        <v>217</v>
      </c>
      <c r="C125">
        <v>-3.8904190309908501E-3</v>
      </c>
      <c r="D125">
        <v>4.7518837746578502E-3</v>
      </c>
      <c r="E125">
        <v>-1.9851445212168998E-3</v>
      </c>
      <c r="F125">
        <v>-0.101732538764593</v>
      </c>
      <c r="G125">
        <v>5.3908967243443398E-3</v>
      </c>
      <c r="H125">
        <v>-3.13306874960473E-3</v>
      </c>
      <c r="I125" s="32">
        <v>4.8367090827112803E-3</v>
      </c>
      <c r="J125">
        <v>0.126030275825012</v>
      </c>
      <c r="K125">
        <v>2.45450418213533E-3</v>
      </c>
      <c r="L125" s="32">
        <v>-3.2140067911714501E-3</v>
      </c>
      <c r="N125" t="str">
        <f t="shared" si="278"/>
        <v>perrylucas</v>
      </c>
    </row>
    <row r="126" spans="1:14" x14ac:dyDescent="0.25">
      <c r="A126" t="s">
        <v>26</v>
      </c>
      <c r="B126" t="s">
        <v>217</v>
      </c>
      <c r="C126">
        <v>3.8436301469518298E-3</v>
      </c>
      <c r="D126">
        <v>-4.6947343166874001E-3</v>
      </c>
      <c r="E126">
        <v>-8.0618074376876597E-2</v>
      </c>
      <c r="F126">
        <v>6.3766689557956402E-4</v>
      </c>
      <c r="G126">
        <v>1.0589955381434301E-3</v>
      </c>
      <c r="H126">
        <v>-6.1546454999683597E-4</v>
      </c>
      <c r="I126">
        <v>-4.3446024748259003E-3</v>
      </c>
      <c r="J126">
        <v>-7.8996686517710001E-4</v>
      </c>
      <c r="K126">
        <v>9.9679090665116002E-2</v>
      </c>
      <c r="L126">
        <v>2.8870005659309399E-3</v>
      </c>
      <c r="N126" t="str">
        <f t="shared" si="278"/>
        <v>mattylucas</v>
      </c>
    </row>
    <row r="127" spans="1:14" x14ac:dyDescent="0.25">
      <c r="A127" t="s">
        <v>29</v>
      </c>
      <c r="B127" t="s">
        <v>217</v>
      </c>
      <c r="C127">
        <v>-3.8567146806339802E-4</v>
      </c>
      <c r="D127">
        <v>4.7107161897996802E-4</v>
      </c>
      <c r="E127">
        <v>-4.9012480555654702E-4</v>
      </c>
      <c r="F127">
        <v>1.1913152853579899E-3</v>
      </c>
      <c r="G127">
        <v>6.1821786919142897E-3</v>
      </c>
      <c r="H127">
        <v>-3.5929441528049799E-3</v>
      </c>
      <c r="I127">
        <v>-0.12621181503932699</v>
      </c>
      <c r="J127">
        <v>-1.4758482962432E-3</v>
      </c>
      <c r="K127">
        <v>6.0600796171228499E-4</v>
      </c>
      <c r="L127">
        <v>8.3868106128699396E-2</v>
      </c>
      <c r="N127" t="str">
        <f t="shared" si="278"/>
        <v>sethlucas</v>
      </c>
    </row>
    <row r="128" spans="1:14" x14ac:dyDescent="0.25">
      <c r="A128" t="s">
        <v>11</v>
      </c>
      <c r="B128" t="s">
        <v>24</v>
      </c>
      <c r="C128">
        <v>4.4089058635239403E-2</v>
      </c>
      <c r="D128">
        <v>-5.3851803803092298E-2</v>
      </c>
      <c r="E128">
        <v>-1.25951958904602E-3</v>
      </c>
      <c r="F128">
        <v>1.01723714172119E-3</v>
      </c>
      <c r="G128">
        <v>7.2359669169659302E-3</v>
      </c>
      <c r="H128">
        <v>-4.2053823287584403E-3</v>
      </c>
      <c r="I128">
        <v>-8.9496332849055699E-2</v>
      </c>
      <c r="J128">
        <v>-1.2601934357229199E-3</v>
      </c>
      <c r="K128">
        <v>1.55731538220694E-3</v>
      </c>
      <c r="L128">
        <v>5.9470564932254798E-2</v>
      </c>
      <c r="N128" t="str">
        <f t="shared" si="278"/>
        <v>scottperry</v>
      </c>
    </row>
    <row r="129" spans="1:14" x14ac:dyDescent="0.25">
      <c r="A129" t="s">
        <v>15</v>
      </c>
      <c r="B129" t="s">
        <v>24</v>
      </c>
      <c r="C129">
        <v>-8.8016758329695896E-2</v>
      </c>
      <c r="D129">
        <v>0.10750651857117501</v>
      </c>
      <c r="E129">
        <v>-4.2639141916578898E-3</v>
      </c>
      <c r="F129" s="32">
        <v>-3.7850869266609098E-5</v>
      </c>
      <c r="G129">
        <v>-2.29010120796602E-3</v>
      </c>
      <c r="H129">
        <v>1.3309556637783901E-3</v>
      </c>
      <c r="I129">
        <v>-4.7891017484093497E-3</v>
      </c>
      <c r="J129" s="32">
        <v>4.6891147629068999E-5</v>
      </c>
      <c r="K129">
        <v>5.2720570738471499E-3</v>
      </c>
      <c r="L129">
        <v>3.1823715836080098E-3</v>
      </c>
      <c r="N129" t="str">
        <f t="shared" si="278"/>
        <v>coryperry</v>
      </c>
    </row>
    <row r="130" spans="1:14" x14ac:dyDescent="0.25">
      <c r="A130" t="s">
        <v>17</v>
      </c>
      <c r="B130" t="s">
        <v>24</v>
      </c>
      <c r="C130" s="32">
        <v>7.2420936999854097E-3</v>
      </c>
      <c r="D130" s="32">
        <v>-8.8457277412475905E-3</v>
      </c>
      <c r="E130">
        <v>9.8460399016025796E-2</v>
      </c>
      <c r="F130">
        <v>1.5258933024903101E-3</v>
      </c>
      <c r="G130">
        <v>-3.07795951681361E-3</v>
      </c>
      <c r="H130">
        <v>1.78884131300994E-3</v>
      </c>
      <c r="I130">
        <v>-5.31967987575777E-3</v>
      </c>
      <c r="J130">
        <v>-1.89033672144362E-3</v>
      </c>
      <c r="K130">
        <v>-0.121739983450374</v>
      </c>
      <c r="L130">
        <v>3.53494224175238E-3</v>
      </c>
      <c r="N130" t="str">
        <f t="shared" si="278"/>
        <v>ajperry</v>
      </c>
    </row>
    <row r="131" spans="1:14" x14ac:dyDescent="0.25">
      <c r="A131" t="s">
        <v>18</v>
      </c>
      <c r="B131" t="s">
        <v>24</v>
      </c>
      <c r="C131" s="32">
        <v>-2.8857194820311499E-3</v>
      </c>
      <c r="D131">
        <v>3.5247112137906699E-3</v>
      </c>
      <c r="E131" s="32">
        <v>-2.0782132908873699E-3</v>
      </c>
      <c r="F131">
        <v>9.9601675281020693E-2</v>
      </c>
      <c r="G131">
        <v>6.5409565785177802E-3</v>
      </c>
      <c r="H131">
        <v>-3.8014578458035499E-3</v>
      </c>
      <c r="I131">
        <v>7.36649716948051E-3</v>
      </c>
      <c r="J131">
        <v>-0.123390478216093</v>
      </c>
      <c r="K131">
        <v>2.5695777608802902E-3</v>
      </c>
      <c r="L131">
        <v>-4.8950580911481497E-3</v>
      </c>
      <c r="N131" t="str">
        <f t="shared" si="278"/>
        <v>devonperry</v>
      </c>
    </row>
    <row r="132" spans="1:14" x14ac:dyDescent="0.25">
      <c r="A132" t="s">
        <v>19</v>
      </c>
      <c r="B132" t="s">
        <v>24</v>
      </c>
      <c r="C132">
        <v>4.5923876036665402E-3</v>
      </c>
      <c r="D132">
        <v>-5.6092909187844299E-3</v>
      </c>
      <c r="E132" s="32">
        <v>-2.8280693123032799E-3</v>
      </c>
      <c r="F132">
        <v>3.1669208804713201E-4</v>
      </c>
      <c r="G132">
        <v>0.115679468930243</v>
      </c>
      <c r="H132">
        <v>-6.7230323192713895E-2</v>
      </c>
      <c r="I132">
        <v>-4.1704523821450802E-4</v>
      </c>
      <c r="J132">
        <v>-3.9233063180049699E-4</v>
      </c>
      <c r="K132">
        <v>3.4967267522476001E-3</v>
      </c>
      <c r="L132">
        <v>2.7712773394589202E-4</v>
      </c>
      <c r="N132" t="str">
        <f t="shared" si="278"/>
        <v>compperry</v>
      </c>
    </row>
    <row r="133" spans="1:14" x14ac:dyDescent="0.25">
      <c r="A133" t="s">
        <v>21</v>
      </c>
      <c r="B133" t="s">
        <v>24</v>
      </c>
      <c r="C133" s="32">
        <v>-1.9340317183180701E-4</v>
      </c>
      <c r="D133" s="32">
        <v>2.3622889639241001E-4</v>
      </c>
      <c r="E133">
        <v>6.6376080743768605E-4</v>
      </c>
      <c r="F133">
        <v>-1.60301225286441E-3</v>
      </c>
      <c r="G133">
        <v>-0.133953224507563</v>
      </c>
      <c r="H133">
        <v>7.7850621719056295E-2</v>
      </c>
      <c r="I133">
        <v>7.44818295676564E-3</v>
      </c>
      <c r="J133">
        <v>1.9858747145479199E-3</v>
      </c>
      <c r="K133">
        <v>-8.2069776803683802E-4</v>
      </c>
      <c r="L133">
        <v>-4.9493385265821904E-3</v>
      </c>
      <c r="N133" t="str">
        <f t="shared" si="278"/>
        <v>chadperry</v>
      </c>
    </row>
    <row r="134" spans="1:14" x14ac:dyDescent="0.25">
      <c r="A134" t="s">
        <v>217</v>
      </c>
      <c r="B134" t="s">
        <v>24</v>
      </c>
      <c r="C134">
        <v>2.3916135603084801E-3</v>
      </c>
      <c r="D134">
        <v>-2.92119424204729E-3</v>
      </c>
      <c r="E134">
        <v>-4.0515877437326004E-3</v>
      </c>
      <c r="F134">
        <v>3.3076372573825902E-4</v>
      </c>
      <c r="G134">
        <v>-3.8259788878006202E-3</v>
      </c>
      <c r="H134">
        <v>2.2235734615141398E-3</v>
      </c>
      <c r="I134">
        <v>0.11456564901558</v>
      </c>
      <c r="J134">
        <v>-4.0976313079299498E-4</v>
      </c>
      <c r="K134">
        <v>5.0095290065751402E-3</v>
      </c>
      <c r="L134">
        <v>-7.6129196045141304E-2</v>
      </c>
      <c r="N134" t="str">
        <f t="shared" si="278"/>
        <v>lucasperry</v>
      </c>
    </row>
    <row r="135" spans="1:14" x14ac:dyDescent="0.25">
      <c r="A135" t="s">
        <v>24</v>
      </c>
      <c r="B135" t="s">
        <v>24</v>
      </c>
      <c r="C135">
        <v>-3.8904190309908501E-3</v>
      </c>
      <c r="D135">
        <v>4.7518837746578502E-3</v>
      </c>
      <c r="E135">
        <v>-1.9851445212168998E-3</v>
      </c>
      <c r="F135">
        <v>-0.101732538764593</v>
      </c>
      <c r="G135">
        <v>5.3908967243443398E-3</v>
      </c>
      <c r="H135">
        <v>-3.13306874960473E-3</v>
      </c>
      <c r="I135" s="32">
        <v>4.8367090827112803E-3</v>
      </c>
      <c r="J135">
        <v>0.126030275825012</v>
      </c>
      <c r="K135">
        <v>2.45450418213533E-3</v>
      </c>
      <c r="L135" s="32">
        <v>-3.2140067911714501E-3</v>
      </c>
      <c r="N135" t="str">
        <f t="shared" si="278"/>
        <v>perryperry</v>
      </c>
    </row>
    <row r="136" spans="1:14" x14ac:dyDescent="0.25">
      <c r="A136" t="s">
        <v>26</v>
      </c>
      <c r="B136" t="s">
        <v>24</v>
      </c>
      <c r="C136">
        <v>3.8436301469518298E-3</v>
      </c>
      <c r="D136">
        <v>-4.6947343166874001E-3</v>
      </c>
      <c r="E136">
        <v>-8.0618074376876597E-2</v>
      </c>
      <c r="F136">
        <v>6.3766689557956402E-4</v>
      </c>
      <c r="G136">
        <v>1.0589955381434301E-3</v>
      </c>
      <c r="H136">
        <v>-6.1546454999683597E-4</v>
      </c>
      <c r="I136">
        <v>-4.3446024748259003E-3</v>
      </c>
      <c r="J136">
        <v>-7.8996686517710001E-4</v>
      </c>
      <c r="K136">
        <v>9.9679090665116002E-2</v>
      </c>
      <c r="L136">
        <v>2.8870005659309399E-3</v>
      </c>
      <c r="N136" t="str">
        <f t="shared" si="278"/>
        <v>mattyperry</v>
      </c>
    </row>
    <row r="137" spans="1:14" x14ac:dyDescent="0.25">
      <c r="A137" t="s">
        <v>29</v>
      </c>
      <c r="B137" t="s">
        <v>24</v>
      </c>
      <c r="C137">
        <v>-3.8567146806339802E-4</v>
      </c>
      <c r="D137">
        <v>4.7107161897996802E-4</v>
      </c>
      <c r="E137">
        <v>-4.9012480555654702E-4</v>
      </c>
      <c r="F137">
        <v>1.1913152853579899E-3</v>
      </c>
      <c r="G137">
        <v>6.1821786919142897E-3</v>
      </c>
      <c r="H137">
        <v>-3.5929441528049799E-3</v>
      </c>
      <c r="I137">
        <v>-0.12621181503932699</v>
      </c>
      <c r="J137">
        <v>-1.4758482962432E-3</v>
      </c>
      <c r="K137">
        <v>6.0600796171228499E-4</v>
      </c>
      <c r="L137">
        <v>8.3868106128699396E-2</v>
      </c>
      <c r="N137" t="str">
        <f t="shared" si="278"/>
        <v>sethperry</v>
      </c>
    </row>
    <row r="138" spans="1:14" x14ac:dyDescent="0.25">
      <c r="A138" t="s">
        <v>11</v>
      </c>
      <c r="B138" t="s">
        <v>26</v>
      </c>
      <c r="C138">
        <v>4.4089058635239403E-2</v>
      </c>
      <c r="D138">
        <v>-5.3851803803092298E-2</v>
      </c>
      <c r="E138">
        <v>-1.25951958904602E-3</v>
      </c>
      <c r="F138">
        <v>1.01723714172119E-3</v>
      </c>
      <c r="G138">
        <v>7.2359669169659302E-3</v>
      </c>
      <c r="H138">
        <v>-4.2053823287584403E-3</v>
      </c>
      <c r="I138">
        <v>-8.9496332849055699E-2</v>
      </c>
      <c r="J138">
        <v>-1.2601934357229199E-3</v>
      </c>
      <c r="K138">
        <v>1.55731538220694E-3</v>
      </c>
      <c r="L138">
        <v>5.9470564932254798E-2</v>
      </c>
      <c r="N138" t="str">
        <f t="shared" si="278"/>
        <v>scottmatty</v>
      </c>
    </row>
    <row r="139" spans="1:14" x14ac:dyDescent="0.25">
      <c r="A139" t="s">
        <v>15</v>
      </c>
      <c r="B139" t="s">
        <v>26</v>
      </c>
      <c r="C139">
        <v>-8.8016758329695896E-2</v>
      </c>
      <c r="D139">
        <v>0.10750651857117501</v>
      </c>
      <c r="E139">
        <v>-4.2639141916578898E-3</v>
      </c>
      <c r="F139" s="32">
        <v>-3.7850869266609098E-5</v>
      </c>
      <c r="G139">
        <v>-2.29010120796602E-3</v>
      </c>
      <c r="H139">
        <v>1.3309556637783901E-3</v>
      </c>
      <c r="I139">
        <v>-4.7891017484093497E-3</v>
      </c>
      <c r="J139" s="32">
        <v>4.6891147629068999E-5</v>
      </c>
      <c r="K139">
        <v>5.2720570738471499E-3</v>
      </c>
      <c r="L139">
        <v>3.1823715836080098E-3</v>
      </c>
      <c r="N139" t="str">
        <f t="shared" si="278"/>
        <v>corymatty</v>
      </c>
    </row>
    <row r="140" spans="1:14" x14ac:dyDescent="0.25">
      <c r="A140" t="s">
        <v>17</v>
      </c>
      <c r="B140" t="s">
        <v>26</v>
      </c>
      <c r="C140" s="32">
        <v>7.2420936999854097E-3</v>
      </c>
      <c r="D140" s="32">
        <v>-8.8457277412475905E-3</v>
      </c>
      <c r="E140">
        <v>9.8460399016025796E-2</v>
      </c>
      <c r="F140">
        <v>1.5258933024903101E-3</v>
      </c>
      <c r="G140">
        <v>-3.07795951681361E-3</v>
      </c>
      <c r="H140">
        <v>1.78884131300994E-3</v>
      </c>
      <c r="I140">
        <v>-5.31967987575777E-3</v>
      </c>
      <c r="J140">
        <v>-1.89033672144362E-3</v>
      </c>
      <c r="K140">
        <v>-0.121739983450374</v>
      </c>
      <c r="L140">
        <v>3.53494224175238E-3</v>
      </c>
      <c r="N140" t="str">
        <f t="shared" si="278"/>
        <v>ajmatty</v>
      </c>
    </row>
    <row r="141" spans="1:14" x14ac:dyDescent="0.25">
      <c r="A141" t="s">
        <v>18</v>
      </c>
      <c r="B141" t="s">
        <v>26</v>
      </c>
      <c r="C141" s="32">
        <v>-2.8857194820311499E-3</v>
      </c>
      <c r="D141">
        <v>3.5247112137906699E-3</v>
      </c>
      <c r="E141" s="32">
        <v>-2.0782132908873699E-3</v>
      </c>
      <c r="F141">
        <v>9.9601675281020693E-2</v>
      </c>
      <c r="G141">
        <v>6.5409565785177802E-3</v>
      </c>
      <c r="H141">
        <v>-3.8014578458035499E-3</v>
      </c>
      <c r="I141">
        <v>7.36649716948051E-3</v>
      </c>
      <c r="J141">
        <v>-0.123390478216093</v>
      </c>
      <c r="K141">
        <v>2.5695777608802902E-3</v>
      </c>
      <c r="L141">
        <v>-4.8950580911481497E-3</v>
      </c>
      <c r="N141" t="str">
        <f t="shared" si="278"/>
        <v>devonmatty</v>
      </c>
    </row>
    <row r="142" spans="1:14" x14ac:dyDescent="0.25">
      <c r="A142" t="s">
        <v>19</v>
      </c>
      <c r="B142" t="s">
        <v>26</v>
      </c>
      <c r="C142">
        <v>4.5923876036665402E-3</v>
      </c>
      <c r="D142">
        <v>-5.6092909187844299E-3</v>
      </c>
      <c r="E142" s="32">
        <v>-2.8280693123032799E-3</v>
      </c>
      <c r="F142">
        <v>3.1669208804713201E-4</v>
      </c>
      <c r="G142">
        <v>0.115679468930243</v>
      </c>
      <c r="H142">
        <v>-6.7230323192713895E-2</v>
      </c>
      <c r="I142">
        <v>-4.1704523821450802E-4</v>
      </c>
      <c r="J142">
        <v>-3.9233063180049699E-4</v>
      </c>
      <c r="K142">
        <v>3.4967267522476001E-3</v>
      </c>
      <c r="L142">
        <v>2.7712773394589202E-4</v>
      </c>
      <c r="N142" t="str">
        <f t="shared" si="278"/>
        <v>compmatty</v>
      </c>
    </row>
    <row r="143" spans="1:14" x14ac:dyDescent="0.25">
      <c r="A143" t="s">
        <v>21</v>
      </c>
      <c r="B143" t="s">
        <v>26</v>
      </c>
      <c r="C143" s="32">
        <v>-1.9340317183180701E-4</v>
      </c>
      <c r="D143" s="32">
        <v>2.3622889639241001E-4</v>
      </c>
      <c r="E143" s="32">
        <v>6.6376080743768605E-4</v>
      </c>
      <c r="F143" s="32">
        <v>-1.60301225286441E-3</v>
      </c>
      <c r="G143" s="32">
        <v>-0.133953224507563</v>
      </c>
      <c r="H143" s="32">
        <v>7.7850621719056295E-2</v>
      </c>
      <c r="I143" s="32">
        <v>7.44818295676564E-3</v>
      </c>
      <c r="J143" s="32">
        <v>1.9858747145479199E-3</v>
      </c>
      <c r="K143" s="32">
        <v>-8.2069776803683802E-4</v>
      </c>
      <c r="L143" s="32">
        <v>-4.9493385265821904E-3</v>
      </c>
      <c r="N143" t="str">
        <f t="shared" si="278"/>
        <v>chadmatty</v>
      </c>
    </row>
    <row r="144" spans="1:14" x14ac:dyDescent="0.25">
      <c r="A144" t="s">
        <v>217</v>
      </c>
      <c r="B144" t="s">
        <v>26</v>
      </c>
      <c r="C144">
        <v>2.3916135603084801E-3</v>
      </c>
      <c r="D144">
        <v>-2.92119424204729E-3</v>
      </c>
      <c r="E144">
        <v>-4.0515877437326004E-3</v>
      </c>
      <c r="F144">
        <v>3.3076372573825902E-4</v>
      </c>
      <c r="G144">
        <v>-3.8259788878006202E-3</v>
      </c>
      <c r="H144">
        <v>2.2235734615141398E-3</v>
      </c>
      <c r="I144">
        <v>0.11456564901558</v>
      </c>
      <c r="J144">
        <v>-4.0976313079299498E-4</v>
      </c>
      <c r="K144">
        <v>5.0095290065751402E-3</v>
      </c>
      <c r="L144">
        <v>-7.6129196045141304E-2</v>
      </c>
      <c r="N144" t="str">
        <f t="shared" si="278"/>
        <v>lucasmatty</v>
      </c>
    </row>
    <row r="145" spans="1:14" x14ac:dyDescent="0.25">
      <c r="A145" t="s">
        <v>24</v>
      </c>
      <c r="B145" t="s">
        <v>26</v>
      </c>
      <c r="C145">
        <v>-3.8904190309908501E-3</v>
      </c>
      <c r="D145">
        <v>4.7518837746578502E-3</v>
      </c>
      <c r="E145">
        <v>-1.9851445212168998E-3</v>
      </c>
      <c r="F145">
        <v>-0.101732538764593</v>
      </c>
      <c r="G145">
        <v>5.3908967243443398E-3</v>
      </c>
      <c r="H145">
        <v>-3.13306874960473E-3</v>
      </c>
      <c r="I145" s="32">
        <v>4.8367090827112803E-3</v>
      </c>
      <c r="J145">
        <v>0.126030275825012</v>
      </c>
      <c r="K145">
        <v>2.45450418213533E-3</v>
      </c>
      <c r="L145" s="32">
        <v>-3.2140067911714501E-3</v>
      </c>
      <c r="N145" t="str">
        <f t="shared" si="278"/>
        <v>perrymatty</v>
      </c>
    </row>
    <row r="146" spans="1:14" x14ac:dyDescent="0.25">
      <c r="A146" t="s">
        <v>26</v>
      </c>
      <c r="B146" t="s">
        <v>26</v>
      </c>
      <c r="C146">
        <v>3.8436301469518298E-3</v>
      </c>
      <c r="D146">
        <v>-4.6947343166874001E-3</v>
      </c>
      <c r="E146">
        <v>-8.0618074376876597E-2</v>
      </c>
      <c r="F146">
        <v>6.3766689557956402E-4</v>
      </c>
      <c r="G146">
        <v>1.0589955381434301E-3</v>
      </c>
      <c r="H146">
        <v>-6.1546454999683597E-4</v>
      </c>
      <c r="I146">
        <v>-4.3446024748259003E-3</v>
      </c>
      <c r="J146">
        <v>-7.8996686517710001E-4</v>
      </c>
      <c r="K146">
        <v>9.9679090665116002E-2</v>
      </c>
      <c r="L146">
        <v>2.8870005659309399E-3</v>
      </c>
      <c r="N146" t="str">
        <f t="shared" si="278"/>
        <v>mattymatty</v>
      </c>
    </row>
    <row r="147" spans="1:14" x14ac:dyDescent="0.25">
      <c r="A147" t="s">
        <v>29</v>
      </c>
      <c r="B147" t="s">
        <v>26</v>
      </c>
      <c r="C147">
        <v>-3.8567146806339802E-4</v>
      </c>
      <c r="D147">
        <v>4.7107161897996802E-4</v>
      </c>
      <c r="E147">
        <v>-4.9012480555654702E-4</v>
      </c>
      <c r="F147">
        <v>1.1913152853579899E-3</v>
      </c>
      <c r="G147">
        <v>6.1821786919142897E-3</v>
      </c>
      <c r="H147">
        <v>-3.5929441528049799E-3</v>
      </c>
      <c r="I147">
        <v>-0.12621181503932699</v>
      </c>
      <c r="J147">
        <v>-1.4758482962432E-3</v>
      </c>
      <c r="K147">
        <v>6.0600796171228499E-4</v>
      </c>
      <c r="L147">
        <v>8.3868106128699396E-2</v>
      </c>
      <c r="N147" t="str">
        <f t="shared" si="278"/>
        <v>sethmatty</v>
      </c>
    </row>
    <row r="148" spans="1:14" x14ac:dyDescent="0.25">
      <c r="A148" t="s">
        <v>11</v>
      </c>
      <c r="B148" t="s">
        <v>29</v>
      </c>
      <c r="C148" s="32">
        <v>4.4089058635239403E-2</v>
      </c>
      <c r="D148" s="32">
        <v>-5.3851803803092298E-2</v>
      </c>
      <c r="E148" s="32">
        <v>-1.25951958904602E-3</v>
      </c>
      <c r="F148" s="32">
        <v>1.01723714172119E-3</v>
      </c>
      <c r="G148" s="32">
        <v>7.2359669169659302E-3</v>
      </c>
      <c r="H148" s="32">
        <v>-4.2053823287584403E-3</v>
      </c>
      <c r="I148" s="32">
        <v>-8.9496332849055699E-2</v>
      </c>
      <c r="J148" s="32">
        <v>-1.2601934357229199E-3</v>
      </c>
      <c r="K148" s="32">
        <v>1.55731538220694E-3</v>
      </c>
      <c r="L148" s="32">
        <v>5.9470564932254798E-2</v>
      </c>
      <c r="N148" t="str">
        <f t="shared" si="278"/>
        <v>scottseth</v>
      </c>
    </row>
    <row r="149" spans="1:14" x14ac:dyDescent="0.25">
      <c r="A149" t="s">
        <v>15</v>
      </c>
      <c r="B149" t="s">
        <v>29</v>
      </c>
      <c r="C149" s="32">
        <v>-8.8016758329695896E-2</v>
      </c>
      <c r="D149" s="32">
        <v>0.10750651857117501</v>
      </c>
      <c r="E149" s="32">
        <v>-4.2639141916578898E-3</v>
      </c>
      <c r="F149" s="32">
        <v>-3.7850869266609098E-5</v>
      </c>
      <c r="G149" s="32">
        <v>-2.29010120796602E-3</v>
      </c>
      <c r="H149" s="32">
        <v>1.3309556637783901E-3</v>
      </c>
      <c r="I149" s="32">
        <v>-4.7891017484093497E-3</v>
      </c>
      <c r="J149" s="32">
        <v>4.6891147629068999E-5</v>
      </c>
      <c r="K149" s="32">
        <v>5.2720570738471499E-3</v>
      </c>
      <c r="L149" s="32">
        <v>3.1823715836080098E-3</v>
      </c>
      <c r="N149" t="str">
        <f t="shared" si="278"/>
        <v>coryseth</v>
      </c>
    </row>
    <row r="150" spans="1:14" x14ac:dyDescent="0.25">
      <c r="A150" t="s">
        <v>17</v>
      </c>
      <c r="B150" t="s">
        <v>29</v>
      </c>
      <c r="C150" s="32">
        <v>7.2420936999854097E-3</v>
      </c>
      <c r="D150" s="32">
        <v>-8.8457277412475905E-3</v>
      </c>
      <c r="E150" s="32">
        <v>9.8460399016025796E-2</v>
      </c>
      <c r="F150" s="32">
        <v>1.5258933024903101E-3</v>
      </c>
      <c r="G150" s="32">
        <v>-3.07795951681361E-3</v>
      </c>
      <c r="H150" s="32">
        <v>1.78884131300994E-3</v>
      </c>
      <c r="I150" s="32">
        <v>-5.31967987575777E-3</v>
      </c>
      <c r="J150" s="32">
        <v>-1.89033672144362E-3</v>
      </c>
      <c r="K150" s="32">
        <v>-0.121739983450374</v>
      </c>
      <c r="L150" s="32">
        <v>3.53494224175238E-3</v>
      </c>
      <c r="N150" t="str">
        <f t="shared" si="278"/>
        <v>ajseth</v>
      </c>
    </row>
    <row r="151" spans="1:14" x14ac:dyDescent="0.25">
      <c r="A151" t="s">
        <v>18</v>
      </c>
      <c r="B151" t="s">
        <v>29</v>
      </c>
      <c r="C151" s="32">
        <v>-2.8857194820311499E-3</v>
      </c>
      <c r="D151" s="32">
        <v>3.5247112137906699E-3</v>
      </c>
      <c r="E151" s="32">
        <v>-2.0782132908873699E-3</v>
      </c>
      <c r="F151" s="32">
        <v>9.9601675281020693E-2</v>
      </c>
      <c r="G151" s="32">
        <v>6.5409565785177802E-3</v>
      </c>
      <c r="H151" s="32">
        <v>-3.8014578458035499E-3</v>
      </c>
      <c r="I151" s="32">
        <v>7.36649716948051E-3</v>
      </c>
      <c r="J151" s="32">
        <v>-0.123390478216093</v>
      </c>
      <c r="K151" s="32">
        <v>2.5695777608802902E-3</v>
      </c>
      <c r="L151" s="32">
        <v>-4.8950580911481497E-3</v>
      </c>
      <c r="N151" t="str">
        <f t="shared" si="278"/>
        <v>devonseth</v>
      </c>
    </row>
    <row r="152" spans="1:14" x14ac:dyDescent="0.25">
      <c r="A152" t="s">
        <v>19</v>
      </c>
      <c r="B152" t="s">
        <v>29</v>
      </c>
      <c r="C152" s="32">
        <v>4.5923876036665402E-3</v>
      </c>
      <c r="D152" s="32">
        <v>-5.6092909187844299E-3</v>
      </c>
      <c r="E152" s="32">
        <v>-2.8280693123032799E-3</v>
      </c>
      <c r="F152" s="32">
        <v>3.1669208804713201E-4</v>
      </c>
      <c r="G152" s="32">
        <v>0.115679468930243</v>
      </c>
      <c r="H152" s="32">
        <v>-6.7230323192713895E-2</v>
      </c>
      <c r="I152" s="32">
        <v>-4.1704523821450802E-4</v>
      </c>
      <c r="J152" s="32">
        <v>-3.9233063180049699E-4</v>
      </c>
      <c r="K152" s="32">
        <v>3.4967267522476001E-3</v>
      </c>
      <c r="L152" s="32">
        <v>2.7712773394589202E-4</v>
      </c>
      <c r="N152" t="str">
        <f t="shared" si="278"/>
        <v>compseth</v>
      </c>
    </row>
    <row r="153" spans="1:14" x14ac:dyDescent="0.25">
      <c r="A153" t="s">
        <v>21</v>
      </c>
      <c r="B153" t="s">
        <v>29</v>
      </c>
      <c r="C153" s="32">
        <v>-1.9340317183180701E-4</v>
      </c>
      <c r="D153" s="32">
        <v>2.3622889639241001E-4</v>
      </c>
      <c r="E153" s="32">
        <v>6.6376080743768605E-4</v>
      </c>
      <c r="F153" s="32">
        <v>-1.60301225286441E-3</v>
      </c>
      <c r="G153" s="32">
        <v>-0.133953224507563</v>
      </c>
      <c r="H153" s="32">
        <v>7.7850621719056295E-2</v>
      </c>
      <c r="I153" s="32">
        <v>7.44818295676564E-3</v>
      </c>
      <c r="J153" s="32">
        <v>1.9858747145479199E-3</v>
      </c>
      <c r="K153" s="32">
        <v>-8.2069776803683802E-4</v>
      </c>
      <c r="L153" s="32">
        <v>-4.9493385265821904E-3</v>
      </c>
      <c r="N153" t="str">
        <f t="shared" si="278"/>
        <v>chadseth</v>
      </c>
    </row>
    <row r="154" spans="1:14" x14ac:dyDescent="0.25">
      <c r="A154" t="s">
        <v>217</v>
      </c>
      <c r="B154" t="s">
        <v>29</v>
      </c>
      <c r="C154" s="32">
        <v>2.3916135603084801E-3</v>
      </c>
      <c r="D154" s="32">
        <v>-2.92119424204729E-3</v>
      </c>
      <c r="E154" s="32">
        <v>-4.0515877437326004E-3</v>
      </c>
      <c r="F154" s="32">
        <v>3.3076372573825902E-4</v>
      </c>
      <c r="G154" s="32">
        <v>-3.8259788878006202E-3</v>
      </c>
      <c r="H154" s="32">
        <v>2.2235734615141398E-3</v>
      </c>
      <c r="I154" s="32">
        <v>0.11456564901558</v>
      </c>
      <c r="J154" s="32">
        <v>-4.0976313079299498E-4</v>
      </c>
      <c r="K154" s="32">
        <v>5.0095290065751402E-3</v>
      </c>
      <c r="L154" s="32">
        <v>-7.6129196045141304E-2</v>
      </c>
      <c r="N154" t="str">
        <f t="shared" si="278"/>
        <v>lucasseth</v>
      </c>
    </row>
    <row r="155" spans="1:14" x14ac:dyDescent="0.25">
      <c r="A155" t="s">
        <v>24</v>
      </c>
      <c r="B155" t="s">
        <v>29</v>
      </c>
      <c r="C155" s="32">
        <v>-3.8904190309908501E-3</v>
      </c>
      <c r="D155" s="32">
        <v>4.7518837746578502E-3</v>
      </c>
      <c r="E155" s="32">
        <v>-1.9851445212168998E-3</v>
      </c>
      <c r="F155" s="32">
        <v>-0.101732538764593</v>
      </c>
      <c r="G155" s="32">
        <v>5.3908967243443398E-3</v>
      </c>
      <c r="H155" s="32">
        <v>-3.13306874960473E-3</v>
      </c>
      <c r="I155" s="32">
        <v>4.8367090827112803E-3</v>
      </c>
      <c r="J155" s="32">
        <v>0.126030275825012</v>
      </c>
      <c r="K155" s="32">
        <v>2.45450418213533E-3</v>
      </c>
      <c r="L155" s="32">
        <v>-3.2140067911714501E-3</v>
      </c>
      <c r="N155" t="str">
        <f t="shared" si="278"/>
        <v>perryseth</v>
      </c>
    </row>
    <row r="156" spans="1:14" x14ac:dyDescent="0.25">
      <c r="A156" t="s">
        <v>26</v>
      </c>
      <c r="B156" t="s">
        <v>29</v>
      </c>
      <c r="C156" s="32">
        <v>3.8436301469518298E-3</v>
      </c>
      <c r="D156" s="32">
        <v>-4.6947343166874001E-3</v>
      </c>
      <c r="E156" s="32">
        <v>-8.0618074376876597E-2</v>
      </c>
      <c r="F156" s="32">
        <v>6.3766689557956402E-4</v>
      </c>
      <c r="G156" s="32">
        <v>1.0589955381434301E-3</v>
      </c>
      <c r="H156" s="32">
        <v>-6.1546454999683597E-4</v>
      </c>
      <c r="I156" s="32">
        <v>-4.3446024748259003E-3</v>
      </c>
      <c r="J156" s="32">
        <v>-7.8996686517710001E-4</v>
      </c>
      <c r="K156" s="32">
        <v>9.9679090665116002E-2</v>
      </c>
      <c r="L156" s="32">
        <v>2.8870005659309399E-3</v>
      </c>
      <c r="N156" t="str">
        <f t="shared" si="278"/>
        <v>mattyseth</v>
      </c>
    </row>
    <row r="157" spans="1:14" x14ac:dyDescent="0.25">
      <c r="A157" t="s">
        <v>29</v>
      </c>
      <c r="B157" t="s">
        <v>29</v>
      </c>
      <c r="C157">
        <v>-3.8567146806339802E-4</v>
      </c>
      <c r="D157">
        <v>4.7107161897996802E-4</v>
      </c>
      <c r="E157">
        <v>-4.9012480555654702E-4</v>
      </c>
      <c r="F157">
        <v>1.1913152853579899E-3</v>
      </c>
      <c r="G157">
        <v>6.1821786919142897E-3</v>
      </c>
      <c r="H157">
        <v>-3.5929441528049799E-3</v>
      </c>
      <c r="I157">
        <v>-0.12621181503932699</v>
      </c>
      <c r="J157">
        <v>-1.4758482962432E-3</v>
      </c>
      <c r="K157">
        <v>6.0600796171228499E-4</v>
      </c>
      <c r="L157">
        <v>8.3868106128699396E-2</v>
      </c>
      <c r="N157" t="str">
        <f t="shared" si="278"/>
        <v>sethseth</v>
      </c>
    </row>
  </sheetData>
  <mergeCells count="61">
    <mergeCell ref="AW26:BG26"/>
    <mergeCell ref="AF4:AG4"/>
    <mergeCell ref="AH4:AI4"/>
    <mergeCell ref="AJ4:AK4"/>
    <mergeCell ref="AL4:AM4"/>
    <mergeCell ref="AN4:AO4"/>
    <mergeCell ref="AP4:AQ4"/>
    <mergeCell ref="AP3:AQ3"/>
    <mergeCell ref="N4:O4"/>
    <mergeCell ref="P4:Q4"/>
    <mergeCell ref="R4:S4"/>
    <mergeCell ref="T4:U4"/>
    <mergeCell ref="V4:W4"/>
    <mergeCell ref="X4:Y4"/>
    <mergeCell ref="Z4:AA4"/>
    <mergeCell ref="AB4:AC4"/>
    <mergeCell ref="AD4:AE4"/>
    <mergeCell ref="AD3:AE3"/>
    <mergeCell ref="AF3:AG3"/>
    <mergeCell ref="AH3:AI3"/>
    <mergeCell ref="AJ3:AK3"/>
    <mergeCell ref="AL3:AM3"/>
    <mergeCell ref="AN3:AO3"/>
    <mergeCell ref="AN2:AO2"/>
    <mergeCell ref="AP2:AQ2"/>
    <mergeCell ref="N3:O3"/>
    <mergeCell ref="P3:Q3"/>
    <mergeCell ref="R3:S3"/>
    <mergeCell ref="T3:U3"/>
    <mergeCell ref="V3:W3"/>
    <mergeCell ref="X3:Y3"/>
    <mergeCell ref="Z3:AA3"/>
    <mergeCell ref="AB3:AC3"/>
    <mergeCell ref="AB2:AC2"/>
    <mergeCell ref="AD2:AE2"/>
    <mergeCell ref="AF2:AG2"/>
    <mergeCell ref="AH2:AI2"/>
    <mergeCell ref="AJ2:AK2"/>
    <mergeCell ref="AL2:AM2"/>
    <mergeCell ref="AL1:AM1"/>
    <mergeCell ref="AN1:AO1"/>
    <mergeCell ref="AP1:AQ1"/>
    <mergeCell ref="N2:O2"/>
    <mergeCell ref="P2:Q2"/>
    <mergeCell ref="R2:S2"/>
    <mergeCell ref="T2:U2"/>
    <mergeCell ref="V2:W2"/>
    <mergeCell ref="X2:Y2"/>
    <mergeCell ref="Z2:AA2"/>
    <mergeCell ref="Z1:AA1"/>
    <mergeCell ref="AB1:AC1"/>
    <mergeCell ref="AD1:AE1"/>
    <mergeCell ref="AF1:AG1"/>
    <mergeCell ref="AH1:AI1"/>
    <mergeCell ref="AJ1:AK1"/>
    <mergeCell ref="X1:Y1"/>
    <mergeCell ref="N1:O1"/>
    <mergeCell ref="P1:Q1"/>
    <mergeCell ref="R1:S1"/>
    <mergeCell ref="T1:U1"/>
    <mergeCell ref="V1:W1"/>
  </mergeCells>
  <conditionalFormatting sqref="N6">
    <cfRule type="dataBar" priority="791">
      <dataBar>
        <cfvo type="num" val="0"/>
        <cfvo type="num" val="0.3"/>
        <color rgb="FF63C384"/>
      </dataBar>
      <extLst>
        <ext xmlns:x14="http://schemas.microsoft.com/office/spreadsheetml/2009/9/main" uri="{B025F937-C7B1-47D3-B67F-A62EFF666E3E}">
          <x14:id>{3BE22C79-4988-4F65-A639-1F87C09017A7}</x14:id>
        </ext>
      </extLst>
    </cfRule>
  </conditionalFormatting>
  <conditionalFormatting sqref="N8">
    <cfRule type="dataBar" priority="786">
      <dataBar>
        <cfvo type="num" val="0"/>
        <cfvo type="num" val="0.3"/>
        <color rgb="FF63C384"/>
      </dataBar>
      <extLst>
        <ext xmlns:x14="http://schemas.microsoft.com/office/spreadsheetml/2009/9/main" uri="{B025F937-C7B1-47D3-B67F-A62EFF666E3E}">
          <x14:id>{C57DB0B9-D48A-4C71-B02D-90118DB95E6B}</x14:id>
        </ext>
      </extLst>
    </cfRule>
  </conditionalFormatting>
  <conditionalFormatting sqref="N7">
    <cfRule type="dataBar" priority="785">
      <dataBar>
        <cfvo type="num" val="0"/>
        <cfvo type="num" val="-0.3"/>
        <color rgb="FF63C384"/>
      </dataBar>
      <extLst>
        <ext xmlns:x14="http://schemas.microsoft.com/office/spreadsheetml/2009/9/main" uri="{B025F937-C7B1-47D3-B67F-A62EFF666E3E}">
          <x14:id>{C2598E8F-F9CC-498B-ADE3-E890BE9B25A9}</x14:id>
        </ext>
      </extLst>
    </cfRule>
  </conditionalFormatting>
  <conditionalFormatting sqref="N9">
    <cfRule type="dataBar" priority="784">
      <dataBar>
        <cfvo type="num" val="0"/>
        <cfvo type="num" val="-0.3"/>
        <color rgb="FF63C384"/>
      </dataBar>
      <extLst>
        <ext xmlns:x14="http://schemas.microsoft.com/office/spreadsheetml/2009/9/main" uri="{B025F937-C7B1-47D3-B67F-A62EFF666E3E}">
          <x14:id>{41083714-EEE2-4D4F-83CD-5C71A97DD6B9}</x14:id>
        </ext>
      </extLst>
    </cfRule>
  </conditionalFormatting>
  <conditionalFormatting sqref="N11">
    <cfRule type="dataBar" priority="783">
      <dataBar>
        <cfvo type="num" val="0"/>
        <cfvo type="num" val="0.3"/>
        <color rgb="FF63C384"/>
      </dataBar>
      <extLst>
        <ext xmlns:x14="http://schemas.microsoft.com/office/spreadsheetml/2009/9/main" uri="{B025F937-C7B1-47D3-B67F-A62EFF666E3E}">
          <x14:id>{AD763D2C-8E07-489D-BBF3-DBC4973BC6DD}</x14:id>
        </ext>
      </extLst>
    </cfRule>
  </conditionalFormatting>
  <conditionalFormatting sqref="N10">
    <cfRule type="dataBar" priority="782">
      <dataBar>
        <cfvo type="num" val="0"/>
        <cfvo type="num" val="-0.3"/>
        <color rgb="FF63C384"/>
      </dataBar>
      <extLst>
        <ext xmlns:x14="http://schemas.microsoft.com/office/spreadsheetml/2009/9/main" uri="{B025F937-C7B1-47D3-B67F-A62EFF666E3E}">
          <x14:id>{9F5658EB-6AE7-43B6-BDCC-D498D257C6C6}</x14:id>
        </ext>
      </extLst>
    </cfRule>
  </conditionalFormatting>
  <conditionalFormatting sqref="N12">
    <cfRule type="dataBar" priority="781">
      <dataBar>
        <cfvo type="num" val="0"/>
        <cfvo type="num" val="0.3"/>
        <color rgb="FF63C384"/>
      </dataBar>
      <extLst>
        <ext xmlns:x14="http://schemas.microsoft.com/office/spreadsheetml/2009/9/main" uri="{B025F937-C7B1-47D3-B67F-A62EFF666E3E}">
          <x14:id>{2AD739E7-E219-43E8-9B05-6F1005B3A924}</x14:id>
        </ext>
      </extLst>
    </cfRule>
  </conditionalFormatting>
  <conditionalFormatting sqref="N14">
    <cfRule type="dataBar" priority="780">
      <dataBar>
        <cfvo type="num" val="0"/>
        <cfvo type="num" val="-0.3"/>
        <color rgb="FF63C384"/>
      </dataBar>
      <extLst>
        <ext xmlns:x14="http://schemas.microsoft.com/office/spreadsheetml/2009/9/main" uri="{B025F937-C7B1-47D3-B67F-A62EFF666E3E}">
          <x14:id>{D0F2B899-075F-469E-9902-57321B9E7B5F}</x14:id>
        </ext>
      </extLst>
    </cfRule>
  </conditionalFormatting>
  <conditionalFormatting sqref="N13">
    <cfRule type="dataBar" priority="779">
      <dataBar>
        <cfvo type="num" val="0"/>
        <cfvo type="num" val="0.3"/>
        <color rgb="FF63C384"/>
      </dataBar>
      <extLst>
        <ext xmlns:x14="http://schemas.microsoft.com/office/spreadsheetml/2009/9/main" uri="{B025F937-C7B1-47D3-B67F-A62EFF666E3E}">
          <x14:id>{0109E89A-61C2-4C9D-858D-0CF6B083D42D}</x14:id>
        </ext>
      </extLst>
    </cfRule>
  </conditionalFormatting>
  <conditionalFormatting sqref="N15">
    <cfRule type="dataBar" priority="778">
      <dataBar>
        <cfvo type="num" val="0"/>
        <cfvo type="num" val="-0.3"/>
        <color rgb="FF63C384"/>
      </dataBar>
      <extLst>
        <ext xmlns:x14="http://schemas.microsoft.com/office/spreadsheetml/2009/9/main" uri="{B025F937-C7B1-47D3-B67F-A62EFF666E3E}">
          <x14:id>{A3B90CFA-08A9-4FBA-8FA5-2DBF64E68A96}</x14:id>
        </ext>
      </extLst>
    </cfRule>
  </conditionalFormatting>
  <conditionalFormatting sqref="O6">
    <cfRule type="dataBar" priority="777">
      <dataBar>
        <cfvo type="num" val="0"/>
        <cfvo type="num" val="-0.3"/>
        <color rgb="FF63C384"/>
      </dataBar>
      <extLst>
        <ext xmlns:x14="http://schemas.microsoft.com/office/spreadsheetml/2009/9/main" uri="{B025F937-C7B1-47D3-B67F-A62EFF666E3E}">
          <x14:id>{C441A293-2DD7-4BD5-9D84-F30BCA5D9E81}</x14:id>
        </ext>
      </extLst>
    </cfRule>
  </conditionalFormatting>
  <conditionalFormatting sqref="O8">
    <cfRule type="dataBar" priority="776">
      <dataBar>
        <cfvo type="num" val="0"/>
        <cfvo type="num" val="-0.3"/>
        <color rgb="FF63C384"/>
      </dataBar>
      <extLst>
        <ext xmlns:x14="http://schemas.microsoft.com/office/spreadsheetml/2009/9/main" uri="{B025F937-C7B1-47D3-B67F-A62EFF666E3E}">
          <x14:id>{3DB833AE-2EAB-44F2-99F2-B76659A86373}</x14:id>
        </ext>
      </extLst>
    </cfRule>
  </conditionalFormatting>
  <conditionalFormatting sqref="O7">
    <cfRule type="dataBar" priority="775">
      <dataBar>
        <cfvo type="num" val="0"/>
        <cfvo type="num" val="0.3"/>
        <color rgb="FF63C384"/>
      </dataBar>
      <extLst>
        <ext xmlns:x14="http://schemas.microsoft.com/office/spreadsheetml/2009/9/main" uri="{B025F937-C7B1-47D3-B67F-A62EFF666E3E}">
          <x14:id>{1203F3A7-FBC8-4763-94AC-BAA8C58A19D1}</x14:id>
        </ext>
      </extLst>
    </cfRule>
  </conditionalFormatting>
  <conditionalFormatting sqref="O9:O10">
    <cfRule type="dataBar" priority="774">
      <dataBar>
        <cfvo type="num" val="0"/>
        <cfvo type="num" val="0.3"/>
        <color rgb="FF63C384"/>
      </dataBar>
      <extLst>
        <ext xmlns:x14="http://schemas.microsoft.com/office/spreadsheetml/2009/9/main" uri="{B025F937-C7B1-47D3-B67F-A62EFF666E3E}">
          <x14:id>{0BA58919-E278-4FA0-ABEE-6D6B40385BF8}</x14:id>
        </ext>
      </extLst>
    </cfRule>
  </conditionalFormatting>
  <conditionalFormatting sqref="O11">
    <cfRule type="dataBar" priority="773">
      <dataBar>
        <cfvo type="num" val="0"/>
        <cfvo type="num" val="-0.3"/>
        <color rgb="FF63C384"/>
      </dataBar>
      <extLst>
        <ext xmlns:x14="http://schemas.microsoft.com/office/spreadsheetml/2009/9/main" uri="{B025F937-C7B1-47D3-B67F-A62EFF666E3E}">
          <x14:id>{D73752EB-6B64-43BA-AFED-14F128DD10E1}</x14:id>
        </ext>
      </extLst>
    </cfRule>
  </conditionalFormatting>
  <conditionalFormatting sqref="O12">
    <cfRule type="dataBar" priority="771">
      <dataBar>
        <cfvo type="num" val="0"/>
        <cfvo type="num" val="0.3"/>
        <color rgb="FF63C384"/>
      </dataBar>
      <extLst>
        <ext xmlns:x14="http://schemas.microsoft.com/office/spreadsheetml/2009/9/main" uri="{B025F937-C7B1-47D3-B67F-A62EFF666E3E}">
          <x14:id>{417A4726-891A-4BCC-983D-26C4A5A31F20}</x14:id>
        </ext>
      </extLst>
    </cfRule>
  </conditionalFormatting>
  <conditionalFormatting sqref="O14">
    <cfRule type="dataBar" priority="770">
      <dataBar>
        <cfvo type="num" val="0"/>
        <cfvo type="num" val="0.3"/>
        <color rgb="FF63C384"/>
      </dataBar>
      <extLst>
        <ext xmlns:x14="http://schemas.microsoft.com/office/spreadsheetml/2009/9/main" uri="{B025F937-C7B1-47D3-B67F-A62EFF666E3E}">
          <x14:id>{575E891B-989D-400E-9A18-4DB11623DD63}</x14:id>
        </ext>
      </extLst>
    </cfRule>
  </conditionalFormatting>
  <conditionalFormatting sqref="O13">
    <cfRule type="dataBar" priority="769">
      <dataBar>
        <cfvo type="num" val="0"/>
        <cfvo type="num" val="-0.3"/>
        <color rgb="FF63C384"/>
      </dataBar>
      <extLst>
        <ext xmlns:x14="http://schemas.microsoft.com/office/spreadsheetml/2009/9/main" uri="{B025F937-C7B1-47D3-B67F-A62EFF666E3E}">
          <x14:id>{FB28FF20-CA59-4806-B9A3-3F2ED50641D3}</x14:id>
        </ext>
      </extLst>
    </cfRule>
  </conditionalFormatting>
  <conditionalFormatting sqref="O15">
    <cfRule type="dataBar" priority="768">
      <dataBar>
        <cfvo type="num" val="0"/>
        <cfvo type="num" val="0.3"/>
        <color rgb="FF63C384"/>
      </dataBar>
      <extLst>
        <ext xmlns:x14="http://schemas.microsoft.com/office/spreadsheetml/2009/9/main" uri="{B025F937-C7B1-47D3-B67F-A62EFF666E3E}">
          <x14:id>{BF7CB1E6-ED74-4525-8A0A-20F304DF34C4}</x14:id>
        </ext>
      </extLst>
    </cfRule>
  </conditionalFormatting>
  <conditionalFormatting sqref="AD6">
    <cfRule type="dataBar" priority="133">
      <dataBar>
        <cfvo type="num" val="0"/>
        <cfvo type="num" val="-0.3"/>
        <color rgb="FF63C384"/>
      </dataBar>
      <extLst>
        <ext xmlns:x14="http://schemas.microsoft.com/office/spreadsheetml/2009/9/main" uri="{B025F937-C7B1-47D3-B67F-A62EFF666E3E}">
          <x14:id>{6BB4D7A3-6951-4BCA-94E3-3D83692B3526}</x14:id>
        </ext>
      </extLst>
    </cfRule>
  </conditionalFormatting>
  <conditionalFormatting sqref="AD8">
    <cfRule type="dataBar" priority="132">
      <dataBar>
        <cfvo type="num" val="0"/>
        <cfvo type="num" val="-0.3"/>
        <color rgb="FF63C384"/>
      </dataBar>
      <extLst>
        <ext xmlns:x14="http://schemas.microsoft.com/office/spreadsheetml/2009/9/main" uri="{B025F937-C7B1-47D3-B67F-A62EFF666E3E}">
          <x14:id>{FAF4238F-B830-49B7-902C-705E31ABFFAA}</x14:id>
        </ext>
      </extLst>
    </cfRule>
  </conditionalFormatting>
  <conditionalFormatting sqref="AD7">
    <cfRule type="dataBar" priority="131">
      <dataBar>
        <cfvo type="num" val="0"/>
        <cfvo type="num" val="-0.3"/>
        <color rgb="FF63C384"/>
      </dataBar>
      <extLst>
        <ext xmlns:x14="http://schemas.microsoft.com/office/spreadsheetml/2009/9/main" uri="{B025F937-C7B1-47D3-B67F-A62EFF666E3E}">
          <x14:id>{92D004C2-0875-408D-883C-04F1E76285B8}</x14:id>
        </ext>
      </extLst>
    </cfRule>
  </conditionalFormatting>
  <conditionalFormatting sqref="AB9">
    <cfRule type="dataBar" priority="149">
      <dataBar>
        <cfvo type="num" val="0"/>
        <cfvo type="num" val="-0.3"/>
        <color rgb="FF63C384"/>
      </dataBar>
      <extLst>
        <ext xmlns:x14="http://schemas.microsoft.com/office/spreadsheetml/2009/9/main" uri="{B025F937-C7B1-47D3-B67F-A62EFF666E3E}">
          <x14:id>{DDDF4D96-D1B1-4456-9F65-823DD0CF93FA}</x14:id>
        </ext>
      </extLst>
    </cfRule>
  </conditionalFormatting>
  <conditionalFormatting sqref="AB10">
    <cfRule type="dataBar" priority="147">
      <dataBar>
        <cfvo type="num" val="0"/>
        <cfvo type="num" val="-0.3"/>
        <color rgb="FF63C384"/>
      </dataBar>
      <extLst>
        <ext xmlns:x14="http://schemas.microsoft.com/office/spreadsheetml/2009/9/main" uri="{B025F937-C7B1-47D3-B67F-A62EFF666E3E}">
          <x14:id>{B91C3B7A-A16C-44CA-B6DD-56A845DD4B5E}</x14:id>
        </ext>
      </extLst>
    </cfRule>
  </conditionalFormatting>
  <conditionalFormatting sqref="AB14">
    <cfRule type="dataBar" priority="145">
      <dataBar>
        <cfvo type="num" val="0"/>
        <cfvo type="num" val="0.3"/>
        <color rgb="FF63C384"/>
      </dataBar>
      <extLst>
        <ext xmlns:x14="http://schemas.microsoft.com/office/spreadsheetml/2009/9/main" uri="{B025F937-C7B1-47D3-B67F-A62EFF666E3E}">
          <x14:id>{6DB6573B-677B-4C1F-B192-CEA9DBB6A4DF}</x14:id>
        </ext>
      </extLst>
    </cfRule>
  </conditionalFormatting>
  <conditionalFormatting sqref="AB13">
    <cfRule type="dataBar" priority="144">
      <dataBar>
        <cfvo type="num" val="0"/>
        <cfvo type="num" val="0.3"/>
        <color rgb="FF63C384"/>
      </dataBar>
      <extLst>
        <ext xmlns:x14="http://schemas.microsoft.com/office/spreadsheetml/2009/9/main" uri="{B025F937-C7B1-47D3-B67F-A62EFF666E3E}">
          <x14:id>{41998F01-DCB2-4066-8255-7F379FE521D9}</x14:id>
        </ext>
      </extLst>
    </cfRule>
  </conditionalFormatting>
  <conditionalFormatting sqref="AB6">
    <cfRule type="dataBar" priority="152">
      <dataBar>
        <cfvo type="num" val="0"/>
        <cfvo type="num" val="-0.3"/>
        <color rgb="FF63C384"/>
      </dataBar>
      <extLst>
        <ext xmlns:x14="http://schemas.microsoft.com/office/spreadsheetml/2009/9/main" uri="{B025F937-C7B1-47D3-B67F-A62EFF666E3E}">
          <x14:id>{62F387B6-D15D-45F9-964A-B8842488E118}</x14:id>
        </ext>
      </extLst>
    </cfRule>
  </conditionalFormatting>
  <conditionalFormatting sqref="Z12">
    <cfRule type="dataBar" priority="165">
      <dataBar>
        <cfvo type="num" val="0"/>
        <cfvo type="num" val="0.3"/>
        <color rgb="FF63C384"/>
      </dataBar>
      <extLst>
        <ext xmlns:x14="http://schemas.microsoft.com/office/spreadsheetml/2009/9/main" uri="{B025F937-C7B1-47D3-B67F-A62EFF666E3E}">
          <x14:id>{8AB9AE19-B977-4212-9A92-9FCE6CECDC30}</x14:id>
        </ext>
      </extLst>
    </cfRule>
  </conditionalFormatting>
  <conditionalFormatting sqref="Z7">
    <cfRule type="dataBar" priority="169">
      <dataBar>
        <cfvo type="num" val="0"/>
        <cfvo type="num" val="0.3"/>
        <color rgb="FF63C384"/>
      </dataBar>
      <extLst>
        <ext xmlns:x14="http://schemas.microsoft.com/office/spreadsheetml/2009/9/main" uri="{B025F937-C7B1-47D3-B67F-A62EFF666E3E}">
          <x14:id>{F87F3A36-445A-41F4-A2C6-38A8DCF8B183}</x14:id>
        </ext>
      </extLst>
    </cfRule>
  </conditionalFormatting>
  <conditionalFormatting sqref="Z9">
    <cfRule type="dataBar" priority="168">
      <dataBar>
        <cfvo type="num" val="0"/>
        <cfvo type="num" val="-0.3"/>
        <color rgb="FF63C384"/>
      </dataBar>
      <extLst>
        <ext xmlns:x14="http://schemas.microsoft.com/office/spreadsheetml/2009/9/main" uri="{B025F937-C7B1-47D3-B67F-A62EFF666E3E}">
          <x14:id>{CF09B98D-4D58-4A68-A9A0-6D8F2FD90CA5}</x14:id>
        </ext>
      </extLst>
    </cfRule>
  </conditionalFormatting>
  <conditionalFormatting sqref="X14">
    <cfRule type="dataBar" priority="183">
      <dataBar>
        <cfvo type="num" val="0"/>
        <cfvo type="num" val="0.3"/>
        <color rgb="FF63C384"/>
      </dataBar>
      <extLst>
        <ext xmlns:x14="http://schemas.microsoft.com/office/spreadsheetml/2009/9/main" uri="{B025F937-C7B1-47D3-B67F-A62EFF666E3E}">
          <x14:id>{B4DE7358-D792-4F72-8204-1A13E352CE77}</x14:id>
        </ext>
      </extLst>
    </cfRule>
  </conditionalFormatting>
  <conditionalFormatting sqref="X13">
    <cfRule type="dataBar" priority="182">
      <dataBar>
        <cfvo type="num" val="0"/>
        <cfvo type="num" val="-0.3"/>
        <color rgb="FF63C384"/>
      </dataBar>
      <extLst>
        <ext xmlns:x14="http://schemas.microsoft.com/office/spreadsheetml/2009/9/main" uri="{B025F937-C7B1-47D3-B67F-A62EFF666E3E}">
          <x14:id>{4C135297-439C-4550-8AA2-4E040E1188F0}</x14:id>
        </ext>
      </extLst>
    </cfRule>
  </conditionalFormatting>
  <conditionalFormatting sqref="X7">
    <cfRule type="dataBar" priority="188">
      <dataBar>
        <cfvo type="num" val="0"/>
        <cfvo type="num" val="-0.3"/>
        <color rgb="FF63C384"/>
      </dataBar>
      <extLst>
        <ext xmlns:x14="http://schemas.microsoft.com/office/spreadsheetml/2009/9/main" uri="{B025F937-C7B1-47D3-B67F-A62EFF666E3E}">
          <x14:id>{8ECEEA10-81C6-446F-B6B9-755DBD6C8160}</x14:id>
        </ext>
      </extLst>
    </cfRule>
  </conditionalFormatting>
  <conditionalFormatting sqref="V13">
    <cfRule type="dataBar" priority="201">
      <dataBar>
        <cfvo type="num" val="0"/>
        <cfvo type="num" val="-0.3"/>
        <color rgb="FF63C384"/>
      </dataBar>
      <extLst>
        <ext xmlns:x14="http://schemas.microsoft.com/office/spreadsheetml/2009/9/main" uri="{B025F937-C7B1-47D3-B67F-A62EFF666E3E}">
          <x14:id>{DADB062A-C5BD-4D81-B7A7-07159950B00B}</x14:id>
        </ext>
      </extLst>
    </cfRule>
  </conditionalFormatting>
  <conditionalFormatting sqref="V15">
    <cfRule type="dataBar" priority="200">
      <dataBar>
        <cfvo type="num" val="0"/>
        <cfvo type="num" val="0.3"/>
        <color rgb="FF63C384"/>
      </dataBar>
      <extLst>
        <ext xmlns:x14="http://schemas.microsoft.com/office/spreadsheetml/2009/9/main" uri="{B025F937-C7B1-47D3-B67F-A62EFF666E3E}">
          <x14:id>{126B1F1F-74F1-4054-85F4-A07E6F757399}</x14:id>
        </ext>
      </extLst>
    </cfRule>
  </conditionalFormatting>
  <conditionalFormatting sqref="V8">
    <cfRule type="dataBar" priority="208">
      <dataBar>
        <cfvo type="num" val="0"/>
        <cfvo type="num" val="0.3"/>
        <color rgb="FF63C384"/>
      </dataBar>
      <extLst>
        <ext xmlns:x14="http://schemas.microsoft.com/office/spreadsheetml/2009/9/main" uri="{B025F937-C7B1-47D3-B67F-A62EFF666E3E}">
          <x14:id>{40657FDD-078B-4B34-81D4-C099E5F8900E}</x14:id>
        </ext>
      </extLst>
    </cfRule>
  </conditionalFormatting>
  <conditionalFormatting sqref="V9">
    <cfRule type="dataBar" priority="206">
      <dataBar>
        <cfvo type="num" val="0"/>
        <cfvo type="num" val="0.3"/>
        <color rgb="FF63C384"/>
      </dataBar>
      <extLst>
        <ext xmlns:x14="http://schemas.microsoft.com/office/spreadsheetml/2009/9/main" uri="{B025F937-C7B1-47D3-B67F-A62EFF666E3E}">
          <x14:id>{DE389469-B118-4343-8DEE-40E68790F606}</x14:id>
        </ext>
      </extLst>
    </cfRule>
  </conditionalFormatting>
  <conditionalFormatting sqref="T6">
    <cfRule type="dataBar" priority="228">
      <dataBar>
        <cfvo type="num" val="0"/>
        <cfvo type="num" val="-0.3"/>
        <color rgb="FF63C384"/>
      </dataBar>
      <extLst>
        <ext xmlns:x14="http://schemas.microsoft.com/office/spreadsheetml/2009/9/main" uri="{B025F937-C7B1-47D3-B67F-A62EFF666E3E}">
          <x14:id>{43040E67-F3BB-4A35-AE6E-5BCAF2FF556A}</x14:id>
        </ext>
      </extLst>
    </cfRule>
  </conditionalFormatting>
  <conditionalFormatting sqref="T8">
    <cfRule type="dataBar" priority="227">
      <dataBar>
        <cfvo type="num" val="0"/>
        <cfvo type="num" val="-0.3"/>
        <color rgb="FF63C384"/>
      </dataBar>
      <extLst>
        <ext xmlns:x14="http://schemas.microsoft.com/office/spreadsheetml/2009/9/main" uri="{B025F937-C7B1-47D3-B67F-A62EFF666E3E}">
          <x14:id>{9DD4C7E8-47A4-4904-B525-E5E4A92647C6}</x14:id>
        </ext>
      </extLst>
    </cfRule>
  </conditionalFormatting>
  <conditionalFormatting sqref="T7">
    <cfRule type="dataBar" priority="226">
      <dataBar>
        <cfvo type="num" val="0"/>
        <cfvo type="num" val="-0.3"/>
        <color rgb="FF63C384"/>
      </dataBar>
      <extLst>
        <ext xmlns:x14="http://schemas.microsoft.com/office/spreadsheetml/2009/9/main" uri="{B025F937-C7B1-47D3-B67F-A62EFF666E3E}">
          <x14:id>{1C1B3F6A-0336-4D8F-8800-58E15A6E4B14}</x14:id>
        </ext>
      </extLst>
    </cfRule>
  </conditionalFormatting>
  <conditionalFormatting sqref="T9">
    <cfRule type="dataBar" priority="225">
      <dataBar>
        <cfvo type="num" val="0"/>
        <cfvo type="num" val="-0.3"/>
        <color rgb="FF63C384"/>
      </dataBar>
      <extLst>
        <ext xmlns:x14="http://schemas.microsoft.com/office/spreadsheetml/2009/9/main" uri="{B025F937-C7B1-47D3-B67F-A62EFF666E3E}">
          <x14:id>{94282885-DF7A-4D51-9942-45BB998030CA}</x14:id>
        </ext>
      </extLst>
    </cfRule>
  </conditionalFormatting>
  <conditionalFormatting sqref="T14">
    <cfRule type="dataBar" priority="221">
      <dataBar>
        <cfvo type="num" val="0"/>
        <cfvo type="num" val="-0.3"/>
        <color rgb="FF63C384"/>
      </dataBar>
      <extLst>
        <ext xmlns:x14="http://schemas.microsoft.com/office/spreadsheetml/2009/9/main" uri="{B025F937-C7B1-47D3-B67F-A62EFF666E3E}">
          <x14:id>{F3B3A736-55E8-47C6-AEF3-DA93E49D903B}</x14:id>
        </ext>
      </extLst>
    </cfRule>
  </conditionalFormatting>
  <conditionalFormatting sqref="R6">
    <cfRule type="dataBar" priority="247">
      <dataBar>
        <cfvo type="num" val="0"/>
        <cfvo type="num" val="-0.3"/>
        <color rgb="FF63C384"/>
      </dataBar>
      <extLst>
        <ext xmlns:x14="http://schemas.microsoft.com/office/spreadsheetml/2009/9/main" uri="{B025F937-C7B1-47D3-B67F-A62EFF666E3E}">
          <x14:id>{E1FEC424-0181-40F6-9ED7-079B62F84762}</x14:id>
        </ext>
      </extLst>
    </cfRule>
  </conditionalFormatting>
  <conditionalFormatting sqref="R7">
    <cfRule type="dataBar" priority="245">
      <dataBar>
        <cfvo type="num" val="0"/>
        <cfvo type="num" val="-0.3"/>
        <color rgb="FF63C384"/>
      </dataBar>
      <extLst>
        <ext xmlns:x14="http://schemas.microsoft.com/office/spreadsheetml/2009/9/main" uri="{B025F937-C7B1-47D3-B67F-A62EFF666E3E}">
          <x14:id>{427E8FF7-00D2-4A5B-A189-E21506902C99}</x14:id>
        </ext>
      </extLst>
    </cfRule>
  </conditionalFormatting>
  <conditionalFormatting sqref="R9">
    <cfRule type="dataBar" priority="244">
      <dataBar>
        <cfvo type="num" val="0"/>
        <cfvo type="num" val="-0.3"/>
        <color rgb="FF63C384"/>
      </dataBar>
      <extLst>
        <ext xmlns:x14="http://schemas.microsoft.com/office/spreadsheetml/2009/9/main" uri="{B025F937-C7B1-47D3-B67F-A62EFF666E3E}">
          <x14:id>{7787EB45-F9CB-4EA6-9E57-699476581FFD}</x14:id>
        </ext>
      </extLst>
    </cfRule>
  </conditionalFormatting>
  <conditionalFormatting sqref="R14">
    <cfRule type="dataBar" priority="240">
      <dataBar>
        <cfvo type="num" val="0"/>
        <cfvo type="num" val="-0.3"/>
        <color rgb="FF63C384"/>
      </dataBar>
      <extLst>
        <ext xmlns:x14="http://schemas.microsoft.com/office/spreadsheetml/2009/9/main" uri="{B025F937-C7B1-47D3-B67F-A62EFF666E3E}">
          <x14:id>{7B069D2E-5EF5-4FCB-8876-FDC314F8CCCF}</x14:id>
        </ext>
      </extLst>
    </cfRule>
  </conditionalFormatting>
  <conditionalFormatting sqref="P15">
    <cfRule type="dataBar" priority="257">
      <dataBar>
        <cfvo type="num" val="0"/>
        <cfvo type="num" val="-0.3"/>
        <color rgb="FF63C384"/>
      </dataBar>
      <extLst>
        <ext xmlns:x14="http://schemas.microsoft.com/office/spreadsheetml/2009/9/main" uri="{B025F937-C7B1-47D3-B67F-A62EFF666E3E}">
          <x14:id>{8383926C-AEC4-48CE-9566-5F3A8B7F59AE}</x14:id>
        </ext>
      </extLst>
    </cfRule>
  </conditionalFormatting>
  <conditionalFormatting sqref="P6">
    <cfRule type="dataBar" priority="266">
      <dataBar>
        <cfvo type="num" val="0"/>
        <cfvo type="num" val="-0.3"/>
        <color rgb="FF63C384"/>
      </dataBar>
      <extLst>
        <ext xmlns:x14="http://schemas.microsoft.com/office/spreadsheetml/2009/9/main" uri="{B025F937-C7B1-47D3-B67F-A62EFF666E3E}">
          <x14:id>{766F1390-9295-4167-9719-D944EA2F679B}</x14:id>
        </ext>
      </extLst>
    </cfRule>
  </conditionalFormatting>
  <conditionalFormatting sqref="P8">
    <cfRule type="dataBar" priority="265">
      <dataBar>
        <cfvo type="num" val="0"/>
        <cfvo type="num" val="-0.3"/>
        <color rgb="FF63C384"/>
      </dataBar>
      <extLst>
        <ext xmlns:x14="http://schemas.microsoft.com/office/spreadsheetml/2009/9/main" uri="{B025F937-C7B1-47D3-B67F-A62EFF666E3E}">
          <x14:id>{D2882AF2-C426-4B49-B9D8-AC8E142CFD5A}</x14:id>
        </ext>
      </extLst>
    </cfRule>
  </conditionalFormatting>
  <conditionalFormatting sqref="P7">
    <cfRule type="dataBar" priority="264">
      <dataBar>
        <cfvo type="num" val="0"/>
        <cfvo type="num" val="0.3"/>
        <color rgb="FF63C384"/>
      </dataBar>
      <extLst>
        <ext xmlns:x14="http://schemas.microsoft.com/office/spreadsheetml/2009/9/main" uri="{B025F937-C7B1-47D3-B67F-A62EFF666E3E}">
          <x14:id>{BF4D1E92-1279-46CF-84AC-FBD2A16D80DA}</x14:id>
        </ext>
      </extLst>
    </cfRule>
  </conditionalFormatting>
  <conditionalFormatting sqref="P9">
    <cfRule type="dataBar" priority="263">
      <dataBar>
        <cfvo type="num" val="0"/>
        <cfvo type="num" val="-0.3"/>
        <color rgb="FF63C384"/>
      </dataBar>
      <extLst>
        <ext xmlns:x14="http://schemas.microsoft.com/office/spreadsheetml/2009/9/main" uri="{B025F937-C7B1-47D3-B67F-A62EFF666E3E}">
          <x14:id>{3E73FCBE-D680-4D66-B870-0C2673476EEC}</x14:id>
        </ext>
      </extLst>
    </cfRule>
  </conditionalFormatting>
  <conditionalFormatting sqref="P11">
    <cfRule type="dataBar" priority="262">
      <dataBar>
        <cfvo type="num" val="0"/>
        <cfvo type="num" val="-0.3"/>
        <color rgb="FF63C384"/>
      </dataBar>
      <extLst>
        <ext xmlns:x14="http://schemas.microsoft.com/office/spreadsheetml/2009/9/main" uri="{B025F937-C7B1-47D3-B67F-A62EFF666E3E}">
          <x14:id>{66E4F48E-24B2-4F7C-8AF0-DA5717E11D05}</x14:id>
        </ext>
      </extLst>
    </cfRule>
  </conditionalFormatting>
  <conditionalFormatting sqref="P10">
    <cfRule type="dataBar" priority="261">
      <dataBar>
        <cfvo type="num" val="0"/>
        <cfvo type="num" val="-0.3"/>
        <color rgb="FF63C384"/>
      </dataBar>
      <extLst>
        <ext xmlns:x14="http://schemas.microsoft.com/office/spreadsheetml/2009/9/main" uri="{B025F937-C7B1-47D3-B67F-A62EFF666E3E}">
          <x14:id>{BE3FAF80-42B6-4D8B-AC8B-48922B6DA38B}</x14:id>
        </ext>
      </extLst>
    </cfRule>
  </conditionalFormatting>
  <conditionalFormatting sqref="P12">
    <cfRule type="dataBar" priority="260">
      <dataBar>
        <cfvo type="num" val="0"/>
        <cfvo type="num" val="0.3"/>
        <color rgb="FF63C384"/>
      </dataBar>
      <extLst>
        <ext xmlns:x14="http://schemas.microsoft.com/office/spreadsheetml/2009/9/main" uri="{B025F937-C7B1-47D3-B67F-A62EFF666E3E}">
          <x14:id>{7967807A-825F-4438-AD95-C515E934F9E2}</x14:id>
        </ext>
      </extLst>
    </cfRule>
  </conditionalFormatting>
  <conditionalFormatting sqref="P14">
    <cfRule type="dataBar" priority="259">
      <dataBar>
        <cfvo type="num" val="0"/>
        <cfvo type="num" val="-0.3"/>
        <color rgb="FF63C384"/>
      </dataBar>
      <extLst>
        <ext xmlns:x14="http://schemas.microsoft.com/office/spreadsheetml/2009/9/main" uri="{B025F937-C7B1-47D3-B67F-A62EFF666E3E}">
          <x14:id>{4E878595-3382-4AD1-B169-70BBFF0A5306}</x14:id>
        </ext>
      </extLst>
    </cfRule>
  </conditionalFormatting>
  <conditionalFormatting sqref="P13">
    <cfRule type="dataBar" priority="258">
      <dataBar>
        <cfvo type="num" val="0"/>
        <cfvo type="num" val="-0.3"/>
        <color rgb="FF63C384"/>
      </dataBar>
      <extLst>
        <ext xmlns:x14="http://schemas.microsoft.com/office/spreadsheetml/2009/9/main" uri="{B025F937-C7B1-47D3-B67F-A62EFF666E3E}">
          <x14:id>{D45CC13C-D407-4612-84BE-09732B423D6B}</x14:id>
        </ext>
      </extLst>
    </cfRule>
  </conditionalFormatting>
  <conditionalFormatting sqref="Q6">
    <cfRule type="dataBar" priority="256">
      <dataBar>
        <cfvo type="num" val="0"/>
        <cfvo type="num" val="0.3"/>
        <color rgb="FF63C384"/>
      </dataBar>
      <extLst>
        <ext xmlns:x14="http://schemas.microsoft.com/office/spreadsheetml/2009/9/main" uri="{B025F937-C7B1-47D3-B67F-A62EFF666E3E}">
          <x14:id>{5BD4BF27-BAE9-4309-AFD8-D32F98DB9EB3}</x14:id>
        </ext>
      </extLst>
    </cfRule>
  </conditionalFormatting>
  <conditionalFormatting sqref="Q8">
    <cfRule type="dataBar" priority="255">
      <dataBar>
        <cfvo type="num" val="0"/>
        <cfvo type="num" val="0.3"/>
        <color rgb="FF63C384"/>
      </dataBar>
      <extLst>
        <ext xmlns:x14="http://schemas.microsoft.com/office/spreadsheetml/2009/9/main" uri="{B025F937-C7B1-47D3-B67F-A62EFF666E3E}">
          <x14:id>{AD81B405-DF4C-4CFC-8788-D5266D576CCB}</x14:id>
        </ext>
      </extLst>
    </cfRule>
  </conditionalFormatting>
  <conditionalFormatting sqref="Q7">
    <cfRule type="dataBar" priority="254">
      <dataBar>
        <cfvo type="num" val="0"/>
        <cfvo type="num" val="-0.3"/>
        <color rgb="FF63C384"/>
      </dataBar>
      <extLst>
        <ext xmlns:x14="http://schemas.microsoft.com/office/spreadsheetml/2009/9/main" uri="{B025F937-C7B1-47D3-B67F-A62EFF666E3E}">
          <x14:id>{30354E3D-28BC-4A2B-B946-15744ECD82B4}</x14:id>
        </ext>
      </extLst>
    </cfRule>
  </conditionalFormatting>
  <conditionalFormatting sqref="Q9:Q10">
    <cfRule type="dataBar" priority="253">
      <dataBar>
        <cfvo type="num" val="0"/>
        <cfvo type="num" val="0.3"/>
        <color rgb="FF63C384"/>
      </dataBar>
      <extLst>
        <ext xmlns:x14="http://schemas.microsoft.com/office/spreadsheetml/2009/9/main" uri="{B025F937-C7B1-47D3-B67F-A62EFF666E3E}">
          <x14:id>{B4F065D1-C195-4823-97B6-715708FE2297}</x14:id>
        </ext>
      </extLst>
    </cfRule>
  </conditionalFormatting>
  <conditionalFormatting sqref="Q11">
    <cfRule type="dataBar" priority="252">
      <dataBar>
        <cfvo type="num" val="0"/>
        <cfvo type="num" val="0.3"/>
        <color rgb="FF63C384"/>
      </dataBar>
      <extLst>
        <ext xmlns:x14="http://schemas.microsoft.com/office/spreadsheetml/2009/9/main" uri="{B025F937-C7B1-47D3-B67F-A62EFF666E3E}">
          <x14:id>{05A03EE1-2794-4989-B135-43339C1EFDCB}</x14:id>
        </ext>
      </extLst>
    </cfRule>
  </conditionalFormatting>
  <conditionalFormatting sqref="Q12">
    <cfRule type="dataBar" priority="251">
      <dataBar>
        <cfvo type="num" val="0"/>
        <cfvo type="num" val="0.3"/>
        <color rgb="FF63C384"/>
      </dataBar>
      <extLst>
        <ext xmlns:x14="http://schemas.microsoft.com/office/spreadsheetml/2009/9/main" uri="{B025F937-C7B1-47D3-B67F-A62EFF666E3E}">
          <x14:id>{FBE7007C-DC3D-4ABC-818F-69B7A2E27229}</x14:id>
        </ext>
      </extLst>
    </cfRule>
  </conditionalFormatting>
  <conditionalFormatting sqref="Q14">
    <cfRule type="dataBar" priority="250">
      <dataBar>
        <cfvo type="num" val="0"/>
        <cfvo type="num" val="0.3"/>
        <color rgb="FF63C384"/>
      </dataBar>
      <extLst>
        <ext xmlns:x14="http://schemas.microsoft.com/office/spreadsheetml/2009/9/main" uri="{B025F937-C7B1-47D3-B67F-A62EFF666E3E}">
          <x14:id>{53E928B9-B816-4A0B-8570-FF1F974D02D4}</x14:id>
        </ext>
      </extLst>
    </cfRule>
  </conditionalFormatting>
  <conditionalFormatting sqref="Q13">
    <cfRule type="dataBar" priority="249">
      <dataBar>
        <cfvo type="num" val="0"/>
        <cfvo type="num" val="0.3"/>
        <color rgb="FF63C384"/>
      </dataBar>
      <extLst>
        <ext xmlns:x14="http://schemas.microsoft.com/office/spreadsheetml/2009/9/main" uri="{B025F937-C7B1-47D3-B67F-A62EFF666E3E}">
          <x14:id>{E8FB485E-05B0-4F45-A03E-62E3063BEFE2}</x14:id>
        </ext>
      </extLst>
    </cfRule>
  </conditionalFormatting>
  <conditionalFormatting sqref="Q15">
    <cfRule type="dataBar" priority="248">
      <dataBar>
        <cfvo type="num" val="0"/>
        <cfvo type="num" val="0.3"/>
        <color rgb="FF63C384"/>
      </dataBar>
      <extLst>
        <ext xmlns:x14="http://schemas.microsoft.com/office/spreadsheetml/2009/9/main" uri="{B025F937-C7B1-47D3-B67F-A62EFF666E3E}">
          <x14:id>{9E5341EC-5F28-4A45-9EE1-69F88E1E514B}</x14:id>
        </ext>
      </extLst>
    </cfRule>
  </conditionalFormatting>
  <conditionalFormatting sqref="R8">
    <cfRule type="dataBar" priority="246">
      <dataBar>
        <cfvo type="num" val="0"/>
        <cfvo type="num" val="0.3"/>
        <color rgb="FF63C384"/>
      </dataBar>
      <extLst>
        <ext xmlns:x14="http://schemas.microsoft.com/office/spreadsheetml/2009/9/main" uri="{B025F937-C7B1-47D3-B67F-A62EFF666E3E}">
          <x14:id>{F2D77C4D-6CF9-4189-99ED-D5D7FC624CF0}</x14:id>
        </ext>
      </extLst>
    </cfRule>
  </conditionalFormatting>
  <conditionalFormatting sqref="R11">
    <cfRule type="dataBar" priority="243">
      <dataBar>
        <cfvo type="num" val="0"/>
        <cfvo type="num" val="-0.3"/>
        <color rgb="FF63C384"/>
      </dataBar>
      <extLst>
        <ext xmlns:x14="http://schemas.microsoft.com/office/spreadsheetml/2009/9/main" uri="{B025F937-C7B1-47D3-B67F-A62EFF666E3E}">
          <x14:id>{4316B8F6-4B0B-45EF-874D-7F7754C06220}</x14:id>
        </ext>
      </extLst>
    </cfRule>
  </conditionalFormatting>
  <conditionalFormatting sqref="R10">
    <cfRule type="dataBar" priority="242">
      <dataBar>
        <cfvo type="num" val="0"/>
        <cfvo type="num" val="-0.3"/>
        <color rgb="FF63C384"/>
      </dataBar>
      <extLst>
        <ext xmlns:x14="http://schemas.microsoft.com/office/spreadsheetml/2009/9/main" uri="{B025F937-C7B1-47D3-B67F-A62EFF666E3E}">
          <x14:id>{EB53DF52-5BA6-4987-98B0-1F8CC897310D}</x14:id>
        </ext>
      </extLst>
    </cfRule>
  </conditionalFormatting>
  <conditionalFormatting sqref="R12">
    <cfRule type="dataBar" priority="241">
      <dataBar>
        <cfvo type="num" val="0"/>
        <cfvo type="num" val="0.3"/>
        <color rgb="FF63C384"/>
      </dataBar>
      <extLst>
        <ext xmlns:x14="http://schemas.microsoft.com/office/spreadsheetml/2009/9/main" uri="{B025F937-C7B1-47D3-B67F-A62EFF666E3E}">
          <x14:id>{BA98709C-7089-4CF5-87B3-526E946E7A17}</x14:id>
        </ext>
      </extLst>
    </cfRule>
  </conditionalFormatting>
  <conditionalFormatting sqref="R13">
    <cfRule type="dataBar" priority="239">
      <dataBar>
        <cfvo type="num" val="0"/>
        <cfvo type="num" val="-0.3"/>
        <color rgb="FF63C384"/>
      </dataBar>
      <extLst>
        <ext xmlns:x14="http://schemas.microsoft.com/office/spreadsheetml/2009/9/main" uri="{B025F937-C7B1-47D3-B67F-A62EFF666E3E}">
          <x14:id>{98DFE44E-05FA-4110-880A-A3AAC9D05CC5}</x14:id>
        </ext>
      </extLst>
    </cfRule>
  </conditionalFormatting>
  <conditionalFormatting sqref="R15">
    <cfRule type="dataBar" priority="238">
      <dataBar>
        <cfvo type="num" val="0"/>
        <cfvo type="num" val="-0.3"/>
        <color rgb="FF63C384"/>
      </dataBar>
      <extLst>
        <ext xmlns:x14="http://schemas.microsoft.com/office/spreadsheetml/2009/9/main" uri="{B025F937-C7B1-47D3-B67F-A62EFF666E3E}">
          <x14:id>{A362760E-E569-4ECD-A5CB-3E6E1473938D}</x14:id>
        </ext>
      </extLst>
    </cfRule>
  </conditionalFormatting>
  <conditionalFormatting sqref="S6">
    <cfRule type="dataBar" priority="237">
      <dataBar>
        <cfvo type="num" val="0"/>
        <cfvo type="num" val="0.3"/>
        <color rgb="FF63C384"/>
      </dataBar>
      <extLst>
        <ext xmlns:x14="http://schemas.microsoft.com/office/spreadsheetml/2009/9/main" uri="{B025F937-C7B1-47D3-B67F-A62EFF666E3E}">
          <x14:id>{65E4594C-EB99-41DE-BAF9-897A41990CA5}</x14:id>
        </ext>
      </extLst>
    </cfRule>
  </conditionalFormatting>
  <conditionalFormatting sqref="S8">
    <cfRule type="dataBar" priority="236">
      <dataBar>
        <cfvo type="num" val="0"/>
        <cfvo type="num" val="-0.3"/>
        <color rgb="FF63C384"/>
      </dataBar>
      <extLst>
        <ext xmlns:x14="http://schemas.microsoft.com/office/spreadsheetml/2009/9/main" uri="{B025F937-C7B1-47D3-B67F-A62EFF666E3E}">
          <x14:id>{F530CE1A-3A32-4ECA-8F3D-718F05CA4D88}</x14:id>
        </ext>
      </extLst>
    </cfRule>
  </conditionalFormatting>
  <conditionalFormatting sqref="S7">
    <cfRule type="dataBar" priority="235">
      <dataBar>
        <cfvo type="num" val="0"/>
        <cfvo type="num" val="0.3"/>
        <color rgb="FF63C384"/>
      </dataBar>
      <extLst>
        <ext xmlns:x14="http://schemas.microsoft.com/office/spreadsheetml/2009/9/main" uri="{B025F937-C7B1-47D3-B67F-A62EFF666E3E}">
          <x14:id>{89298EA8-0EA6-49AF-A3FF-066E5A12E2E1}</x14:id>
        </ext>
      </extLst>
    </cfRule>
  </conditionalFormatting>
  <conditionalFormatting sqref="S9:S10">
    <cfRule type="dataBar" priority="234">
      <dataBar>
        <cfvo type="num" val="0"/>
        <cfvo type="num" val="0.3"/>
        <color rgb="FF63C384"/>
      </dataBar>
      <extLst>
        <ext xmlns:x14="http://schemas.microsoft.com/office/spreadsheetml/2009/9/main" uri="{B025F937-C7B1-47D3-B67F-A62EFF666E3E}">
          <x14:id>{7DB49E4F-A934-4ACF-860C-B44B91FB0E98}</x14:id>
        </ext>
      </extLst>
    </cfRule>
  </conditionalFormatting>
  <conditionalFormatting sqref="S11">
    <cfRule type="dataBar" priority="233">
      <dataBar>
        <cfvo type="num" val="0"/>
        <cfvo type="num" val="0.3"/>
        <color rgb="FF63C384"/>
      </dataBar>
      <extLst>
        <ext xmlns:x14="http://schemas.microsoft.com/office/spreadsheetml/2009/9/main" uri="{B025F937-C7B1-47D3-B67F-A62EFF666E3E}">
          <x14:id>{A4948E81-2AF7-44F8-B356-96B8C7A58B7A}</x14:id>
        </ext>
      </extLst>
    </cfRule>
  </conditionalFormatting>
  <conditionalFormatting sqref="S12">
    <cfRule type="dataBar" priority="232">
      <dataBar>
        <cfvo type="num" val="0"/>
        <cfvo type="num" val="0.3"/>
        <color rgb="FF63C384"/>
      </dataBar>
      <extLst>
        <ext xmlns:x14="http://schemas.microsoft.com/office/spreadsheetml/2009/9/main" uri="{B025F937-C7B1-47D3-B67F-A62EFF666E3E}">
          <x14:id>{9FE5C327-5554-4085-BE72-98E59BA7E88B}</x14:id>
        </ext>
      </extLst>
    </cfRule>
  </conditionalFormatting>
  <conditionalFormatting sqref="S14">
    <cfRule type="dataBar" priority="231">
      <dataBar>
        <cfvo type="num" val="0"/>
        <cfvo type="num" val="0.3"/>
        <color rgb="FF63C384"/>
      </dataBar>
      <extLst>
        <ext xmlns:x14="http://schemas.microsoft.com/office/spreadsheetml/2009/9/main" uri="{B025F937-C7B1-47D3-B67F-A62EFF666E3E}">
          <x14:id>{B70B3837-F38D-468D-85DD-FB611D712FF0}</x14:id>
        </ext>
      </extLst>
    </cfRule>
  </conditionalFormatting>
  <conditionalFormatting sqref="S13">
    <cfRule type="dataBar" priority="230">
      <dataBar>
        <cfvo type="num" val="0"/>
        <cfvo type="num" val="0.3"/>
        <color rgb="FF63C384"/>
      </dataBar>
      <extLst>
        <ext xmlns:x14="http://schemas.microsoft.com/office/spreadsheetml/2009/9/main" uri="{B025F937-C7B1-47D3-B67F-A62EFF666E3E}">
          <x14:id>{D50C5A97-48D5-4684-8DE4-CDC0D0FEC2A1}</x14:id>
        </ext>
      </extLst>
    </cfRule>
  </conditionalFormatting>
  <conditionalFormatting sqref="S15">
    <cfRule type="dataBar" priority="229">
      <dataBar>
        <cfvo type="num" val="0"/>
        <cfvo type="num" val="0.3"/>
        <color rgb="FF63C384"/>
      </dataBar>
      <extLst>
        <ext xmlns:x14="http://schemas.microsoft.com/office/spreadsheetml/2009/9/main" uri="{B025F937-C7B1-47D3-B67F-A62EFF666E3E}">
          <x14:id>{2787EDE1-8FEF-4080-808C-A23A838A8685}</x14:id>
        </ext>
      </extLst>
    </cfRule>
  </conditionalFormatting>
  <conditionalFormatting sqref="AQ15">
    <cfRule type="dataBar" priority="1">
      <dataBar>
        <cfvo type="num" val="0"/>
        <cfvo type="num" val="0.3"/>
        <color rgb="FF63C384"/>
      </dataBar>
      <extLst>
        <ext xmlns:x14="http://schemas.microsoft.com/office/spreadsheetml/2009/9/main" uri="{B025F937-C7B1-47D3-B67F-A62EFF666E3E}">
          <x14:id>{D84BFA99-CE28-4C12-B2BB-ED56A2716EF0}</x14:id>
        </ext>
      </extLst>
    </cfRule>
  </conditionalFormatting>
  <conditionalFormatting sqref="T11">
    <cfRule type="dataBar" priority="224">
      <dataBar>
        <cfvo type="num" val="0"/>
        <cfvo type="num" val="-0.3"/>
        <color rgb="FF63C384"/>
      </dataBar>
      <extLst>
        <ext xmlns:x14="http://schemas.microsoft.com/office/spreadsheetml/2009/9/main" uri="{B025F937-C7B1-47D3-B67F-A62EFF666E3E}">
          <x14:id>{0E1D84EF-83F7-4DDC-9F62-17D208230916}</x14:id>
        </ext>
      </extLst>
    </cfRule>
  </conditionalFormatting>
  <conditionalFormatting sqref="T10">
    <cfRule type="dataBar" priority="223">
      <dataBar>
        <cfvo type="num" val="0"/>
        <cfvo type="num" val="0.3"/>
        <color rgb="FF63C384"/>
      </dataBar>
      <extLst>
        <ext xmlns:x14="http://schemas.microsoft.com/office/spreadsheetml/2009/9/main" uri="{B025F937-C7B1-47D3-B67F-A62EFF666E3E}">
          <x14:id>{04A0433D-688C-4A6F-92D3-D7157893205F}</x14:id>
        </ext>
      </extLst>
    </cfRule>
  </conditionalFormatting>
  <conditionalFormatting sqref="T12">
    <cfRule type="dataBar" priority="222">
      <dataBar>
        <cfvo type="num" val="0"/>
        <cfvo type="num" val="0.3"/>
        <color rgb="FF63C384"/>
      </dataBar>
      <extLst>
        <ext xmlns:x14="http://schemas.microsoft.com/office/spreadsheetml/2009/9/main" uri="{B025F937-C7B1-47D3-B67F-A62EFF666E3E}">
          <x14:id>{A2B17F48-11B7-4E9B-A1FA-FF584AD4F69F}</x14:id>
        </ext>
      </extLst>
    </cfRule>
  </conditionalFormatting>
  <conditionalFormatting sqref="T13">
    <cfRule type="dataBar" priority="220">
      <dataBar>
        <cfvo type="num" val="0"/>
        <cfvo type="num" val="-0.3"/>
        <color rgb="FF63C384"/>
      </dataBar>
      <extLst>
        <ext xmlns:x14="http://schemas.microsoft.com/office/spreadsheetml/2009/9/main" uri="{B025F937-C7B1-47D3-B67F-A62EFF666E3E}">
          <x14:id>{DF3CB774-278E-4ABA-8C8F-774714C99F68}</x14:id>
        </ext>
      </extLst>
    </cfRule>
  </conditionalFormatting>
  <conditionalFormatting sqref="T15">
    <cfRule type="dataBar" priority="219">
      <dataBar>
        <cfvo type="num" val="0"/>
        <cfvo type="num" val="-0.3"/>
        <color rgb="FF63C384"/>
      </dataBar>
      <extLst>
        <ext xmlns:x14="http://schemas.microsoft.com/office/spreadsheetml/2009/9/main" uri="{B025F937-C7B1-47D3-B67F-A62EFF666E3E}">
          <x14:id>{42EA199D-39CD-437B-8A02-C019214C01DC}</x14:id>
        </ext>
      </extLst>
    </cfRule>
  </conditionalFormatting>
  <conditionalFormatting sqref="U6">
    <cfRule type="dataBar" priority="218">
      <dataBar>
        <cfvo type="num" val="0"/>
        <cfvo type="num" val="0.3"/>
        <color rgb="FF63C384"/>
      </dataBar>
      <extLst>
        <ext xmlns:x14="http://schemas.microsoft.com/office/spreadsheetml/2009/9/main" uri="{B025F937-C7B1-47D3-B67F-A62EFF666E3E}">
          <x14:id>{387BA523-BA4B-4EDE-A5AC-DD6C4FFABD7B}</x14:id>
        </ext>
      </extLst>
    </cfRule>
  </conditionalFormatting>
  <conditionalFormatting sqref="U8">
    <cfRule type="dataBar" priority="217">
      <dataBar>
        <cfvo type="num" val="0"/>
        <cfvo type="num" val="0.3"/>
        <color rgb="FF63C384"/>
      </dataBar>
      <extLst>
        <ext xmlns:x14="http://schemas.microsoft.com/office/spreadsheetml/2009/9/main" uri="{B025F937-C7B1-47D3-B67F-A62EFF666E3E}">
          <x14:id>{DF7042E3-9811-49BF-BEC0-C62976E6DCC0}</x14:id>
        </ext>
      </extLst>
    </cfRule>
  </conditionalFormatting>
  <conditionalFormatting sqref="U7">
    <cfRule type="dataBar" priority="216">
      <dataBar>
        <cfvo type="num" val="0"/>
        <cfvo type="num" val="0.3"/>
        <color rgb="FF63C384"/>
      </dataBar>
      <extLst>
        <ext xmlns:x14="http://schemas.microsoft.com/office/spreadsheetml/2009/9/main" uri="{B025F937-C7B1-47D3-B67F-A62EFF666E3E}">
          <x14:id>{3AB2C778-312F-40B8-A10F-55FC6657F552}</x14:id>
        </ext>
      </extLst>
    </cfRule>
  </conditionalFormatting>
  <conditionalFormatting sqref="U9:U10">
    <cfRule type="dataBar" priority="215">
      <dataBar>
        <cfvo type="num" val="0"/>
        <cfvo type="num" val="-0.3"/>
        <color rgb="FF63C384"/>
      </dataBar>
      <extLst>
        <ext xmlns:x14="http://schemas.microsoft.com/office/spreadsheetml/2009/9/main" uri="{B025F937-C7B1-47D3-B67F-A62EFF666E3E}">
          <x14:id>{B90133F6-C011-405A-A485-AA39F906BEE4}</x14:id>
        </ext>
      </extLst>
    </cfRule>
  </conditionalFormatting>
  <conditionalFormatting sqref="U11">
    <cfRule type="dataBar" priority="214">
      <dataBar>
        <cfvo type="num" val="0"/>
        <cfvo type="num" val="0.3"/>
        <color rgb="FF63C384"/>
      </dataBar>
      <extLst>
        <ext xmlns:x14="http://schemas.microsoft.com/office/spreadsheetml/2009/9/main" uri="{B025F937-C7B1-47D3-B67F-A62EFF666E3E}">
          <x14:id>{E2308613-9280-4A0A-A61F-7BCCEB414D67}</x14:id>
        </ext>
      </extLst>
    </cfRule>
  </conditionalFormatting>
  <conditionalFormatting sqref="U12">
    <cfRule type="dataBar" priority="213">
      <dataBar>
        <cfvo type="num" val="0"/>
        <cfvo type="num" val="0.3"/>
        <color rgb="FF63C384"/>
      </dataBar>
      <extLst>
        <ext xmlns:x14="http://schemas.microsoft.com/office/spreadsheetml/2009/9/main" uri="{B025F937-C7B1-47D3-B67F-A62EFF666E3E}">
          <x14:id>{C9416BB7-6CDD-4D7D-8FD7-9AE58B490634}</x14:id>
        </ext>
      </extLst>
    </cfRule>
  </conditionalFormatting>
  <conditionalFormatting sqref="U14">
    <cfRule type="dataBar" priority="212">
      <dataBar>
        <cfvo type="num" val="0"/>
        <cfvo type="num" val="0.3"/>
        <color rgb="FF63C384"/>
      </dataBar>
      <extLst>
        <ext xmlns:x14="http://schemas.microsoft.com/office/spreadsheetml/2009/9/main" uri="{B025F937-C7B1-47D3-B67F-A62EFF666E3E}">
          <x14:id>{D64D0A15-C697-483F-9382-80A8171184AB}</x14:id>
        </ext>
      </extLst>
    </cfRule>
  </conditionalFormatting>
  <conditionalFormatting sqref="U13">
    <cfRule type="dataBar" priority="211">
      <dataBar>
        <cfvo type="num" val="0"/>
        <cfvo type="num" val="0.3"/>
        <color rgb="FF63C384"/>
      </dataBar>
      <extLst>
        <ext xmlns:x14="http://schemas.microsoft.com/office/spreadsheetml/2009/9/main" uri="{B025F937-C7B1-47D3-B67F-A62EFF666E3E}">
          <x14:id>{B121A99F-152A-4FC0-8026-81308E345EB8}</x14:id>
        </ext>
      </extLst>
    </cfRule>
  </conditionalFormatting>
  <conditionalFormatting sqref="U15">
    <cfRule type="dataBar" priority="210">
      <dataBar>
        <cfvo type="num" val="0"/>
        <cfvo type="num" val="0.3"/>
        <color rgb="FF63C384"/>
      </dataBar>
      <extLst>
        <ext xmlns:x14="http://schemas.microsoft.com/office/spreadsheetml/2009/9/main" uri="{B025F937-C7B1-47D3-B67F-A62EFF666E3E}">
          <x14:id>{97CC33F7-AAB3-4295-95E6-2315E944523D}</x14:id>
        </ext>
      </extLst>
    </cfRule>
  </conditionalFormatting>
  <conditionalFormatting sqref="V6">
    <cfRule type="dataBar" priority="209">
      <dataBar>
        <cfvo type="num" val="0"/>
        <cfvo type="num" val="0.3"/>
        <color rgb="FF63C384"/>
      </dataBar>
      <extLst>
        <ext xmlns:x14="http://schemas.microsoft.com/office/spreadsheetml/2009/9/main" uri="{B025F937-C7B1-47D3-B67F-A62EFF666E3E}">
          <x14:id>{6FFE81E3-5370-4CC9-B7E1-6ADE938791AE}</x14:id>
        </ext>
      </extLst>
    </cfRule>
  </conditionalFormatting>
  <conditionalFormatting sqref="V7">
    <cfRule type="dataBar" priority="207">
      <dataBar>
        <cfvo type="num" val="0"/>
        <cfvo type="num" val="0.3"/>
        <color rgb="FF63C384"/>
      </dataBar>
      <extLst>
        <ext xmlns:x14="http://schemas.microsoft.com/office/spreadsheetml/2009/9/main" uri="{B025F937-C7B1-47D3-B67F-A62EFF666E3E}">
          <x14:id>{EDA1F903-E066-4BDF-9F44-75DE9AAE9BFF}</x14:id>
        </ext>
      </extLst>
    </cfRule>
  </conditionalFormatting>
  <conditionalFormatting sqref="V11">
    <cfRule type="dataBar" priority="205">
      <dataBar>
        <cfvo type="num" val="0"/>
        <cfvo type="num" val="0.3"/>
        <color rgb="FF63C384"/>
      </dataBar>
      <extLst>
        <ext xmlns:x14="http://schemas.microsoft.com/office/spreadsheetml/2009/9/main" uri="{B025F937-C7B1-47D3-B67F-A62EFF666E3E}">
          <x14:id>{B63BCFC7-F492-4827-BA02-CF537BD8DC60}</x14:id>
        </ext>
      </extLst>
    </cfRule>
  </conditionalFormatting>
  <conditionalFormatting sqref="V10">
    <cfRule type="dataBar" priority="204">
      <dataBar>
        <cfvo type="num" val="0"/>
        <cfvo type="num" val="0.3"/>
        <color rgb="FF63C384"/>
      </dataBar>
      <extLst>
        <ext xmlns:x14="http://schemas.microsoft.com/office/spreadsheetml/2009/9/main" uri="{B025F937-C7B1-47D3-B67F-A62EFF666E3E}">
          <x14:id>{ACC23F6B-06BD-4E94-A54E-990E3DFE8EAE}</x14:id>
        </ext>
      </extLst>
    </cfRule>
  </conditionalFormatting>
  <conditionalFormatting sqref="V12">
    <cfRule type="dataBar" priority="203">
      <dataBar>
        <cfvo type="num" val="0"/>
        <cfvo type="num" val="0.3"/>
        <color rgb="FF63C384"/>
      </dataBar>
      <extLst>
        <ext xmlns:x14="http://schemas.microsoft.com/office/spreadsheetml/2009/9/main" uri="{B025F937-C7B1-47D3-B67F-A62EFF666E3E}">
          <x14:id>{CF46158B-839E-4235-BDF5-B4BBDB8BC2DD}</x14:id>
        </ext>
      </extLst>
    </cfRule>
  </conditionalFormatting>
  <conditionalFormatting sqref="V14">
    <cfRule type="dataBar" priority="202">
      <dataBar>
        <cfvo type="num" val="0"/>
        <cfvo type="num" val="0.3"/>
        <color rgb="FF63C384"/>
      </dataBar>
      <extLst>
        <ext xmlns:x14="http://schemas.microsoft.com/office/spreadsheetml/2009/9/main" uri="{B025F937-C7B1-47D3-B67F-A62EFF666E3E}">
          <x14:id>{D256799B-7E23-4C3F-B6EE-3EFA62513908}</x14:id>
        </ext>
      </extLst>
    </cfRule>
  </conditionalFormatting>
  <conditionalFormatting sqref="W6">
    <cfRule type="dataBar" priority="199">
      <dataBar>
        <cfvo type="num" val="0"/>
        <cfvo type="num" val="-0.3"/>
        <color rgb="FF63C384"/>
      </dataBar>
      <extLst>
        <ext xmlns:x14="http://schemas.microsoft.com/office/spreadsheetml/2009/9/main" uri="{B025F937-C7B1-47D3-B67F-A62EFF666E3E}">
          <x14:id>{C7038D47-54E3-402E-81AF-E29F2BB31B6C}</x14:id>
        </ext>
      </extLst>
    </cfRule>
  </conditionalFormatting>
  <conditionalFormatting sqref="W8">
    <cfRule type="dataBar" priority="198">
      <dataBar>
        <cfvo type="num" val="0"/>
        <cfvo type="num" val="-0.3"/>
        <color rgb="FF63C384"/>
      </dataBar>
      <extLst>
        <ext xmlns:x14="http://schemas.microsoft.com/office/spreadsheetml/2009/9/main" uri="{B025F937-C7B1-47D3-B67F-A62EFF666E3E}">
          <x14:id>{10A061BB-5397-4346-8680-DF2CAD85EC09}</x14:id>
        </ext>
      </extLst>
    </cfRule>
  </conditionalFormatting>
  <conditionalFormatting sqref="W7">
    <cfRule type="dataBar" priority="197">
      <dataBar>
        <cfvo type="num" val="0"/>
        <cfvo type="num" val="-0.3"/>
        <color rgb="FF63C384"/>
      </dataBar>
      <extLst>
        <ext xmlns:x14="http://schemas.microsoft.com/office/spreadsheetml/2009/9/main" uri="{B025F937-C7B1-47D3-B67F-A62EFF666E3E}">
          <x14:id>{BF38F5E8-942A-4AEE-8562-5BBAD8196A28}</x14:id>
        </ext>
      </extLst>
    </cfRule>
  </conditionalFormatting>
  <conditionalFormatting sqref="W9:W10">
    <cfRule type="dataBar" priority="196">
      <dataBar>
        <cfvo type="num" val="0"/>
        <cfvo type="num" val="-0.3"/>
        <color rgb="FF63C384"/>
      </dataBar>
      <extLst>
        <ext xmlns:x14="http://schemas.microsoft.com/office/spreadsheetml/2009/9/main" uri="{B025F937-C7B1-47D3-B67F-A62EFF666E3E}">
          <x14:id>{6E81B37A-670D-4A3C-AD65-58283B16FDED}</x14:id>
        </ext>
      </extLst>
    </cfRule>
  </conditionalFormatting>
  <conditionalFormatting sqref="W11">
    <cfRule type="dataBar" priority="195">
      <dataBar>
        <cfvo type="num" val="0"/>
        <cfvo type="num" val="-0.3"/>
        <color rgb="FF63C384"/>
      </dataBar>
      <extLst>
        <ext xmlns:x14="http://schemas.microsoft.com/office/spreadsheetml/2009/9/main" uri="{B025F937-C7B1-47D3-B67F-A62EFF666E3E}">
          <x14:id>{84218103-99A0-4614-9F36-C4D27450DF22}</x14:id>
        </ext>
      </extLst>
    </cfRule>
  </conditionalFormatting>
  <conditionalFormatting sqref="W12">
    <cfRule type="dataBar" priority="194">
      <dataBar>
        <cfvo type="num" val="0"/>
        <cfvo type="num" val="0.3"/>
        <color rgb="FF63C384"/>
      </dataBar>
      <extLst>
        <ext xmlns:x14="http://schemas.microsoft.com/office/spreadsheetml/2009/9/main" uri="{B025F937-C7B1-47D3-B67F-A62EFF666E3E}">
          <x14:id>{65CD48BD-EE48-4851-B1AA-4303F86B9A6F}</x14:id>
        </ext>
      </extLst>
    </cfRule>
  </conditionalFormatting>
  <conditionalFormatting sqref="W14">
    <cfRule type="dataBar" priority="193">
      <dataBar>
        <cfvo type="num" val="0"/>
        <cfvo type="num" val="-0.3"/>
        <color rgb="FF63C384"/>
      </dataBar>
      <extLst>
        <ext xmlns:x14="http://schemas.microsoft.com/office/spreadsheetml/2009/9/main" uri="{B025F937-C7B1-47D3-B67F-A62EFF666E3E}">
          <x14:id>{D1C7674A-1A73-4E4D-9C29-58D9037B85D6}</x14:id>
        </ext>
      </extLst>
    </cfRule>
  </conditionalFormatting>
  <conditionalFormatting sqref="W13">
    <cfRule type="dataBar" priority="192">
      <dataBar>
        <cfvo type="num" val="0"/>
        <cfvo type="num" val="0.3"/>
        <color rgb="FF63C384"/>
      </dataBar>
      <extLst>
        <ext xmlns:x14="http://schemas.microsoft.com/office/spreadsheetml/2009/9/main" uri="{B025F937-C7B1-47D3-B67F-A62EFF666E3E}">
          <x14:id>{D0B9A97F-9DED-42F8-968E-F3D58F2DD7C0}</x14:id>
        </ext>
      </extLst>
    </cfRule>
  </conditionalFormatting>
  <conditionalFormatting sqref="W15">
    <cfRule type="dataBar" priority="191">
      <dataBar>
        <cfvo type="num" val="0"/>
        <cfvo type="num" val="-0.3"/>
        <color rgb="FF63C384"/>
      </dataBar>
      <extLst>
        <ext xmlns:x14="http://schemas.microsoft.com/office/spreadsheetml/2009/9/main" uri="{B025F937-C7B1-47D3-B67F-A62EFF666E3E}">
          <x14:id>{EA37E18A-5EB6-49D9-ADD4-8C901A56C1D0}</x14:id>
        </ext>
      </extLst>
    </cfRule>
  </conditionalFormatting>
  <conditionalFormatting sqref="X6">
    <cfRule type="dataBar" priority="190">
      <dataBar>
        <cfvo type="num" val="0"/>
        <cfvo type="num" val="0.3"/>
        <color rgb="FF63C384"/>
      </dataBar>
      <extLst>
        <ext xmlns:x14="http://schemas.microsoft.com/office/spreadsheetml/2009/9/main" uri="{B025F937-C7B1-47D3-B67F-A62EFF666E3E}">
          <x14:id>{666EA453-0D51-4199-9689-4B9616C9F3C6}</x14:id>
        </ext>
      </extLst>
    </cfRule>
  </conditionalFormatting>
  <conditionalFormatting sqref="X8">
    <cfRule type="dataBar" priority="189">
      <dataBar>
        <cfvo type="num" val="0"/>
        <cfvo type="num" val="0.3"/>
        <color rgb="FF63C384"/>
      </dataBar>
      <extLst>
        <ext xmlns:x14="http://schemas.microsoft.com/office/spreadsheetml/2009/9/main" uri="{B025F937-C7B1-47D3-B67F-A62EFF666E3E}">
          <x14:id>{0BF9DB5A-7D0C-4EF8-A59C-82D721C50047}</x14:id>
        </ext>
      </extLst>
    </cfRule>
  </conditionalFormatting>
  <conditionalFormatting sqref="X9">
    <cfRule type="dataBar" priority="187">
      <dataBar>
        <cfvo type="num" val="0"/>
        <cfvo type="num" val="0.3"/>
        <color rgb="FF63C384"/>
      </dataBar>
      <extLst>
        <ext xmlns:x14="http://schemas.microsoft.com/office/spreadsheetml/2009/9/main" uri="{B025F937-C7B1-47D3-B67F-A62EFF666E3E}">
          <x14:id>{7EBA0D34-E55C-4C3A-8662-A7512EF52B63}</x14:id>
        </ext>
      </extLst>
    </cfRule>
  </conditionalFormatting>
  <conditionalFormatting sqref="X11">
    <cfRule type="dataBar" priority="186">
      <dataBar>
        <cfvo type="num" val="0"/>
        <cfvo type="num" val="0.3"/>
        <color rgb="FF63C384"/>
      </dataBar>
      <extLst>
        <ext xmlns:x14="http://schemas.microsoft.com/office/spreadsheetml/2009/9/main" uri="{B025F937-C7B1-47D3-B67F-A62EFF666E3E}">
          <x14:id>{59D54AD1-69FE-4379-8906-B8A32B88EFB2}</x14:id>
        </ext>
      </extLst>
    </cfRule>
  </conditionalFormatting>
  <conditionalFormatting sqref="X10">
    <cfRule type="dataBar" priority="185">
      <dataBar>
        <cfvo type="num" val="0"/>
        <cfvo type="num" val="0.3"/>
        <color rgb="FF63C384"/>
      </dataBar>
      <extLst>
        <ext xmlns:x14="http://schemas.microsoft.com/office/spreadsheetml/2009/9/main" uri="{B025F937-C7B1-47D3-B67F-A62EFF666E3E}">
          <x14:id>{97E78D01-7B8D-413E-8628-A627FBA05918}</x14:id>
        </ext>
      </extLst>
    </cfRule>
  </conditionalFormatting>
  <conditionalFormatting sqref="X12">
    <cfRule type="dataBar" priority="184">
      <dataBar>
        <cfvo type="num" val="0"/>
        <cfvo type="num" val="0.3"/>
        <color rgb="FF63C384"/>
      </dataBar>
      <extLst>
        <ext xmlns:x14="http://schemas.microsoft.com/office/spreadsheetml/2009/9/main" uri="{B025F937-C7B1-47D3-B67F-A62EFF666E3E}">
          <x14:id>{3F577D69-1EA1-4D6D-AA33-B04B21B0B1EE}</x14:id>
        </ext>
      </extLst>
    </cfRule>
  </conditionalFormatting>
  <conditionalFormatting sqref="X15">
    <cfRule type="dataBar" priority="181">
      <dataBar>
        <cfvo type="num" val="0"/>
        <cfvo type="num" val="0.3"/>
        <color rgb="FF63C384"/>
      </dataBar>
      <extLst>
        <ext xmlns:x14="http://schemas.microsoft.com/office/spreadsheetml/2009/9/main" uri="{B025F937-C7B1-47D3-B67F-A62EFF666E3E}">
          <x14:id>{5018BEE1-C716-44FA-852A-B86542DDC852}</x14:id>
        </ext>
      </extLst>
    </cfRule>
  </conditionalFormatting>
  <conditionalFormatting sqref="Y6">
    <cfRule type="dataBar" priority="180">
      <dataBar>
        <cfvo type="num" val="0"/>
        <cfvo type="num" val="-0.3"/>
        <color rgb="FF63C384"/>
      </dataBar>
      <extLst>
        <ext xmlns:x14="http://schemas.microsoft.com/office/spreadsheetml/2009/9/main" uri="{B025F937-C7B1-47D3-B67F-A62EFF666E3E}">
          <x14:id>{940189BB-4F35-4392-9C8D-885B2BA13414}</x14:id>
        </ext>
      </extLst>
    </cfRule>
  </conditionalFormatting>
  <conditionalFormatting sqref="Y8">
    <cfRule type="dataBar" priority="179">
      <dataBar>
        <cfvo type="num" val="0"/>
        <cfvo type="num" val="-0.3"/>
        <color rgb="FF63C384"/>
      </dataBar>
      <extLst>
        <ext xmlns:x14="http://schemas.microsoft.com/office/spreadsheetml/2009/9/main" uri="{B025F937-C7B1-47D3-B67F-A62EFF666E3E}">
          <x14:id>{4A1568B8-7C3E-4044-8A31-EAF9F12111EF}</x14:id>
        </ext>
      </extLst>
    </cfRule>
  </conditionalFormatting>
  <conditionalFormatting sqref="Y7">
    <cfRule type="dataBar" priority="178">
      <dataBar>
        <cfvo type="num" val="0"/>
        <cfvo type="num" val="0.3"/>
        <color rgb="FF63C384"/>
      </dataBar>
      <extLst>
        <ext xmlns:x14="http://schemas.microsoft.com/office/spreadsheetml/2009/9/main" uri="{B025F937-C7B1-47D3-B67F-A62EFF666E3E}">
          <x14:id>{3970776C-8488-4956-BC4E-3B09053EFF91}</x14:id>
        </ext>
      </extLst>
    </cfRule>
  </conditionalFormatting>
  <conditionalFormatting sqref="Y9:Y10">
    <cfRule type="dataBar" priority="177">
      <dataBar>
        <cfvo type="num" val="0"/>
        <cfvo type="num" val="-0.3"/>
        <color rgb="FF63C384"/>
      </dataBar>
      <extLst>
        <ext xmlns:x14="http://schemas.microsoft.com/office/spreadsheetml/2009/9/main" uri="{B025F937-C7B1-47D3-B67F-A62EFF666E3E}">
          <x14:id>{7AF5AD96-82D7-4A40-8DB3-2C2918513B17}</x14:id>
        </ext>
      </extLst>
    </cfRule>
  </conditionalFormatting>
  <conditionalFormatting sqref="Y11">
    <cfRule type="dataBar" priority="176">
      <dataBar>
        <cfvo type="num" val="0"/>
        <cfvo type="num" val="-0.3"/>
        <color rgb="FF63C384"/>
      </dataBar>
      <extLst>
        <ext xmlns:x14="http://schemas.microsoft.com/office/spreadsheetml/2009/9/main" uri="{B025F937-C7B1-47D3-B67F-A62EFF666E3E}">
          <x14:id>{EDA51C66-695C-45A6-91B1-5F3D2AC14914}</x14:id>
        </ext>
      </extLst>
    </cfRule>
  </conditionalFormatting>
  <conditionalFormatting sqref="Y12">
    <cfRule type="dataBar" priority="175">
      <dataBar>
        <cfvo type="num" val="0"/>
        <cfvo type="num" val="0.3"/>
        <color rgb="FF63C384"/>
      </dataBar>
      <extLst>
        <ext xmlns:x14="http://schemas.microsoft.com/office/spreadsheetml/2009/9/main" uri="{B025F937-C7B1-47D3-B67F-A62EFF666E3E}">
          <x14:id>{8304E97E-BB9C-4553-8ECF-AFEE4EB31851}</x14:id>
        </ext>
      </extLst>
    </cfRule>
  </conditionalFormatting>
  <conditionalFormatting sqref="Y14">
    <cfRule type="dataBar" priority="174">
      <dataBar>
        <cfvo type="num" val="0"/>
        <cfvo type="num" val="0.3"/>
        <color rgb="FF63C384"/>
      </dataBar>
      <extLst>
        <ext xmlns:x14="http://schemas.microsoft.com/office/spreadsheetml/2009/9/main" uri="{B025F937-C7B1-47D3-B67F-A62EFF666E3E}">
          <x14:id>{69FEF24F-8BFF-46D9-9E41-44AA15CA409B}</x14:id>
        </ext>
      </extLst>
    </cfRule>
  </conditionalFormatting>
  <conditionalFormatting sqref="Y13">
    <cfRule type="dataBar" priority="173">
      <dataBar>
        <cfvo type="num" val="0"/>
        <cfvo type="num" val="0.3"/>
        <color rgb="FF63C384"/>
      </dataBar>
      <extLst>
        <ext xmlns:x14="http://schemas.microsoft.com/office/spreadsheetml/2009/9/main" uri="{B025F937-C7B1-47D3-B67F-A62EFF666E3E}">
          <x14:id>{26D09685-9DCD-49D1-9D57-9835C373B57C}</x14:id>
        </ext>
      </extLst>
    </cfRule>
  </conditionalFormatting>
  <conditionalFormatting sqref="Y15">
    <cfRule type="dataBar" priority="172">
      <dataBar>
        <cfvo type="num" val="0"/>
        <cfvo type="num" val="0.3"/>
        <color rgb="FF63C384"/>
      </dataBar>
      <extLst>
        <ext xmlns:x14="http://schemas.microsoft.com/office/spreadsheetml/2009/9/main" uri="{B025F937-C7B1-47D3-B67F-A62EFF666E3E}">
          <x14:id>{E472A4FC-C9DD-458E-9BB2-9CDDF6A91E4B}</x14:id>
        </ext>
      </extLst>
    </cfRule>
  </conditionalFormatting>
  <conditionalFormatting sqref="Z6">
    <cfRule type="dataBar" priority="171">
      <dataBar>
        <cfvo type="num" val="0"/>
        <cfvo type="num" val="-0.3"/>
        <color rgb="FF63C384"/>
      </dataBar>
      <extLst>
        <ext xmlns:x14="http://schemas.microsoft.com/office/spreadsheetml/2009/9/main" uri="{B025F937-C7B1-47D3-B67F-A62EFF666E3E}">
          <x14:id>{4855F1DE-3DC7-4A03-8526-02602726F26D}</x14:id>
        </ext>
      </extLst>
    </cfRule>
  </conditionalFormatting>
  <conditionalFormatting sqref="Z8">
    <cfRule type="dataBar" priority="170">
      <dataBar>
        <cfvo type="num" val="0"/>
        <cfvo type="num" val="-0.3"/>
        <color rgb="FF63C384"/>
      </dataBar>
      <extLst>
        <ext xmlns:x14="http://schemas.microsoft.com/office/spreadsheetml/2009/9/main" uri="{B025F937-C7B1-47D3-B67F-A62EFF666E3E}">
          <x14:id>{F5E048D5-2B3B-42BB-B650-C8C9D4BB0A92}</x14:id>
        </ext>
      </extLst>
    </cfRule>
  </conditionalFormatting>
  <conditionalFormatting sqref="Z11">
    <cfRule type="dataBar" priority="167">
      <dataBar>
        <cfvo type="num" val="0"/>
        <cfvo type="num" val="-0.3"/>
        <color rgb="FF63C384"/>
      </dataBar>
      <extLst>
        <ext xmlns:x14="http://schemas.microsoft.com/office/spreadsheetml/2009/9/main" uri="{B025F937-C7B1-47D3-B67F-A62EFF666E3E}">
          <x14:id>{F35B4C52-1E1B-4B83-A2CB-14F34A7D3F81}</x14:id>
        </ext>
      </extLst>
    </cfRule>
  </conditionalFormatting>
  <conditionalFormatting sqref="Z10">
    <cfRule type="dataBar" priority="166">
      <dataBar>
        <cfvo type="num" val="0"/>
        <cfvo type="num" val="-0.3"/>
        <color rgb="FF63C384"/>
      </dataBar>
      <extLst>
        <ext xmlns:x14="http://schemas.microsoft.com/office/spreadsheetml/2009/9/main" uri="{B025F937-C7B1-47D3-B67F-A62EFF666E3E}">
          <x14:id>{69CF3C4F-ED17-4F42-8592-CD0058FCEEB3}</x14:id>
        </ext>
      </extLst>
    </cfRule>
  </conditionalFormatting>
  <conditionalFormatting sqref="Z14">
    <cfRule type="dataBar" priority="164">
      <dataBar>
        <cfvo type="num" val="0"/>
        <cfvo type="num" val="0.3"/>
        <color rgb="FF63C384"/>
      </dataBar>
      <extLst>
        <ext xmlns:x14="http://schemas.microsoft.com/office/spreadsheetml/2009/9/main" uri="{B025F937-C7B1-47D3-B67F-A62EFF666E3E}">
          <x14:id>{A03A7139-5C71-4C71-BE15-A1117952210E}</x14:id>
        </ext>
      </extLst>
    </cfRule>
  </conditionalFormatting>
  <conditionalFormatting sqref="Z13">
    <cfRule type="dataBar" priority="163">
      <dataBar>
        <cfvo type="num" val="0"/>
        <cfvo type="num" val="-0.3"/>
        <color rgb="FF63C384"/>
      </dataBar>
      <extLst>
        <ext xmlns:x14="http://schemas.microsoft.com/office/spreadsheetml/2009/9/main" uri="{B025F937-C7B1-47D3-B67F-A62EFF666E3E}">
          <x14:id>{2DA7422C-72AF-4A8C-B736-7653879B9172}</x14:id>
        </ext>
      </extLst>
    </cfRule>
  </conditionalFormatting>
  <conditionalFormatting sqref="Z15">
    <cfRule type="dataBar" priority="162">
      <dataBar>
        <cfvo type="num" val="0"/>
        <cfvo type="num" val="0.3"/>
        <color rgb="FF63C384"/>
      </dataBar>
      <extLst>
        <ext xmlns:x14="http://schemas.microsoft.com/office/spreadsheetml/2009/9/main" uri="{B025F937-C7B1-47D3-B67F-A62EFF666E3E}">
          <x14:id>{064FEEDF-C2E8-4519-B176-E876277671BF}</x14:id>
        </ext>
      </extLst>
    </cfRule>
  </conditionalFormatting>
  <conditionalFormatting sqref="AA6">
    <cfRule type="dataBar" priority="161">
      <dataBar>
        <cfvo type="num" val="0"/>
        <cfvo type="num" val="0.3"/>
        <color rgb="FF63C384"/>
      </dataBar>
      <extLst>
        <ext xmlns:x14="http://schemas.microsoft.com/office/spreadsheetml/2009/9/main" uri="{B025F937-C7B1-47D3-B67F-A62EFF666E3E}">
          <x14:id>{F0E51FF4-5031-43B4-BE53-79758AE3AC26}</x14:id>
        </ext>
      </extLst>
    </cfRule>
  </conditionalFormatting>
  <conditionalFormatting sqref="AA8">
    <cfRule type="dataBar" priority="160">
      <dataBar>
        <cfvo type="num" val="0"/>
        <cfvo type="num" val="0.3"/>
        <color rgb="FF63C384"/>
      </dataBar>
      <extLst>
        <ext xmlns:x14="http://schemas.microsoft.com/office/spreadsheetml/2009/9/main" uri="{B025F937-C7B1-47D3-B67F-A62EFF666E3E}">
          <x14:id>{893B8B46-67CF-4FB4-A397-DFCBADCFD727}</x14:id>
        </ext>
      </extLst>
    </cfRule>
  </conditionalFormatting>
  <conditionalFormatting sqref="AA7">
    <cfRule type="dataBar" priority="159">
      <dataBar>
        <cfvo type="num" val="0"/>
        <cfvo type="num" val="-0.3"/>
        <color rgb="FF63C384"/>
      </dataBar>
      <extLst>
        <ext xmlns:x14="http://schemas.microsoft.com/office/spreadsheetml/2009/9/main" uri="{B025F937-C7B1-47D3-B67F-A62EFF666E3E}">
          <x14:id>{531E242B-977C-42F8-AC32-D52E153C4550}</x14:id>
        </ext>
      </extLst>
    </cfRule>
  </conditionalFormatting>
  <conditionalFormatting sqref="AA9:AA10">
    <cfRule type="dataBar" priority="158">
      <dataBar>
        <cfvo type="num" val="0"/>
        <cfvo type="num" val="0.3"/>
        <color rgb="FF63C384"/>
      </dataBar>
      <extLst>
        <ext xmlns:x14="http://schemas.microsoft.com/office/spreadsheetml/2009/9/main" uri="{B025F937-C7B1-47D3-B67F-A62EFF666E3E}">
          <x14:id>{829E75D2-4A3A-4369-831B-2874FFD6568F}</x14:id>
        </ext>
      </extLst>
    </cfRule>
  </conditionalFormatting>
  <conditionalFormatting sqref="AA11">
    <cfRule type="dataBar" priority="157">
      <dataBar>
        <cfvo type="num" val="0"/>
        <cfvo type="num" val="0.3"/>
        <color rgb="FF63C384"/>
      </dataBar>
      <extLst>
        <ext xmlns:x14="http://schemas.microsoft.com/office/spreadsheetml/2009/9/main" uri="{B025F937-C7B1-47D3-B67F-A62EFF666E3E}">
          <x14:id>{017B5EEA-9CC9-42D2-8A9F-6A1544C76EDB}</x14:id>
        </ext>
      </extLst>
    </cfRule>
  </conditionalFormatting>
  <conditionalFormatting sqref="AA12">
    <cfRule type="dataBar" priority="156">
      <dataBar>
        <cfvo type="num" val="0"/>
        <cfvo type="num" val="0.3"/>
        <color rgb="FF63C384"/>
      </dataBar>
      <extLst>
        <ext xmlns:x14="http://schemas.microsoft.com/office/spreadsheetml/2009/9/main" uri="{B025F937-C7B1-47D3-B67F-A62EFF666E3E}">
          <x14:id>{64EB92FA-4801-4525-9368-6623A8A25C6A}</x14:id>
        </ext>
      </extLst>
    </cfRule>
  </conditionalFormatting>
  <conditionalFormatting sqref="AA14">
    <cfRule type="dataBar" priority="155">
      <dataBar>
        <cfvo type="num" val="0"/>
        <cfvo type="num" val="0.3"/>
        <color rgb="FF63C384"/>
      </dataBar>
      <extLst>
        <ext xmlns:x14="http://schemas.microsoft.com/office/spreadsheetml/2009/9/main" uri="{B025F937-C7B1-47D3-B67F-A62EFF666E3E}">
          <x14:id>{9F7A71AA-911F-4B1E-BA4E-91AAEC8CA4EB}</x14:id>
        </ext>
      </extLst>
    </cfRule>
  </conditionalFormatting>
  <conditionalFormatting sqref="AA13">
    <cfRule type="dataBar" priority="154">
      <dataBar>
        <cfvo type="num" val="0"/>
        <cfvo type="num" val="0.3"/>
        <color rgb="FF63C384"/>
      </dataBar>
      <extLst>
        <ext xmlns:x14="http://schemas.microsoft.com/office/spreadsheetml/2009/9/main" uri="{B025F937-C7B1-47D3-B67F-A62EFF666E3E}">
          <x14:id>{C8D5EEA2-F714-4081-BCC3-D1AFD6402694}</x14:id>
        </ext>
      </extLst>
    </cfRule>
  </conditionalFormatting>
  <conditionalFormatting sqref="AA15">
    <cfRule type="dataBar" priority="153">
      <dataBar>
        <cfvo type="num" val="0"/>
        <cfvo type="num" val="0.3"/>
        <color rgb="FF63C384"/>
      </dataBar>
      <extLst>
        <ext xmlns:x14="http://schemas.microsoft.com/office/spreadsheetml/2009/9/main" uri="{B025F937-C7B1-47D3-B67F-A62EFF666E3E}">
          <x14:id>{9FB4953F-3B7E-420E-BBA7-549AA0BF6091}</x14:id>
        </ext>
      </extLst>
    </cfRule>
  </conditionalFormatting>
  <conditionalFormatting sqref="AB8">
    <cfRule type="dataBar" priority="151">
      <dataBar>
        <cfvo type="num" val="0"/>
        <cfvo type="num" val="0.3"/>
        <color rgb="FF63C384"/>
      </dataBar>
      <extLst>
        <ext xmlns:x14="http://schemas.microsoft.com/office/spreadsheetml/2009/9/main" uri="{B025F937-C7B1-47D3-B67F-A62EFF666E3E}">
          <x14:id>{F7B3148D-F89A-49BF-B72F-6504A92D8819}</x14:id>
        </ext>
      </extLst>
    </cfRule>
  </conditionalFormatting>
  <conditionalFormatting sqref="AB7">
    <cfRule type="dataBar" priority="150">
      <dataBar>
        <cfvo type="num" val="0"/>
        <cfvo type="num" val="0.3"/>
        <color rgb="FF63C384"/>
      </dataBar>
      <extLst>
        <ext xmlns:x14="http://schemas.microsoft.com/office/spreadsheetml/2009/9/main" uri="{B025F937-C7B1-47D3-B67F-A62EFF666E3E}">
          <x14:id>{FD7242D3-42FD-4996-8C21-037DF053DBCE}</x14:id>
        </ext>
      </extLst>
    </cfRule>
  </conditionalFormatting>
  <conditionalFormatting sqref="AB11">
    <cfRule type="dataBar" priority="148">
      <dataBar>
        <cfvo type="num" val="0"/>
        <cfvo type="num" val="-0.3"/>
        <color rgb="FF63C384"/>
      </dataBar>
      <extLst>
        <ext xmlns:x14="http://schemas.microsoft.com/office/spreadsheetml/2009/9/main" uri="{B025F937-C7B1-47D3-B67F-A62EFF666E3E}">
          <x14:id>{31ED015D-53B4-4CAA-BB85-16E1A2298641}</x14:id>
        </ext>
      </extLst>
    </cfRule>
  </conditionalFormatting>
  <conditionalFormatting sqref="AB12">
    <cfRule type="dataBar" priority="146">
      <dataBar>
        <cfvo type="num" val="0"/>
        <cfvo type="num" val="0.3"/>
        <color rgb="FF63C384"/>
      </dataBar>
      <extLst>
        <ext xmlns:x14="http://schemas.microsoft.com/office/spreadsheetml/2009/9/main" uri="{B025F937-C7B1-47D3-B67F-A62EFF666E3E}">
          <x14:id>{C902EF2A-F29A-490D-B32D-9F61A1BAF420}</x14:id>
        </ext>
      </extLst>
    </cfRule>
  </conditionalFormatting>
  <conditionalFormatting sqref="AB15">
    <cfRule type="dataBar" priority="143">
      <dataBar>
        <cfvo type="num" val="0"/>
        <cfvo type="num" val="0.3"/>
        <color rgb="FF63C384"/>
      </dataBar>
      <extLst>
        <ext xmlns:x14="http://schemas.microsoft.com/office/spreadsheetml/2009/9/main" uri="{B025F937-C7B1-47D3-B67F-A62EFF666E3E}">
          <x14:id>{0806300A-D86E-4ADE-BD43-A5700EF0D3C0}</x14:id>
        </ext>
      </extLst>
    </cfRule>
  </conditionalFormatting>
  <conditionalFormatting sqref="AC6">
    <cfRule type="dataBar" priority="142">
      <dataBar>
        <cfvo type="num" val="0"/>
        <cfvo type="num" val="0.3"/>
        <color rgb="FF63C384"/>
      </dataBar>
      <extLst>
        <ext xmlns:x14="http://schemas.microsoft.com/office/spreadsheetml/2009/9/main" uri="{B025F937-C7B1-47D3-B67F-A62EFF666E3E}">
          <x14:id>{2D2ABE2C-CC5F-4F78-B04B-BE49A357A45C}</x14:id>
        </ext>
      </extLst>
    </cfRule>
  </conditionalFormatting>
  <conditionalFormatting sqref="AC8">
    <cfRule type="dataBar" priority="141">
      <dataBar>
        <cfvo type="num" val="0"/>
        <cfvo type="num" val="-0.3"/>
        <color rgb="FF63C384"/>
      </dataBar>
      <extLst>
        <ext xmlns:x14="http://schemas.microsoft.com/office/spreadsheetml/2009/9/main" uri="{B025F937-C7B1-47D3-B67F-A62EFF666E3E}">
          <x14:id>{F52A6A53-D833-40B4-B6C3-2727B959A7E5}</x14:id>
        </ext>
      </extLst>
    </cfRule>
  </conditionalFormatting>
  <conditionalFormatting sqref="AC7">
    <cfRule type="dataBar" priority="140">
      <dataBar>
        <cfvo type="num" val="0"/>
        <cfvo type="num" val="-0.3"/>
        <color rgb="FF63C384"/>
      </dataBar>
      <extLst>
        <ext xmlns:x14="http://schemas.microsoft.com/office/spreadsheetml/2009/9/main" uri="{B025F937-C7B1-47D3-B67F-A62EFF666E3E}">
          <x14:id>{8E54A0B7-77E0-4DCD-9603-92C4456A6949}</x14:id>
        </ext>
      </extLst>
    </cfRule>
  </conditionalFormatting>
  <conditionalFormatting sqref="AC9:AC10">
    <cfRule type="dataBar" priority="139">
      <dataBar>
        <cfvo type="num" val="0"/>
        <cfvo type="num" val="0.3"/>
        <color rgb="FF63C384"/>
      </dataBar>
      <extLst>
        <ext xmlns:x14="http://schemas.microsoft.com/office/spreadsheetml/2009/9/main" uri="{B025F937-C7B1-47D3-B67F-A62EFF666E3E}">
          <x14:id>{158E6C80-CED1-4D0A-B4B8-BDE5E0BFF2D0}</x14:id>
        </ext>
      </extLst>
    </cfRule>
  </conditionalFormatting>
  <conditionalFormatting sqref="AC11">
    <cfRule type="dataBar" priority="138">
      <dataBar>
        <cfvo type="num" val="0"/>
        <cfvo type="num" val="0.3"/>
        <color rgb="FF63C384"/>
      </dataBar>
      <extLst>
        <ext xmlns:x14="http://schemas.microsoft.com/office/spreadsheetml/2009/9/main" uri="{B025F937-C7B1-47D3-B67F-A62EFF666E3E}">
          <x14:id>{C1D8A364-26EF-4598-BDE5-16EE5B15CA62}</x14:id>
        </ext>
      </extLst>
    </cfRule>
  </conditionalFormatting>
  <conditionalFormatting sqref="AC12">
    <cfRule type="dataBar" priority="137">
      <dataBar>
        <cfvo type="num" val="0"/>
        <cfvo type="num" val="0.3"/>
        <color rgb="FF63C384"/>
      </dataBar>
      <extLst>
        <ext xmlns:x14="http://schemas.microsoft.com/office/spreadsheetml/2009/9/main" uri="{B025F937-C7B1-47D3-B67F-A62EFF666E3E}">
          <x14:id>{3AF73496-3A0F-43B0-B280-CF2F20543E65}</x14:id>
        </ext>
      </extLst>
    </cfRule>
  </conditionalFormatting>
  <conditionalFormatting sqref="AC14">
    <cfRule type="dataBar" priority="136">
      <dataBar>
        <cfvo type="num" val="0"/>
        <cfvo type="num" val="0.3"/>
        <color rgb="FF63C384"/>
      </dataBar>
      <extLst>
        <ext xmlns:x14="http://schemas.microsoft.com/office/spreadsheetml/2009/9/main" uri="{B025F937-C7B1-47D3-B67F-A62EFF666E3E}">
          <x14:id>{4CEC52C7-5E85-4361-B218-CB07B7ABAE39}</x14:id>
        </ext>
      </extLst>
    </cfRule>
  </conditionalFormatting>
  <conditionalFormatting sqref="AC13">
    <cfRule type="dataBar" priority="135">
      <dataBar>
        <cfvo type="num" val="0"/>
        <cfvo type="num" val="-0.3"/>
        <color rgb="FF63C384"/>
      </dataBar>
      <extLst>
        <ext xmlns:x14="http://schemas.microsoft.com/office/spreadsheetml/2009/9/main" uri="{B025F937-C7B1-47D3-B67F-A62EFF666E3E}">
          <x14:id>{81D2BD10-C513-45C6-90AB-C5E46E963E8A}</x14:id>
        </ext>
      </extLst>
    </cfRule>
  </conditionalFormatting>
  <conditionalFormatting sqref="AC15">
    <cfRule type="dataBar" priority="134">
      <dataBar>
        <cfvo type="num" val="0"/>
        <cfvo type="num" val="0.3"/>
        <color rgb="FF63C384"/>
      </dataBar>
      <extLst>
        <ext xmlns:x14="http://schemas.microsoft.com/office/spreadsheetml/2009/9/main" uri="{B025F937-C7B1-47D3-B67F-A62EFF666E3E}">
          <x14:id>{2C687D03-D5DC-4622-88EF-E66AB755BAD8}</x14:id>
        </ext>
      </extLst>
    </cfRule>
  </conditionalFormatting>
  <conditionalFormatting sqref="AD9">
    <cfRule type="dataBar" priority="130">
      <dataBar>
        <cfvo type="num" val="0"/>
        <cfvo type="num" val="0.3"/>
        <color rgb="FF63C384"/>
      </dataBar>
      <extLst>
        <ext xmlns:x14="http://schemas.microsoft.com/office/spreadsheetml/2009/9/main" uri="{B025F937-C7B1-47D3-B67F-A62EFF666E3E}">
          <x14:id>{99E84222-F263-4695-A4D9-A0FDE79D3D95}</x14:id>
        </ext>
      </extLst>
    </cfRule>
  </conditionalFormatting>
  <conditionalFormatting sqref="AD11">
    <cfRule type="dataBar" priority="129">
      <dataBar>
        <cfvo type="num" val="0"/>
        <cfvo type="num" val="-0.3"/>
        <color rgb="FF63C384"/>
      </dataBar>
      <extLst>
        <ext xmlns:x14="http://schemas.microsoft.com/office/spreadsheetml/2009/9/main" uri="{B025F937-C7B1-47D3-B67F-A62EFF666E3E}">
          <x14:id>{A43DAB00-ED05-46C0-9298-7BF893BF38AB}</x14:id>
        </ext>
      </extLst>
    </cfRule>
  </conditionalFormatting>
  <conditionalFormatting sqref="AD10">
    <cfRule type="dataBar" priority="128">
      <dataBar>
        <cfvo type="num" val="0"/>
        <cfvo type="num" val="-0.3"/>
        <color rgb="FF63C384"/>
      </dataBar>
      <extLst>
        <ext xmlns:x14="http://schemas.microsoft.com/office/spreadsheetml/2009/9/main" uri="{B025F937-C7B1-47D3-B67F-A62EFF666E3E}">
          <x14:id>{9259C0E3-39B2-4D5E-B514-89CE2DD36B29}</x14:id>
        </ext>
      </extLst>
    </cfRule>
  </conditionalFormatting>
  <conditionalFormatting sqref="AD12">
    <cfRule type="dataBar" priority="127">
      <dataBar>
        <cfvo type="num" val="0"/>
        <cfvo type="num" val="0.3"/>
        <color rgb="FF63C384"/>
      </dataBar>
      <extLst>
        <ext xmlns:x14="http://schemas.microsoft.com/office/spreadsheetml/2009/9/main" uri="{B025F937-C7B1-47D3-B67F-A62EFF666E3E}">
          <x14:id>{6EB8729D-A240-4F64-ACFE-F90FD47C869A}</x14:id>
        </ext>
      </extLst>
    </cfRule>
  </conditionalFormatting>
  <conditionalFormatting sqref="AD14">
    <cfRule type="dataBar" priority="126">
      <dataBar>
        <cfvo type="num" val="0"/>
        <cfvo type="num" val="0.3"/>
        <color rgb="FF63C384"/>
      </dataBar>
      <extLst>
        <ext xmlns:x14="http://schemas.microsoft.com/office/spreadsheetml/2009/9/main" uri="{B025F937-C7B1-47D3-B67F-A62EFF666E3E}">
          <x14:id>{C5E67AFF-D335-41C4-9127-8B2B3B597175}</x14:id>
        </ext>
      </extLst>
    </cfRule>
  </conditionalFormatting>
  <conditionalFormatting sqref="AD13">
    <cfRule type="dataBar" priority="125">
      <dataBar>
        <cfvo type="num" val="0"/>
        <cfvo type="num" val="-0.3"/>
        <color rgb="FF63C384"/>
      </dataBar>
      <extLst>
        <ext xmlns:x14="http://schemas.microsoft.com/office/spreadsheetml/2009/9/main" uri="{B025F937-C7B1-47D3-B67F-A62EFF666E3E}">
          <x14:id>{3E7CFDFA-66CD-418E-8B3B-9F737A4D37D1}</x14:id>
        </ext>
      </extLst>
    </cfRule>
  </conditionalFormatting>
  <conditionalFormatting sqref="AD15">
    <cfRule type="dataBar" priority="124">
      <dataBar>
        <cfvo type="num" val="0"/>
        <cfvo type="num" val="0.3"/>
        <color rgb="FF63C384"/>
      </dataBar>
      <extLst>
        <ext xmlns:x14="http://schemas.microsoft.com/office/spreadsheetml/2009/9/main" uri="{B025F937-C7B1-47D3-B67F-A62EFF666E3E}">
          <x14:id>{A3812E7A-2939-4E9A-8011-7D04A04024DF}</x14:id>
        </ext>
      </extLst>
    </cfRule>
  </conditionalFormatting>
  <conditionalFormatting sqref="AE6">
    <cfRule type="dataBar" priority="123">
      <dataBar>
        <cfvo type="num" val="0"/>
        <cfvo type="num" val="0.3"/>
        <color rgb="FF63C384"/>
      </dataBar>
      <extLst>
        <ext xmlns:x14="http://schemas.microsoft.com/office/spreadsheetml/2009/9/main" uri="{B025F937-C7B1-47D3-B67F-A62EFF666E3E}">
          <x14:id>{56DA42CD-FFD6-4BC7-B05B-BCB33F352DDB}</x14:id>
        </ext>
      </extLst>
    </cfRule>
  </conditionalFormatting>
  <conditionalFormatting sqref="AE8">
    <cfRule type="dataBar" priority="122">
      <dataBar>
        <cfvo type="num" val="0"/>
        <cfvo type="num" val="0.3"/>
        <color rgb="FF63C384"/>
      </dataBar>
      <extLst>
        <ext xmlns:x14="http://schemas.microsoft.com/office/spreadsheetml/2009/9/main" uri="{B025F937-C7B1-47D3-B67F-A62EFF666E3E}">
          <x14:id>{61546D2E-4E72-4EDD-83A5-B2E5D778C995}</x14:id>
        </ext>
      </extLst>
    </cfRule>
  </conditionalFormatting>
  <conditionalFormatting sqref="AE7">
    <cfRule type="dataBar" priority="121">
      <dataBar>
        <cfvo type="num" val="0"/>
        <cfvo type="num" val="0.3"/>
        <color rgb="FF63C384"/>
      </dataBar>
      <extLst>
        <ext xmlns:x14="http://schemas.microsoft.com/office/spreadsheetml/2009/9/main" uri="{B025F937-C7B1-47D3-B67F-A62EFF666E3E}">
          <x14:id>{D7E2F04F-E579-43C5-AB88-74A2A2126EC0}</x14:id>
        </ext>
      </extLst>
    </cfRule>
  </conditionalFormatting>
  <conditionalFormatting sqref="AE9:AE10">
    <cfRule type="dataBar" priority="120">
      <dataBar>
        <cfvo type="num" val="0"/>
        <cfvo type="num" val="0.3"/>
        <color rgb="FF63C384"/>
      </dataBar>
      <extLst>
        <ext xmlns:x14="http://schemas.microsoft.com/office/spreadsheetml/2009/9/main" uri="{B025F937-C7B1-47D3-B67F-A62EFF666E3E}">
          <x14:id>{29286259-74E2-40FC-90C8-751DDF43D05F}</x14:id>
        </ext>
      </extLst>
    </cfRule>
  </conditionalFormatting>
  <conditionalFormatting sqref="AE11">
    <cfRule type="dataBar" priority="119">
      <dataBar>
        <cfvo type="num" val="0"/>
        <cfvo type="num" val="0.3"/>
        <color rgb="FF63C384"/>
      </dataBar>
      <extLst>
        <ext xmlns:x14="http://schemas.microsoft.com/office/spreadsheetml/2009/9/main" uri="{B025F937-C7B1-47D3-B67F-A62EFF666E3E}">
          <x14:id>{A9D0F4D9-8C16-4618-9114-7DEB731E3EFA}</x14:id>
        </ext>
      </extLst>
    </cfRule>
  </conditionalFormatting>
  <conditionalFormatting sqref="AE12">
    <cfRule type="dataBar" priority="118">
      <dataBar>
        <cfvo type="num" val="0"/>
        <cfvo type="num" val="0.3"/>
        <color rgb="FF63C384"/>
      </dataBar>
      <extLst>
        <ext xmlns:x14="http://schemas.microsoft.com/office/spreadsheetml/2009/9/main" uri="{B025F937-C7B1-47D3-B67F-A62EFF666E3E}">
          <x14:id>{B9B7CC36-3E1E-4B69-BD6C-018096E25142}</x14:id>
        </ext>
      </extLst>
    </cfRule>
  </conditionalFormatting>
  <conditionalFormatting sqref="AE14">
    <cfRule type="dataBar" priority="117">
      <dataBar>
        <cfvo type="num" val="0"/>
        <cfvo type="num" val="0.3"/>
        <color rgb="FF63C384"/>
      </dataBar>
      <extLst>
        <ext xmlns:x14="http://schemas.microsoft.com/office/spreadsheetml/2009/9/main" uri="{B025F937-C7B1-47D3-B67F-A62EFF666E3E}">
          <x14:id>{DD01561A-4089-4487-94C7-6C8B79B74809}</x14:id>
        </ext>
      </extLst>
    </cfRule>
  </conditionalFormatting>
  <conditionalFormatting sqref="AE13">
    <cfRule type="dataBar" priority="116">
      <dataBar>
        <cfvo type="num" val="0"/>
        <cfvo type="num" val="0.3"/>
        <color rgb="FF63C384"/>
      </dataBar>
      <extLst>
        <ext xmlns:x14="http://schemas.microsoft.com/office/spreadsheetml/2009/9/main" uri="{B025F937-C7B1-47D3-B67F-A62EFF666E3E}">
          <x14:id>{B30B8CB8-98EE-4BAE-86A7-440F8775BF8A}</x14:id>
        </ext>
      </extLst>
    </cfRule>
  </conditionalFormatting>
  <conditionalFormatting sqref="AE15">
    <cfRule type="dataBar" priority="115">
      <dataBar>
        <cfvo type="num" val="0"/>
        <cfvo type="num" val="0.3"/>
        <color rgb="FF63C384"/>
      </dataBar>
      <extLst>
        <ext xmlns:x14="http://schemas.microsoft.com/office/spreadsheetml/2009/9/main" uri="{B025F937-C7B1-47D3-B67F-A62EFF666E3E}">
          <x14:id>{7579FFA4-DFE7-4914-BDEF-E2EBC21EBA42}</x14:id>
        </ext>
      </extLst>
    </cfRule>
  </conditionalFormatting>
  <conditionalFormatting sqref="AF6">
    <cfRule type="dataBar" priority="114">
      <dataBar>
        <cfvo type="num" val="0"/>
        <cfvo type="num" val="-0.3"/>
        <color rgb="FF63C384"/>
      </dataBar>
      <extLst>
        <ext xmlns:x14="http://schemas.microsoft.com/office/spreadsheetml/2009/9/main" uri="{B025F937-C7B1-47D3-B67F-A62EFF666E3E}">
          <x14:id>{DF9659CF-DE73-465F-88BF-DB56E402A650}</x14:id>
        </ext>
      </extLst>
    </cfRule>
  </conditionalFormatting>
  <conditionalFormatting sqref="AF8">
    <cfRule type="dataBar" priority="113">
      <dataBar>
        <cfvo type="num" val="0"/>
        <cfvo type="num" val="-0.3"/>
        <color rgb="FF63C384"/>
      </dataBar>
      <extLst>
        <ext xmlns:x14="http://schemas.microsoft.com/office/spreadsheetml/2009/9/main" uri="{B025F937-C7B1-47D3-B67F-A62EFF666E3E}">
          <x14:id>{A9E5ECC3-36B7-4A93-8400-E5C5F176EBC8}</x14:id>
        </ext>
      </extLst>
    </cfRule>
  </conditionalFormatting>
  <conditionalFormatting sqref="AF7">
    <cfRule type="dataBar" priority="112">
      <dataBar>
        <cfvo type="num" val="0"/>
        <cfvo type="num" val="-0.3"/>
        <color rgb="FF63C384"/>
      </dataBar>
      <extLst>
        <ext xmlns:x14="http://schemas.microsoft.com/office/spreadsheetml/2009/9/main" uri="{B025F937-C7B1-47D3-B67F-A62EFF666E3E}">
          <x14:id>{A6B69226-FB05-4A95-8CE8-AA0AFAB65942}</x14:id>
        </ext>
      </extLst>
    </cfRule>
  </conditionalFormatting>
  <conditionalFormatting sqref="AF9">
    <cfRule type="dataBar" priority="111">
      <dataBar>
        <cfvo type="num" val="0"/>
        <cfvo type="num" val="-0.3"/>
        <color rgb="FF63C384"/>
      </dataBar>
      <extLst>
        <ext xmlns:x14="http://schemas.microsoft.com/office/spreadsheetml/2009/9/main" uri="{B025F937-C7B1-47D3-B67F-A62EFF666E3E}">
          <x14:id>{9D5A3AA2-B97A-4F4D-AD19-82248B5F94D5}</x14:id>
        </ext>
      </extLst>
    </cfRule>
  </conditionalFormatting>
  <conditionalFormatting sqref="AF11">
    <cfRule type="dataBar" priority="110">
      <dataBar>
        <cfvo type="num" val="0"/>
        <cfvo type="num" val="0.3"/>
        <color rgb="FF63C384"/>
      </dataBar>
      <extLst>
        <ext xmlns:x14="http://schemas.microsoft.com/office/spreadsheetml/2009/9/main" uri="{B025F937-C7B1-47D3-B67F-A62EFF666E3E}">
          <x14:id>{9EDBE5D3-75AD-40E3-9831-C501B8B1F8FF}</x14:id>
        </ext>
      </extLst>
    </cfRule>
  </conditionalFormatting>
  <conditionalFormatting sqref="AF10">
    <cfRule type="dataBar" priority="109">
      <dataBar>
        <cfvo type="num" val="0"/>
        <cfvo type="num" val="-0.3"/>
        <color rgb="FF63C384"/>
      </dataBar>
      <extLst>
        <ext xmlns:x14="http://schemas.microsoft.com/office/spreadsheetml/2009/9/main" uri="{B025F937-C7B1-47D3-B67F-A62EFF666E3E}">
          <x14:id>{D5DC3458-09EE-42B2-ABD3-02ACE8805571}</x14:id>
        </ext>
      </extLst>
    </cfRule>
  </conditionalFormatting>
  <conditionalFormatting sqref="AF12">
    <cfRule type="dataBar" priority="108">
      <dataBar>
        <cfvo type="num" val="0"/>
        <cfvo type="num" val="0.3"/>
        <color rgb="FF63C384"/>
      </dataBar>
      <extLst>
        <ext xmlns:x14="http://schemas.microsoft.com/office/spreadsheetml/2009/9/main" uri="{B025F937-C7B1-47D3-B67F-A62EFF666E3E}">
          <x14:id>{AEF3D0C3-FD70-4C50-9D92-15662DE31B79}</x14:id>
        </ext>
      </extLst>
    </cfRule>
  </conditionalFormatting>
  <conditionalFormatting sqref="AF14">
    <cfRule type="dataBar" priority="107">
      <dataBar>
        <cfvo type="num" val="0"/>
        <cfvo type="num" val="0.3"/>
        <color rgb="FF63C384"/>
      </dataBar>
      <extLst>
        <ext xmlns:x14="http://schemas.microsoft.com/office/spreadsheetml/2009/9/main" uri="{B025F937-C7B1-47D3-B67F-A62EFF666E3E}">
          <x14:id>{32EA939A-2380-4138-B47F-A2515816058C}</x14:id>
        </ext>
      </extLst>
    </cfRule>
  </conditionalFormatting>
  <conditionalFormatting sqref="AF13">
    <cfRule type="dataBar" priority="106">
      <dataBar>
        <cfvo type="num" val="0"/>
        <cfvo type="num" val="-0.3"/>
        <color rgb="FF63C384"/>
      </dataBar>
      <extLst>
        <ext xmlns:x14="http://schemas.microsoft.com/office/spreadsheetml/2009/9/main" uri="{B025F937-C7B1-47D3-B67F-A62EFF666E3E}">
          <x14:id>{E316E450-4A26-4E87-A070-976D8471755E}</x14:id>
        </ext>
      </extLst>
    </cfRule>
  </conditionalFormatting>
  <conditionalFormatting sqref="AF15">
    <cfRule type="dataBar" priority="105">
      <dataBar>
        <cfvo type="num" val="0"/>
        <cfvo type="num" val="0.3"/>
        <color rgb="FF63C384"/>
      </dataBar>
      <extLst>
        <ext xmlns:x14="http://schemas.microsoft.com/office/spreadsheetml/2009/9/main" uri="{B025F937-C7B1-47D3-B67F-A62EFF666E3E}">
          <x14:id>{93E9C5AD-AA3A-4796-9818-11AE65385400}</x14:id>
        </ext>
      </extLst>
    </cfRule>
  </conditionalFormatting>
  <conditionalFormatting sqref="AG6">
    <cfRule type="dataBar" priority="104">
      <dataBar>
        <cfvo type="num" val="0"/>
        <cfvo type="num" val="0.3"/>
        <color rgb="FF63C384"/>
      </dataBar>
      <extLst>
        <ext xmlns:x14="http://schemas.microsoft.com/office/spreadsheetml/2009/9/main" uri="{B025F937-C7B1-47D3-B67F-A62EFF666E3E}">
          <x14:id>{749334AF-A5BB-4A20-81B0-072B5AECEF59}</x14:id>
        </ext>
      </extLst>
    </cfRule>
  </conditionalFormatting>
  <conditionalFormatting sqref="AG8">
    <cfRule type="dataBar" priority="103">
      <dataBar>
        <cfvo type="num" val="0"/>
        <cfvo type="num" val="0.3"/>
        <color rgb="FF63C384"/>
      </dataBar>
      <extLst>
        <ext xmlns:x14="http://schemas.microsoft.com/office/spreadsheetml/2009/9/main" uri="{B025F937-C7B1-47D3-B67F-A62EFF666E3E}">
          <x14:id>{7AE05957-741D-4EF3-9D61-265789CB95FF}</x14:id>
        </ext>
      </extLst>
    </cfRule>
  </conditionalFormatting>
  <conditionalFormatting sqref="AG7">
    <cfRule type="dataBar" priority="102">
      <dataBar>
        <cfvo type="num" val="0"/>
        <cfvo type="num" val="0.3"/>
        <color rgb="FF63C384"/>
      </dataBar>
      <extLst>
        <ext xmlns:x14="http://schemas.microsoft.com/office/spreadsheetml/2009/9/main" uri="{B025F937-C7B1-47D3-B67F-A62EFF666E3E}">
          <x14:id>{2777C9BB-CA0F-40B0-83AF-C0275F5CD135}</x14:id>
        </ext>
      </extLst>
    </cfRule>
  </conditionalFormatting>
  <conditionalFormatting sqref="AG9:AG10">
    <cfRule type="dataBar" priority="101">
      <dataBar>
        <cfvo type="num" val="0"/>
        <cfvo type="num" val="0.3"/>
        <color rgb="FF63C384"/>
      </dataBar>
      <extLst>
        <ext xmlns:x14="http://schemas.microsoft.com/office/spreadsheetml/2009/9/main" uri="{B025F937-C7B1-47D3-B67F-A62EFF666E3E}">
          <x14:id>{401C1E8A-1ACB-4658-A6A7-CB5CC56178F1}</x14:id>
        </ext>
      </extLst>
    </cfRule>
  </conditionalFormatting>
  <conditionalFormatting sqref="AG11">
    <cfRule type="dataBar" priority="100">
      <dataBar>
        <cfvo type="num" val="0"/>
        <cfvo type="num" val="-0.3"/>
        <color rgb="FF63C384"/>
      </dataBar>
      <extLst>
        <ext xmlns:x14="http://schemas.microsoft.com/office/spreadsheetml/2009/9/main" uri="{B025F937-C7B1-47D3-B67F-A62EFF666E3E}">
          <x14:id>{F17ED30E-52F8-4780-9E0F-205449601FE5}</x14:id>
        </ext>
      </extLst>
    </cfRule>
  </conditionalFormatting>
  <conditionalFormatting sqref="AG12">
    <cfRule type="dataBar" priority="99">
      <dataBar>
        <cfvo type="num" val="0"/>
        <cfvo type="num" val="0.3"/>
        <color rgb="FF63C384"/>
      </dataBar>
      <extLst>
        <ext xmlns:x14="http://schemas.microsoft.com/office/spreadsheetml/2009/9/main" uri="{B025F937-C7B1-47D3-B67F-A62EFF666E3E}">
          <x14:id>{C729F8A5-26F1-42ED-870C-BB3E024F7ABD}</x14:id>
        </ext>
      </extLst>
    </cfRule>
  </conditionalFormatting>
  <conditionalFormatting sqref="AG14">
    <cfRule type="dataBar" priority="98">
      <dataBar>
        <cfvo type="num" val="0"/>
        <cfvo type="num" val="0.3"/>
        <color rgb="FF63C384"/>
      </dataBar>
      <extLst>
        <ext xmlns:x14="http://schemas.microsoft.com/office/spreadsheetml/2009/9/main" uri="{B025F937-C7B1-47D3-B67F-A62EFF666E3E}">
          <x14:id>{B7390391-EAF9-4376-B676-EE8D7A351EB0}</x14:id>
        </ext>
      </extLst>
    </cfRule>
  </conditionalFormatting>
  <conditionalFormatting sqref="AG13">
    <cfRule type="dataBar" priority="97">
      <dataBar>
        <cfvo type="num" val="0"/>
        <cfvo type="num" val="0.3"/>
        <color rgb="FF63C384"/>
      </dataBar>
      <extLst>
        <ext xmlns:x14="http://schemas.microsoft.com/office/spreadsheetml/2009/9/main" uri="{B025F937-C7B1-47D3-B67F-A62EFF666E3E}">
          <x14:id>{65D41675-56F9-4F67-8C4F-F2CE31CE0292}</x14:id>
        </ext>
      </extLst>
    </cfRule>
  </conditionalFormatting>
  <conditionalFormatting sqref="AG15">
    <cfRule type="dataBar" priority="96">
      <dataBar>
        <cfvo type="num" val="0"/>
        <cfvo type="num" val="0.3"/>
        <color rgb="FF63C384"/>
      </dataBar>
      <extLst>
        <ext xmlns:x14="http://schemas.microsoft.com/office/spreadsheetml/2009/9/main" uri="{B025F937-C7B1-47D3-B67F-A62EFF666E3E}">
          <x14:id>{2A1E0848-94CB-4B25-AB73-7E0059EDB0CE}</x14:id>
        </ext>
      </extLst>
    </cfRule>
  </conditionalFormatting>
  <conditionalFormatting sqref="AH6">
    <cfRule type="dataBar" priority="95">
      <dataBar>
        <cfvo type="num" val="0"/>
        <cfvo type="num" val="0.3"/>
        <color rgb="FF63C384"/>
      </dataBar>
      <extLst>
        <ext xmlns:x14="http://schemas.microsoft.com/office/spreadsheetml/2009/9/main" uri="{B025F937-C7B1-47D3-B67F-A62EFF666E3E}">
          <x14:id>{61EA5CF1-D7BF-45F9-8C58-1936F249A548}</x14:id>
        </ext>
      </extLst>
    </cfRule>
  </conditionalFormatting>
  <conditionalFormatting sqref="AH8">
    <cfRule type="dataBar" priority="94">
      <dataBar>
        <cfvo type="num" val="0"/>
        <cfvo type="num" val="0.3"/>
        <color rgb="FF63C384"/>
      </dataBar>
      <extLst>
        <ext xmlns:x14="http://schemas.microsoft.com/office/spreadsheetml/2009/9/main" uri="{B025F937-C7B1-47D3-B67F-A62EFF666E3E}">
          <x14:id>{4D23F6CC-F885-4605-A6C7-79A2BE43874A}</x14:id>
        </ext>
      </extLst>
    </cfRule>
  </conditionalFormatting>
  <conditionalFormatting sqref="AH7">
    <cfRule type="dataBar" priority="93">
      <dataBar>
        <cfvo type="num" val="0"/>
        <cfvo type="num" val="-0.3"/>
        <color rgb="FF63C384"/>
      </dataBar>
      <extLst>
        <ext xmlns:x14="http://schemas.microsoft.com/office/spreadsheetml/2009/9/main" uri="{B025F937-C7B1-47D3-B67F-A62EFF666E3E}">
          <x14:id>{D50AD0C0-ACAE-4EF2-AB8F-981B725C6458}</x14:id>
        </ext>
      </extLst>
    </cfRule>
  </conditionalFormatting>
  <conditionalFormatting sqref="AH9">
    <cfRule type="dataBar" priority="92">
      <dataBar>
        <cfvo type="num" val="0"/>
        <cfvo type="num" val="0.3"/>
        <color rgb="FF63C384"/>
      </dataBar>
      <extLst>
        <ext xmlns:x14="http://schemas.microsoft.com/office/spreadsheetml/2009/9/main" uri="{B025F937-C7B1-47D3-B67F-A62EFF666E3E}">
          <x14:id>{EB16F18F-A468-4A60-9E46-F6347D0CCD19}</x14:id>
        </ext>
      </extLst>
    </cfRule>
  </conditionalFormatting>
  <conditionalFormatting sqref="AH11">
    <cfRule type="dataBar" priority="91">
      <dataBar>
        <cfvo type="num" val="0"/>
        <cfvo type="num" val="0.3"/>
        <color rgb="FF63C384"/>
      </dataBar>
      <extLst>
        <ext xmlns:x14="http://schemas.microsoft.com/office/spreadsheetml/2009/9/main" uri="{B025F937-C7B1-47D3-B67F-A62EFF666E3E}">
          <x14:id>{4A2CF5E7-C3A7-4DBA-B166-A89DB273F676}</x14:id>
        </ext>
      </extLst>
    </cfRule>
  </conditionalFormatting>
  <conditionalFormatting sqref="AH10">
    <cfRule type="dataBar" priority="90">
      <dataBar>
        <cfvo type="num" val="0"/>
        <cfvo type="num" val="0.3"/>
        <color rgb="FF63C384"/>
      </dataBar>
      <extLst>
        <ext xmlns:x14="http://schemas.microsoft.com/office/spreadsheetml/2009/9/main" uri="{B025F937-C7B1-47D3-B67F-A62EFF666E3E}">
          <x14:id>{09CBEA61-03BF-452A-AE7A-C7F2C832F58D}</x14:id>
        </ext>
      </extLst>
    </cfRule>
  </conditionalFormatting>
  <conditionalFormatting sqref="AH12">
    <cfRule type="dataBar" priority="89">
      <dataBar>
        <cfvo type="num" val="0"/>
        <cfvo type="num" val="0.3"/>
        <color rgb="FF63C384"/>
      </dataBar>
      <extLst>
        <ext xmlns:x14="http://schemas.microsoft.com/office/spreadsheetml/2009/9/main" uri="{B025F937-C7B1-47D3-B67F-A62EFF666E3E}">
          <x14:id>{0A04F377-DBDF-44C7-AF75-3C1D26A69F64}</x14:id>
        </ext>
      </extLst>
    </cfRule>
  </conditionalFormatting>
  <conditionalFormatting sqref="AH14">
    <cfRule type="dataBar" priority="88">
      <dataBar>
        <cfvo type="num" val="0"/>
        <cfvo type="num" val="0.3"/>
        <color rgb="FF63C384"/>
      </dataBar>
      <extLst>
        <ext xmlns:x14="http://schemas.microsoft.com/office/spreadsheetml/2009/9/main" uri="{B025F937-C7B1-47D3-B67F-A62EFF666E3E}">
          <x14:id>{0DAC18F4-1899-4D34-9DD5-B6D3C0DC7A63}</x14:id>
        </ext>
      </extLst>
    </cfRule>
  </conditionalFormatting>
  <conditionalFormatting sqref="AH13">
    <cfRule type="dataBar" priority="87">
      <dataBar>
        <cfvo type="num" val="0"/>
        <cfvo type="num" val="-0.3"/>
        <color rgb="FF63C384"/>
      </dataBar>
      <extLst>
        <ext xmlns:x14="http://schemas.microsoft.com/office/spreadsheetml/2009/9/main" uri="{B025F937-C7B1-47D3-B67F-A62EFF666E3E}">
          <x14:id>{1F71E011-5A8B-42F6-B461-2F7A94BBFD2A}</x14:id>
        </ext>
      </extLst>
    </cfRule>
  </conditionalFormatting>
  <conditionalFormatting sqref="AH15">
    <cfRule type="dataBar" priority="86">
      <dataBar>
        <cfvo type="num" val="0"/>
        <cfvo type="num" val="0.3"/>
        <color rgb="FF63C384"/>
      </dataBar>
      <extLst>
        <ext xmlns:x14="http://schemas.microsoft.com/office/spreadsheetml/2009/9/main" uri="{B025F937-C7B1-47D3-B67F-A62EFF666E3E}">
          <x14:id>{C7B07F80-BC6B-4A0B-AB10-5A95D18861FC}</x14:id>
        </ext>
      </extLst>
    </cfRule>
  </conditionalFormatting>
  <conditionalFormatting sqref="AI6">
    <cfRule type="dataBar" priority="85">
      <dataBar>
        <cfvo type="num" val="0"/>
        <cfvo type="num" val="-0.3"/>
        <color rgb="FF63C384"/>
      </dataBar>
      <extLst>
        <ext xmlns:x14="http://schemas.microsoft.com/office/spreadsheetml/2009/9/main" uri="{B025F937-C7B1-47D3-B67F-A62EFF666E3E}">
          <x14:id>{C32EB713-3ECB-453F-9A9A-BCC006C7A081}</x14:id>
        </ext>
      </extLst>
    </cfRule>
  </conditionalFormatting>
  <conditionalFormatting sqref="AI8">
    <cfRule type="dataBar" priority="84">
      <dataBar>
        <cfvo type="num" val="0"/>
        <cfvo type="num" val="-0.3"/>
        <color rgb="FF63C384"/>
      </dataBar>
      <extLst>
        <ext xmlns:x14="http://schemas.microsoft.com/office/spreadsheetml/2009/9/main" uri="{B025F937-C7B1-47D3-B67F-A62EFF666E3E}">
          <x14:id>{FD7E167E-AEEC-423C-97EC-92723BD90BA4}</x14:id>
        </ext>
      </extLst>
    </cfRule>
  </conditionalFormatting>
  <conditionalFormatting sqref="AI7">
    <cfRule type="dataBar" priority="83">
      <dataBar>
        <cfvo type="num" val="0"/>
        <cfvo type="num" val="0.3"/>
        <color rgb="FF63C384"/>
      </dataBar>
      <extLst>
        <ext xmlns:x14="http://schemas.microsoft.com/office/spreadsheetml/2009/9/main" uri="{B025F937-C7B1-47D3-B67F-A62EFF666E3E}">
          <x14:id>{D8180D51-E23C-466B-B47A-1DE43F8D2B52}</x14:id>
        </ext>
      </extLst>
    </cfRule>
  </conditionalFormatting>
  <conditionalFormatting sqref="AI9:AI10">
    <cfRule type="dataBar" priority="82">
      <dataBar>
        <cfvo type="num" val="0"/>
        <cfvo type="num" val="-0.3"/>
        <color rgb="FF63C384"/>
      </dataBar>
      <extLst>
        <ext xmlns:x14="http://schemas.microsoft.com/office/spreadsheetml/2009/9/main" uri="{B025F937-C7B1-47D3-B67F-A62EFF666E3E}">
          <x14:id>{0FCF93F5-51FE-40CE-A509-6CB4BDB908A3}</x14:id>
        </ext>
      </extLst>
    </cfRule>
  </conditionalFormatting>
  <conditionalFormatting sqref="AI11">
    <cfRule type="dataBar" priority="81">
      <dataBar>
        <cfvo type="num" val="0"/>
        <cfvo type="num" val="-0.3"/>
        <color rgb="FF63C384"/>
      </dataBar>
      <extLst>
        <ext xmlns:x14="http://schemas.microsoft.com/office/spreadsheetml/2009/9/main" uri="{B025F937-C7B1-47D3-B67F-A62EFF666E3E}">
          <x14:id>{D53D8B39-4736-4A3E-968E-60BDE9DA6CA4}</x14:id>
        </ext>
      </extLst>
    </cfRule>
  </conditionalFormatting>
  <conditionalFormatting sqref="AI12">
    <cfRule type="dataBar" priority="80">
      <dataBar>
        <cfvo type="num" val="0"/>
        <cfvo type="num" val="0.3"/>
        <color rgb="FF63C384"/>
      </dataBar>
      <extLst>
        <ext xmlns:x14="http://schemas.microsoft.com/office/spreadsheetml/2009/9/main" uri="{B025F937-C7B1-47D3-B67F-A62EFF666E3E}">
          <x14:id>{C37B237E-6990-4DA8-9BFC-7A44A657AD74}</x14:id>
        </ext>
      </extLst>
    </cfRule>
  </conditionalFormatting>
  <conditionalFormatting sqref="AI14">
    <cfRule type="dataBar" priority="79">
      <dataBar>
        <cfvo type="num" val="0"/>
        <cfvo type="num" val="0.3"/>
        <color rgb="FF63C384"/>
      </dataBar>
      <extLst>
        <ext xmlns:x14="http://schemas.microsoft.com/office/spreadsheetml/2009/9/main" uri="{B025F937-C7B1-47D3-B67F-A62EFF666E3E}">
          <x14:id>{2442FBA3-4F23-426E-AA26-ACE4E51A8D92}</x14:id>
        </ext>
      </extLst>
    </cfRule>
  </conditionalFormatting>
  <conditionalFormatting sqref="AI13">
    <cfRule type="dataBar" priority="78">
      <dataBar>
        <cfvo type="num" val="0"/>
        <cfvo type="num" val="0.3"/>
        <color rgb="FF63C384"/>
      </dataBar>
      <extLst>
        <ext xmlns:x14="http://schemas.microsoft.com/office/spreadsheetml/2009/9/main" uri="{B025F937-C7B1-47D3-B67F-A62EFF666E3E}">
          <x14:id>{87905541-C553-4C1E-BF09-65DBA54AB449}</x14:id>
        </ext>
      </extLst>
    </cfRule>
  </conditionalFormatting>
  <conditionalFormatting sqref="AI15">
    <cfRule type="dataBar" priority="77">
      <dataBar>
        <cfvo type="num" val="0"/>
        <cfvo type="num" val="0.3"/>
        <color rgb="FF63C384"/>
      </dataBar>
      <extLst>
        <ext xmlns:x14="http://schemas.microsoft.com/office/spreadsheetml/2009/9/main" uri="{B025F937-C7B1-47D3-B67F-A62EFF666E3E}">
          <x14:id>{A42D6577-A0F5-4D20-9091-2CCE7CA6AEAE}</x14:id>
        </ext>
      </extLst>
    </cfRule>
  </conditionalFormatting>
  <conditionalFormatting sqref="AJ6">
    <cfRule type="dataBar" priority="76">
      <dataBar>
        <cfvo type="num" val="0"/>
        <cfvo type="num" val="-0.3"/>
        <color rgb="FF63C384"/>
      </dataBar>
      <extLst>
        <ext xmlns:x14="http://schemas.microsoft.com/office/spreadsheetml/2009/9/main" uri="{B025F937-C7B1-47D3-B67F-A62EFF666E3E}">
          <x14:id>{2DBB57B0-2A83-4988-87FD-B3616AFB9368}</x14:id>
        </ext>
      </extLst>
    </cfRule>
  </conditionalFormatting>
  <conditionalFormatting sqref="AJ8">
    <cfRule type="dataBar" priority="75">
      <dataBar>
        <cfvo type="num" val="0"/>
        <cfvo type="num" val="0.3"/>
        <color rgb="FF63C384"/>
      </dataBar>
      <extLst>
        <ext xmlns:x14="http://schemas.microsoft.com/office/spreadsheetml/2009/9/main" uri="{B025F937-C7B1-47D3-B67F-A62EFF666E3E}">
          <x14:id>{752A9984-0BA2-442A-9A6E-8AF210504636}</x14:id>
        </ext>
      </extLst>
    </cfRule>
  </conditionalFormatting>
  <conditionalFormatting sqref="AJ7">
    <cfRule type="dataBar" priority="74">
      <dataBar>
        <cfvo type="num" val="0"/>
        <cfvo type="num" val="-0.3"/>
        <color rgb="FF63C384"/>
      </dataBar>
      <extLst>
        <ext xmlns:x14="http://schemas.microsoft.com/office/spreadsheetml/2009/9/main" uri="{B025F937-C7B1-47D3-B67F-A62EFF666E3E}">
          <x14:id>{91129A1B-9606-4433-9939-BBF3242F638A}</x14:id>
        </ext>
      </extLst>
    </cfRule>
  </conditionalFormatting>
  <conditionalFormatting sqref="AJ9">
    <cfRule type="dataBar" priority="73">
      <dataBar>
        <cfvo type="num" val="0"/>
        <cfvo type="num" val="-0.3"/>
        <color rgb="FF63C384"/>
      </dataBar>
      <extLst>
        <ext xmlns:x14="http://schemas.microsoft.com/office/spreadsheetml/2009/9/main" uri="{B025F937-C7B1-47D3-B67F-A62EFF666E3E}">
          <x14:id>{881D20E2-F740-49F1-97F5-1128D9A4199A}</x14:id>
        </ext>
      </extLst>
    </cfRule>
  </conditionalFormatting>
  <conditionalFormatting sqref="AJ11">
    <cfRule type="dataBar" priority="72">
      <dataBar>
        <cfvo type="num" val="0"/>
        <cfvo type="num" val="-0.3"/>
        <color rgb="FF63C384"/>
      </dataBar>
      <extLst>
        <ext xmlns:x14="http://schemas.microsoft.com/office/spreadsheetml/2009/9/main" uri="{B025F937-C7B1-47D3-B67F-A62EFF666E3E}">
          <x14:id>{044BDD58-578B-4296-871B-B63C8CC59F79}</x14:id>
        </ext>
      </extLst>
    </cfRule>
  </conditionalFormatting>
  <conditionalFormatting sqref="AJ10">
    <cfRule type="dataBar" priority="71">
      <dataBar>
        <cfvo type="num" val="0"/>
        <cfvo type="num" val="-0.3"/>
        <color rgb="FF63C384"/>
      </dataBar>
      <extLst>
        <ext xmlns:x14="http://schemas.microsoft.com/office/spreadsheetml/2009/9/main" uri="{B025F937-C7B1-47D3-B67F-A62EFF666E3E}">
          <x14:id>{6E19ABA7-195E-4403-B9E5-F042CF91DD1E}</x14:id>
        </ext>
      </extLst>
    </cfRule>
  </conditionalFormatting>
  <conditionalFormatting sqref="AJ12">
    <cfRule type="dataBar" priority="70">
      <dataBar>
        <cfvo type="num" val="0"/>
        <cfvo type="num" val="0.3"/>
        <color rgb="FF63C384"/>
      </dataBar>
      <extLst>
        <ext xmlns:x14="http://schemas.microsoft.com/office/spreadsheetml/2009/9/main" uri="{B025F937-C7B1-47D3-B67F-A62EFF666E3E}">
          <x14:id>{D1864C70-734C-412E-8E6F-C3080D156370}</x14:id>
        </ext>
      </extLst>
    </cfRule>
  </conditionalFormatting>
  <conditionalFormatting sqref="AJ14">
    <cfRule type="dataBar" priority="69">
      <dataBar>
        <cfvo type="num" val="0"/>
        <cfvo type="num" val="0.3"/>
        <color rgb="FF63C384"/>
      </dataBar>
      <extLst>
        <ext xmlns:x14="http://schemas.microsoft.com/office/spreadsheetml/2009/9/main" uri="{B025F937-C7B1-47D3-B67F-A62EFF666E3E}">
          <x14:id>{764C0D89-73ED-486A-9662-59A49ED7D98F}</x14:id>
        </ext>
      </extLst>
    </cfRule>
  </conditionalFormatting>
  <conditionalFormatting sqref="AJ13">
    <cfRule type="dataBar" priority="68">
      <dataBar>
        <cfvo type="num" val="0"/>
        <cfvo type="num" val="-0.3"/>
        <color rgb="FF63C384"/>
      </dataBar>
      <extLst>
        <ext xmlns:x14="http://schemas.microsoft.com/office/spreadsheetml/2009/9/main" uri="{B025F937-C7B1-47D3-B67F-A62EFF666E3E}">
          <x14:id>{F6AC9093-E6C4-43E3-9AE8-E1DA0762AD0E}</x14:id>
        </ext>
      </extLst>
    </cfRule>
  </conditionalFormatting>
  <conditionalFormatting sqref="AJ15">
    <cfRule type="dataBar" priority="67">
      <dataBar>
        <cfvo type="num" val="0"/>
        <cfvo type="num" val="0.3"/>
        <color rgb="FF63C384"/>
      </dataBar>
      <extLst>
        <ext xmlns:x14="http://schemas.microsoft.com/office/spreadsheetml/2009/9/main" uri="{B025F937-C7B1-47D3-B67F-A62EFF666E3E}">
          <x14:id>{9056842B-A4BD-41F0-B420-E1A5755481EC}</x14:id>
        </ext>
      </extLst>
    </cfRule>
  </conditionalFormatting>
  <conditionalFormatting sqref="AK6">
    <cfRule type="dataBar" priority="66">
      <dataBar>
        <cfvo type="num" val="0"/>
        <cfvo type="num" val="0.3"/>
        <color rgb="FF63C384"/>
      </dataBar>
      <extLst>
        <ext xmlns:x14="http://schemas.microsoft.com/office/spreadsheetml/2009/9/main" uri="{B025F937-C7B1-47D3-B67F-A62EFF666E3E}">
          <x14:id>{099BB12A-7DA9-4280-89A7-4C46CE479758}</x14:id>
        </ext>
      </extLst>
    </cfRule>
  </conditionalFormatting>
  <conditionalFormatting sqref="AK8">
    <cfRule type="dataBar" priority="65">
      <dataBar>
        <cfvo type="num" val="0"/>
        <cfvo type="num" val="-0.3"/>
        <color rgb="FF63C384"/>
      </dataBar>
      <extLst>
        <ext xmlns:x14="http://schemas.microsoft.com/office/spreadsheetml/2009/9/main" uri="{B025F937-C7B1-47D3-B67F-A62EFF666E3E}">
          <x14:id>{61768D1F-D293-4129-AFAE-BA34C1BBA833}</x14:id>
        </ext>
      </extLst>
    </cfRule>
  </conditionalFormatting>
  <conditionalFormatting sqref="AK7">
    <cfRule type="dataBar" priority="64">
      <dataBar>
        <cfvo type="num" val="0"/>
        <cfvo type="num" val="0.3"/>
        <color rgb="FF63C384"/>
      </dataBar>
      <extLst>
        <ext xmlns:x14="http://schemas.microsoft.com/office/spreadsheetml/2009/9/main" uri="{B025F937-C7B1-47D3-B67F-A62EFF666E3E}">
          <x14:id>{39034631-303D-4961-B183-35E4193086FE}</x14:id>
        </ext>
      </extLst>
    </cfRule>
  </conditionalFormatting>
  <conditionalFormatting sqref="AK9:AK10">
    <cfRule type="dataBar" priority="63">
      <dataBar>
        <cfvo type="num" val="0"/>
        <cfvo type="num" val="0.3"/>
        <color rgb="FF63C384"/>
      </dataBar>
      <extLst>
        <ext xmlns:x14="http://schemas.microsoft.com/office/spreadsheetml/2009/9/main" uri="{B025F937-C7B1-47D3-B67F-A62EFF666E3E}">
          <x14:id>{CB55AE59-42B9-40C8-9EB0-A5E2B8DC6AE8}</x14:id>
        </ext>
      </extLst>
    </cfRule>
  </conditionalFormatting>
  <conditionalFormatting sqref="AK11">
    <cfRule type="dataBar" priority="62">
      <dataBar>
        <cfvo type="num" val="0"/>
        <cfvo type="num" val="0.3"/>
        <color rgb="FF63C384"/>
      </dataBar>
      <extLst>
        <ext xmlns:x14="http://schemas.microsoft.com/office/spreadsheetml/2009/9/main" uri="{B025F937-C7B1-47D3-B67F-A62EFF666E3E}">
          <x14:id>{2BF4A39B-E67A-46FF-B6F3-8E9EE5C9BCF5}</x14:id>
        </ext>
      </extLst>
    </cfRule>
  </conditionalFormatting>
  <conditionalFormatting sqref="AK12">
    <cfRule type="dataBar" priority="61">
      <dataBar>
        <cfvo type="num" val="0"/>
        <cfvo type="num" val="0.3"/>
        <color rgb="FF63C384"/>
      </dataBar>
      <extLst>
        <ext xmlns:x14="http://schemas.microsoft.com/office/spreadsheetml/2009/9/main" uri="{B025F937-C7B1-47D3-B67F-A62EFF666E3E}">
          <x14:id>{86CE46E7-5704-43CB-BC8C-98A1BA6D0EFA}</x14:id>
        </ext>
      </extLst>
    </cfRule>
  </conditionalFormatting>
  <conditionalFormatting sqref="AK14">
    <cfRule type="dataBar" priority="60">
      <dataBar>
        <cfvo type="num" val="0"/>
        <cfvo type="num" val="0.3"/>
        <color rgb="FF63C384"/>
      </dataBar>
      <extLst>
        <ext xmlns:x14="http://schemas.microsoft.com/office/spreadsheetml/2009/9/main" uri="{B025F937-C7B1-47D3-B67F-A62EFF666E3E}">
          <x14:id>{235D96F2-6F1E-4B3C-97D8-57E56C0FDB29}</x14:id>
        </ext>
      </extLst>
    </cfRule>
  </conditionalFormatting>
  <conditionalFormatting sqref="AK13">
    <cfRule type="dataBar" priority="59">
      <dataBar>
        <cfvo type="num" val="0"/>
        <cfvo type="num" val="0.3"/>
        <color rgb="FF63C384"/>
      </dataBar>
      <extLst>
        <ext xmlns:x14="http://schemas.microsoft.com/office/spreadsheetml/2009/9/main" uri="{B025F937-C7B1-47D3-B67F-A62EFF666E3E}">
          <x14:id>{F925C9E0-AF1B-4077-917F-43904A90F300}</x14:id>
        </ext>
      </extLst>
    </cfRule>
  </conditionalFormatting>
  <conditionalFormatting sqref="AK15">
    <cfRule type="dataBar" priority="58">
      <dataBar>
        <cfvo type="num" val="0"/>
        <cfvo type="num" val="0.3"/>
        <color rgb="FF63C384"/>
      </dataBar>
      <extLst>
        <ext xmlns:x14="http://schemas.microsoft.com/office/spreadsheetml/2009/9/main" uri="{B025F937-C7B1-47D3-B67F-A62EFF666E3E}">
          <x14:id>{0098D6A0-9B65-4C3E-A094-582C7EB1BB72}</x14:id>
        </ext>
      </extLst>
    </cfRule>
  </conditionalFormatting>
  <conditionalFormatting sqref="AL6">
    <cfRule type="dataBar" priority="57">
      <dataBar>
        <cfvo type="num" val="0"/>
        <cfvo type="num" val="-0.3"/>
        <color rgb="FF63C384"/>
      </dataBar>
      <extLst>
        <ext xmlns:x14="http://schemas.microsoft.com/office/spreadsheetml/2009/9/main" uri="{B025F937-C7B1-47D3-B67F-A62EFF666E3E}">
          <x14:id>{04478181-35E8-4A63-AA0B-F2BC34ED64CB}</x14:id>
        </ext>
      </extLst>
    </cfRule>
  </conditionalFormatting>
  <conditionalFormatting sqref="AL8">
    <cfRule type="dataBar" priority="56">
      <dataBar>
        <cfvo type="num" val="0"/>
        <cfvo type="num" val="-0.3"/>
        <color rgb="FF63C384"/>
      </dataBar>
      <extLst>
        <ext xmlns:x14="http://schemas.microsoft.com/office/spreadsheetml/2009/9/main" uri="{B025F937-C7B1-47D3-B67F-A62EFF666E3E}">
          <x14:id>{A0928687-1125-459A-B7D8-B6873CCE9583}</x14:id>
        </ext>
      </extLst>
    </cfRule>
  </conditionalFormatting>
  <conditionalFormatting sqref="AL7">
    <cfRule type="dataBar" priority="55">
      <dataBar>
        <cfvo type="num" val="0"/>
        <cfvo type="num" val="-0.3"/>
        <color rgb="FF63C384"/>
      </dataBar>
      <extLst>
        <ext xmlns:x14="http://schemas.microsoft.com/office/spreadsheetml/2009/9/main" uri="{B025F937-C7B1-47D3-B67F-A62EFF666E3E}">
          <x14:id>{40E2D208-5DB6-4A59-894C-18262D4AF6C0}</x14:id>
        </ext>
      </extLst>
    </cfRule>
  </conditionalFormatting>
  <conditionalFormatting sqref="AL9">
    <cfRule type="dataBar" priority="54">
      <dataBar>
        <cfvo type="num" val="0"/>
        <cfvo type="num" val="0.3"/>
        <color rgb="FF63C384"/>
      </dataBar>
      <extLst>
        <ext xmlns:x14="http://schemas.microsoft.com/office/spreadsheetml/2009/9/main" uri="{B025F937-C7B1-47D3-B67F-A62EFF666E3E}">
          <x14:id>{31229B39-0FE7-4448-AA79-10B9B4E2A013}</x14:id>
        </ext>
      </extLst>
    </cfRule>
  </conditionalFormatting>
  <conditionalFormatting sqref="AL11">
    <cfRule type="dataBar" priority="53">
      <dataBar>
        <cfvo type="num" val="0"/>
        <cfvo type="num" val="0.3"/>
        <color rgb="FF63C384"/>
      </dataBar>
      <extLst>
        <ext xmlns:x14="http://schemas.microsoft.com/office/spreadsheetml/2009/9/main" uri="{B025F937-C7B1-47D3-B67F-A62EFF666E3E}">
          <x14:id>{1CD2348A-72CE-4AB4-AB56-DB7A736DAE52}</x14:id>
        </ext>
      </extLst>
    </cfRule>
  </conditionalFormatting>
  <conditionalFormatting sqref="AL10">
    <cfRule type="dataBar" priority="52">
      <dataBar>
        <cfvo type="num" val="0"/>
        <cfvo type="num" val="0.3"/>
        <color rgb="FF63C384"/>
      </dataBar>
      <extLst>
        <ext xmlns:x14="http://schemas.microsoft.com/office/spreadsheetml/2009/9/main" uri="{B025F937-C7B1-47D3-B67F-A62EFF666E3E}">
          <x14:id>{485D25AD-AC2B-4D5A-98CE-CCF95CF53529}</x14:id>
        </ext>
      </extLst>
    </cfRule>
  </conditionalFormatting>
  <conditionalFormatting sqref="AL12">
    <cfRule type="dataBar" priority="51">
      <dataBar>
        <cfvo type="num" val="0"/>
        <cfvo type="num" val="0.3"/>
        <color rgb="FF63C384"/>
      </dataBar>
      <extLst>
        <ext xmlns:x14="http://schemas.microsoft.com/office/spreadsheetml/2009/9/main" uri="{B025F937-C7B1-47D3-B67F-A62EFF666E3E}">
          <x14:id>{9189A8A5-4B3C-49D6-90A8-F666CBB8829F}</x14:id>
        </ext>
      </extLst>
    </cfRule>
  </conditionalFormatting>
  <conditionalFormatting sqref="AL14">
    <cfRule type="dataBar" priority="50">
      <dataBar>
        <cfvo type="num" val="0"/>
        <cfvo type="num" val="0.3"/>
        <color rgb="FF63C384"/>
      </dataBar>
      <extLst>
        <ext xmlns:x14="http://schemas.microsoft.com/office/spreadsheetml/2009/9/main" uri="{B025F937-C7B1-47D3-B67F-A62EFF666E3E}">
          <x14:id>{2AC54B60-69C1-4D5F-AF6B-78B4882F0A33}</x14:id>
        </ext>
      </extLst>
    </cfRule>
  </conditionalFormatting>
  <conditionalFormatting sqref="AL13">
    <cfRule type="dataBar" priority="49">
      <dataBar>
        <cfvo type="num" val="0"/>
        <cfvo type="num" val="-0.3"/>
        <color rgb="FF63C384"/>
      </dataBar>
      <extLst>
        <ext xmlns:x14="http://schemas.microsoft.com/office/spreadsheetml/2009/9/main" uri="{B025F937-C7B1-47D3-B67F-A62EFF666E3E}">
          <x14:id>{7383DAF9-0102-47C5-B3EE-BDA9D414F914}</x14:id>
        </ext>
      </extLst>
    </cfRule>
  </conditionalFormatting>
  <conditionalFormatting sqref="AL15">
    <cfRule type="dataBar" priority="48">
      <dataBar>
        <cfvo type="num" val="0"/>
        <cfvo type="num" val="0.3"/>
        <color rgb="FF63C384"/>
      </dataBar>
      <extLst>
        <ext xmlns:x14="http://schemas.microsoft.com/office/spreadsheetml/2009/9/main" uri="{B025F937-C7B1-47D3-B67F-A62EFF666E3E}">
          <x14:id>{C857A8A5-00FE-437C-B869-D4831C22776F}</x14:id>
        </ext>
      </extLst>
    </cfRule>
  </conditionalFormatting>
  <conditionalFormatting sqref="AM6">
    <cfRule type="dataBar" priority="47">
      <dataBar>
        <cfvo type="num" val="0"/>
        <cfvo type="num" val="0.3"/>
        <color rgb="FF63C384"/>
      </dataBar>
      <extLst>
        <ext xmlns:x14="http://schemas.microsoft.com/office/spreadsheetml/2009/9/main" uri="{B025F937-C7B1-47D3-B67F-A62EFF666E3E}">
          <x14:id>{55C8E4E1-5D82-476E-982C-48753CD8A69B}</x14:id>
        </ext>
      </extLst>
    </cfRule>
  </conditionalFormatting>
  <conditionalFormatting sqref="AM8">
    <cfRule type="dataBar" priority="46">
      <dataBar>
        <cfvo type="num" val="0"/>
        <cfvo type="num" val="0.3"/>
        <color rgb="FF63C384"/>
      </dataBar>
      <extLst>
        <ext xmlns:x14="http://schemas.microsoft.com/office/spreadsheetml/2009/9/main" uri="{B025F937-C7B1-47D3-B67F-A62EFF666E3E}">
          <x14:id>{313C3D28-E405-4BDA-A01F-520A6F344947}</x14:id>
        </ext>
      </extLst>
    </cfRule>
  </conditionalFormatting>
  <conditionalFormatting sqref="AM7">
    <cfRule type="dataBar" priority="45">
      <dataBar>
        <cfvo type="num" val="0"/>
        <cfvo type="num" val="0.3"/>
        <color rgb="FF63C384"/>
      </dataBar>
      <extLst>
        <ext xmlns:x14="http://schemas.microsoft.com/office/spreadsheetml/2009/9/main" uri="{B025F937-C7B1-47D3-B67F-A62EFF666E3E}">
          <x14:id>{F5CB8B7F-7583-4FF0-A913-3934737FE47A}</x14:id>
        </ext>
      </extLst>
    </cfRule>
  </conditionalFormatting>
  <conditionalFormatting sqref="AM9:AM10">
    <cfRule type="dataBar" priority="44">
      <dataBar>
        <cfvo type="num" val="0"/>
        <cfvo type="num" val="-0.3"/>
        <color rgb="FF63C384"/>
      </dataBar>
      <extLst>
        <ext xmlns:x14="http://schemas.microsoft.com/office/spreadsheetml/2009/9/main" uri="{B025F937-C7B1-47D3-B67F-A62EFF666E3E}">
          <x14:id>{91DEC6CA-43DB-4FB1-92A4-4E7D59B71A90}</x14:id>
        </ext>
      </extLst>
    </cfRule>
  </conditionalFormatting>
  <conditionalFormatting sqref="AM11">
    <cfRule type="dataBar" priority="43">
      <dataBar>
        <cfvo type="num" val="0"/>
        <cfvo type="num" val="-0.3"/>
        <color rgb="FF63C384"/>
      </dataBar>
      <extLst>
        <ext xmlns:x14="http://schemas.microsoft.com/office/spreadsheetml/2009/9/main" uri="{B025F937-C7B1-47D3-B67F-A62EFF666E3E}">
          <x14:id>{600EF4AC-CF29-4ED3-9EB4-CF66195C019D}</x14:id>
        </ext>
      </extLst>
    </cfRule>
  </conditionalFormatting>
  <conditionalFormatting sqref="AM12">
    <cfRule type="dataBar" priority="42">
      <dataBar>
        <cfvo type="num" val="0"/>
        <cfvo type="num" val="0.3"/>
        <color rgb="FF63C384"/>
      </dataBar>
      <extLst>
        <ext xmlns:x14="http://schemas.microsoft.com/office/spreadsheetml/2009/9/main" uri="{B025F937-C7B1-47D3-B67F-A62EFF666E3E}">
          <x14:id>{359F6CAD-8B99-4DFA-BB85-17F135AD0DC7}</x14:id>
        </ext>
      </extLst>
    </cfRule>
  </conditionalFormatting>
  <conditionalFormatting sqref="AM14">
    <cfRule type="dataBar" priority="41">
      <dataBar>
        <cfvo type="num" val="0"/>
        <cfvo type="num" val="0.3"/>
        <color rgb="FF63C384"/>
      </dataBar>
      <extLst>
        <ext xmlns:x14="http://schemas.microsoft.com/office/spreadsheetml/2009/9/main" uri="{B025F937-C7B1-47D3-B67F-A62EFF666E3E}">
          <x14:id>{C992C6CD-4618-4552-8BFD-D81198E2C7FC}</x14:id>
        </ext>
      </extLst>
    </cfRule>
  </conditionalFormatting>
  <conditionalFormatting sqref="AM13">
    <cfRule type="dataBar" priority="40">
      <dataBar>
        <cfvo type="num" val="0"/>
        <cfvo type="num" val="0.3"/>
        <color rgb="FF63C384"/>
      </dataBar>
      <extLst>
        <ext xmlns:x14="http://schemas.microsoft.com/office/spreadsheetml/2009/9/main" uri="{B025F937-C7B1-47D3-B67F-A62EFF666E3E}">
          <x14:id>{BEAE9CF8-92FF-4C1F-9C5D-F4A4EA831016}</x14:id>
        </ext>
      </extLst>
    </cfRule>
  </conditionalFormatting>
  <conditionalFormatting sqref="AM15">
    <cfRule type="dataBar" priority="39">
      <dataBar>
        <cfvo type="num" val="0"/>
        <cfvo type="num" val="0.3"/>
        <color rgb="FF63C384"/>
      </dataBar>
      <extLst>
        <ext xmlns:x14="http://schemas.microsoft.com/office/spreadsheetml/2009/9/main" uri="{B025F937-C7B1-47D3-B67F-A62EFF666E3E}">
          <x14:id>{4EACC038-B1AC-4163-AFEA-36304BCF2892}</x14:id>
        </ext>
      </extLst>
    </cfRule>
  </conditionalFormatting>
  <conditionalFormatting sqref="AN6">
    <cfRule type="dataBar" priority="38">
      <dataBar>
        <cfvo type="num" val="0"/>
        <cfvo type="num" val="-0.3"/>
        <color rgb="FF63C384"/>
      </dataBar>
      <extLst>
        <ext xmlns:x14="http://schemas.microsoft.com/office/spreadsheetml/2009/9/main" uri="{B025F937-C7B1-47D3-B67F-A62EFF666E3E}">
          <x14:id>{7DE66603-B8E2-473D-93D3-4C1555015D96}</x14:id>
        </ext>
      </extLst>
    </cfRule>
  </conditionalFormatting>
  <conditionalFormatting sqref="AN8">
    <cfRule type="dataBar" priority="37">
      <dataBar>
        <cfvo type="num" val="0"/>
        <cfvo type="num" val="-0.3"/>
        <color rgb="FF63C384"/>
      </dataBar>
      <extLst>
        <ext xmlns:x14="http://schemas.microsoft.com/office/spreadsheetml/2009/9/main" uri="{B025F937-C7B1-47D3-B67F-A62EFF666E3E}">
          <x14:id>{015C62DC-718D-4018-AABD-F5A4D5D7AB25}</x14:id>
        </ext>
      </extLst>
    </cfRule>
  </conditionalFormatting>
  <conditionalFormatting sqref="AN7">
    <cfRule type="dataBar" priority="36">
      <dataBar>
        <cfvo type="num" val="0"/>
        <cfvo type="num" val="-0.3"/>
        <color rgb="FF63C384"/>
      </dataBar>
      <extLst>
        <ext xmlns:x14="http://schemas.microsoft.com/office/spreadsheetml/2009/9/main" uri="{B025F937-C7B1-47D3-B67F-A62EFF666E3E}">
          <x14:id>{D306D1C5-7B13-40C9-B655-62B2CDD9CC21}</x14:id>
        </ext>
      </extLst>
    </cfRule>
  </conditionalFormatting>
  <conditionalFormatting sqref="AN9">
    <cfRule type="dataBar" priority="35">
      <dataBar>
        <cfvo type="num" val="0"/>
        <cfvo type="num" val="-0.3"/>
        <color rgb="FF63C384"/>
      </dataBar>
      <extLst>
        <ext xmlns:x14="http://schemas.microsoft.com/office/spreadsheetml/2009/9/main" uri="{B025F937-C7B1-47D3-B67F-A62EFF666E3E}">
          <x14:id>{34F3B4A9-17EB-4F0F-9D39-8CE2BDAD41ED}</x14:id>
        </ext>
      </extLst>
    </cfRule>
  </conditionalFormatting>
  <conditionalFormatting sqref="AN11">
    <cfRule type="dataBar" priority="34">
      <dataBar>
        <cfvo type="num" val="0"/>
        <cfvo type="num" val="-0.3"/>
        <color rgb="FF63C384"/>
      </dataBar>
      <extLst>
        <ext xmlns:x14="http://schemas.microsoft.com/office/spreadsheetml/2009/9/main" uri="{B025F937-C7B1-47D3-B67F-A62EFF666E3E}">
          <x14:id>{E6DC7FDA-297D-48B7-B9DC-CE200A06BD7E}</x14:id>
        </ext>
      </extLst>
    </cfRule>
  </conditionalFormatting>
  <conditionalFormatting sqref="AN10">
    <cfRule type="dataBar" priority="33">
      <dataBar>
        <cfvo type="num" val="0"/>
        <cfvo type="num" val="0.3"/>
        <color rgb="FF63C384"/>
      </dataBar>
      <extLst>
        <ext xmlns:x14="http://schemas.microsoft.com/office/spreadsheetml/2009/9/main" uri="{B025F937-C7B1-47D3-B67F-A62EFF666E3E}">
          <x14:id>{68CE2D9A-8346-4323-B1D2-841D68313355}</x14:id>
        </ext>
      </extLst>
    </cfRule>
  </conditionalFormatting>
  <conditionalFormatting sqref="AN12">
    <cfRule type="dataBar" priority="32">
      <dataBar>
        <cfvo type="num" val="0"/>
        <cfvo type="num" val="0.3"/>
        <color rgb="FF63C384"/>
      </dataBar>
      <extLst>
        <ext xmlns:x14="http://schemas.microsoft.com/office/spreadsheetml/2009/9/main" uri="{B025F937-C7B1-47D3-B67F-A62EFF666E3E}">
          <x14:id>{0541C18E-CFBE-4B2A-9207-556F7DAA90AA}</x14:id>
        </ext>
      </extLst>
    </cfRule>
  </conditionalFormatting>
  <conditionalFormatting sqref="AN14">
    <cfRule type="dataBar" priority="31">
      <dataBar>
        <cfvo type="num" val="0"/>
        <cfvo type="num" val="0.3"/>
        <color rgb="FF63C384"/>
      </dataBar>
      <extLst>
        <ext xmlns:x14="http://schemas.microsoft.com/office/spreadsheetml/2009/9/main" uri="{B025F937-C7B1-47D3-B67F-A62EFF666E3E}">
          <x14:id>{22DF4476-C939-44B0-A3E8-39B56FB2B6CD}</x14:id>
        </ext>
      </extLst>
    </cfRule>
  </conditionalFormatting>
  <conditionalFormatting sqref="AN13">
    <cfRule type="dataBar" priority="30">
      <dataBar>
        <cfvo type="num" val="0"/>
        <cfvo type="num" val="-0.3"/>
        <color rgb="FF63C384"/>
      </dataBar>
      <extLst>
        <ext xmlns:x14="http://schemas.microsoft.com/office/spreadsheetml/2009/9/main" uri="{B025F937-C7B1-47D3-B67F-A62EFF666E3E}">
          <x14:id>{AF6A9275-05D8-42AD-ABCC-8EC7BB6A8933}</x14:id>
        </ext>
      </extLst>
    </cfRule>
  </conditionalFormatting>
  <conditionalFormatting sqref="AN15">
    <cfRule type="dataBar" priority="29">
      <dataBar>
        <cfvo type="num" val="0"/>
        <cfvo type="num" val="0.3"/>
        <color rgb="FF63C384"/>
      </dataBar>
      <extLst>
        <ext xmlns:x14="http://schemas.microsoft.com/office/spreadsheetml/2009/9/main" uri="{B025F937-C7B1-47D3-B67F-A62EFF666E3E}">
          <x14:id>{2287363C-DE2F-44E0-BD10-95930F8EFEA6}</x14:id>
        </ext>
      </extLst>
    </cfRule>
  </conditionalFormatting>
  <conditionalFormatting sqref="AO6">
    <cfRule type="dataBar" priority="28">
      <dataBar>
        <cfvo type="num" val="0"/>
        <cfvo type="num" val="0.3"/>
        <color rgb="FF63C384"/>
      </dataBar>
      <extLst>
        <ext xmlns:x14="http://schemas.microsoft.com/office/spreadsheetml/2009/9/main" uri="{B025F937-C7B1-47D3-B67F-A62EFF666E3E}">
          <x14:id>{96C6824D-5EA0-409A-9896-18E1D946C0DC}</x14:id>
        </ext>
      </extLst>
    </cfRule>
  </conditionalFormatting>
  <conditionalFormatting sqref="AO8">
    <cfRule type="dataBar" priority="27">
      <dataBar>
        <cfvo type="num" val="0"/>
        <cfvo type="num" val="0.3"/>
        <color rgb="FF63C384"/>
      </dataBar>
      <extLst>
        <ext xmlns:x14="http://schemas.microsoft.com/office/spreadsheetml/2009/9/main" uri="{B025F937-C7B1-47D3-B67F-A62EFF666E3E}">
          <x14:id>{4952532E-230A-4AE5-AB7C-C08460F64655}</x14:id>
        </ext>
      </extLst>
    </cfRule>
  </conditionalFormatting>
  <conditionalFormatting sqref="AO7">
    <cfRule type="dataBar" priority="26">
      <dataBar>
        <cfvo type="num" val="0"/>
        <cfvo type="num" val="0.3"/>
        <color rgb="FF63C384"/>
      </dataBar>
      <extLst>
        <ext xmlns:x14="http://schemas.microsoft.com/office/spreadsheetml/2009/9/main" uri="{B025F937-C7B1-47D3-B67F-A62EFF666E3E}">
          <x14:id>{92B9F996-A7E7-498A-933E-B1407DA6D070}</x14:id>
        </ext>
      </extLst>
    </cfRule>
  </conditionalFormatting>
  <conditionalFormatting sqref="AO9:AO10">
    <cfRule type="dataBar" priority="25">
      <dataBar>
        <cfvo type="num" val="0"/>
        <cfvo type="num" val="-0.3"/>
        <color rgb="FF63C384"/>
      </dataBar>
      <extLst>
        <ext xmlns:x14="http://schemas.microsoft.com/office/spreadsheetml/2009/9/main" uri="{B025F937-C7B1-47D3-B67F-A62EFF666E3E}">
          <x14:id>{B8D7955C-1F53-4D4B-91AB-4A661CE0A8EE}</x14:id>
        </ext>
      </extLst>
    </cfRule>
  </conditionalFormatting>
  <conditionalFormatting sqref="AO11">
    <cfRule type="dataBar" priority="24">
      <dataBar>
        <cfvo type="num" val="0"/>
        <cfvo type="num" val="0.3"/>
        <color rgb="FF63C384"/>
      </dataBar>
      <extLst>
        <ext xmlns:x14="http://schemas.microsoft.com/office/spreadsheetml/2009/9/main" uri="{B025F937-C7B1-47D3-B67F-A62EFF666E3E}">
          <x14:id>{AF0A3ED6-3AA1-43FD-AADC-DD95A330F9DD}</x14:id>
        </ext>
      </extLst>
    </cfRule>
  </conditionalFormatting>
  <conditionalFormatting sqref="AO12">
    <cfRule type="dataBar" priority="23">
      <dataBar>
        <cfvo type="num" val="0"/>
        <cfvo type="num" val="0.3"/>
        <color rgb="FF63C384"/>
      </dataBar>
      <extLst>
        <ext xmlns:x14="http://schemas.microsoft.com/office/spreadsheetml/2009/9/main" uri="{B025F937-C7B1-47D3-B67F-A62EFF666E3E}">
          <x14:id>{1A4EDF8D-40B7-4804-BCAF-F35EBA9EAA22}</x14:id>
        </ext>
      </extLst>
    </cfRule>
  </conditionalFormatting>
  <conditionalFormatting sqref="AO14">
    <cfRule type="dataBar" priority="22">
      <dataBar>
        <cfvo type="num" val="0"/>
        <cfvo type="num" val="0.3"/>
        <color rgb="FF63C384"/>
      </dataBar>
      <extLst>
        <ext xmlns:x14="http://schemas.microsoft.com/office/spreadsheetml/2009/9/main" uri="{B025F937-C7B1-47D3-B67F-A62EFF666E3E}">
          <x14:id>{110E1A3E-4305-4127-98FF-E99989230E2B}</x14:id>
        </ext>
      </extLst>
    </cfRule>
  </conditionalFormatting>
  <conditionalFormatting sqref="AO13">
    <cfRule type="dataBar" priority="21">
      <dataBar>
        <cfvo type="num" val="0"/>
        <cfvo type="num" val="0.3"/>
        <color rgb="FF63C384"/>
      </dataBar>
      <extLst>
        <ext xmlns:x14="http://schemas.microsoft.com/office/spreadsheetml/2009/9/main" uri="{B025F937-C7B1-47D3-B67F-A62EFF666E3E}">
          <x14:id>{1A494566-A11D-4FB3-A3DF-B0F10FD26DAE}</x14:id>
        </ext>
      </extLst>
    </cfRule>
  </conditionalFormatting>
  <conditionalFormatting sqref="AO15">
    <cfRule type="dataBar" priority="20">
      <dataBar>
        <cfvo type="num" val="0"/>
        <cfvo type="num" val="0.3"/>
        <color rgb="FF63C384"/>
      </dataBar>
      <extLst>
        <ext xmlns:x14="http://schemas.microsoft.com/office/spreadsheetml/2009/9/main" uri="{B025F937-C7B1-47D3-B67F-A62EFF666E3E}">
          <x14:id>{36DFAB6A-1875-476E-8B01-C8B3387D03C6}</x14:id>
        </ext>
      </extLst>
    </cfRule>
  </conditionalFormatting>
  <conditionalFormatting sqref="AP6">
    <cfRule type="dataBar" priority="19">
      <dataBar>
        <cfvo type="num" val="0"/>
        <cfvo type="num" val="0.3"/>
        <color rgb="FF63C384"/>
      </dataBar>
      <extLst>
        <ext xmlns:x14="http://schemas.microsoft.com/office/spreadsheetml/2009/9/main" uri="{B025F937-C7B1-47D3-B67F-A62EFF666E3E}">
          <x14:id>{02B62A9A-CE28-43E3-A2E8-D56E33282954}</x14:id>
        </ext>
      </extLst>
    </cfRule>
  </conditionalFormatting>
  <conditionalFormatting sqref="AP8">
    <cfRule type="dataBar" priority="18">
      <dataBar>
        <cfvo type="num" val="0"/>
        <cfvo type="num" val="-0.3"/>
        <color rgb="FF63C384"/>
      </dataBar>
      <extLst>
        <ext xmlns:x14="http://schemas.microsoft.com/office/spreadsheetml/2009/9/main" uri="{B025F937-C7B1-47D3-B67F-A62EFF666E3E}">
          <x14:id>{5C895E78-2464-45D0-B54D-D060B2F89DC3}</x14:id>
        </ext>
      </extLst>
    </cfRule>
  </conditionalFormatting>
  <conditionalFormatting sqref="AP7">
    <cfRule type="dataBar" priority="17">
      <dataBar>
        <cfvo type="num" val="0"/>
        <cfvo type="num" val="-0.3"/>
        <color rgb="FF63C384"/>
      </dataBar>
      <extLst>
        <ext xmlns:x14="http://schemas.microsoft.com/office/spreadsheetml/2009/9/main" uri="{B025F937-C7B1-47D3-B67F-A62EFF666E3E}">
          <x14:id>{ACC5D836-7F2E-4E1B-A9D0-700D409C2F4A}</x14:id>
        </ext>
      </extLst>
    </cfRule>
  </conditionalFormatting>
  <conditionalFormatting sqref="AP9">
    <cfRule type="dataBar" priority="16">
      <dataBar>
        <cfvo type="num" val="0"/>
        <cfvo type="num" val="0.3"/>
        <color rgb="FF63C384"/>
      </dataBar>
      <extLst>
        <ext xmlns:x14="http://schemas.microsoft.com/office/spreadsheetml/2009/9/main" uri="{B025F937-C7B1-47D3-B67F-A62EFF666E3E}">
          <x14:id>{A3259EC1-1DFA-4993-85FE-568FB0D805B8}</x14:id>
        </ext>
      </extLst>
    </cfRule>
  </conditionalFormatting>
  <conditionalFormatting sqref="AP11">
    <cfRule type="dataBar" priority="15">
      <dataBar>
        <cfvo type="num" val="0"/>
        <cfvo type="num" val="0.3"/>
        <color rgb="FF63C384"/>
      </dataBar>
      <extLst>
        <ext xmlns:x14="http://schemas.microsoft.com/office/spreadsheetml/2009/9/main" uri="{B025F937-C7B1-47D3-B67F-A62EFF666E3E}">
          <x14:id>{52E66352-B84A-42DA-B873-1D90157099BD}</x14:id>
        </ext>
      </extLst>
    </cfRule>
  </conditionalFormatting>
  <conditionalFormatting sqref="AP10">
    <cfRule type="dataBar" priority="14">
      <dataBar>
        <cfvo type="num" val="0"/>
        <cfvo type="num" val="0.3"/>
        <color rgb="FF63C384"/>
      </dataBar>
      <extLst>
        <ext xmlns:x14="http://schemas.microsoft.com/office/spreadsheetml/2009/9/main" uri="{B025F937-C7B1-47D3-B67F-A62EFF666E3E}">
          <x14:id>{62C70125-AC71-4C99-87F9-B08E665A159A}</x14:id>
        </ext>
      </extLst>
    </cfRule>
  </conditionalFormatting>
  <conditionalFormatting sqref="AP12">
    <cfRule type="dataBar" priority="13">
      <dataBar>
        <cfvo type="num" val="0"/>
        <cfvo type="num" val="0.3"/>
        <color rgb="FF63C384"/>
      </dataBar>
      <extLst>
        <ext xmlns:x14="http://schemas.microsoft.com/office/spreadsheetml/2009/9/main" uri="{B025F937-C7B1-47D3-B67F-A62EFF666E3E}">
          <x14:id>{CC6E96DF-D50C-4889-9AEB-7F9DA9C297A4}</x14:id>
        </ext>
      </extLst>
    </cfRule>
  </conditionalFormatting>
  <conditionalFormatting sqref="AP14">
    <cfRule type="dataBar" priority="12">
      <dataBar>
        <cfvo type="num" val="0"/>
        <cfvo type="num" val="0.3"/>
        <color rgb="FF63C384"/>
      </dataBar>
      <extLst>
        <ext xmlns:x14="http://schemas.microsoft.com/office/spreadsheetml/2009/9/main" uri="{B025F937-C7B1-47D3-B67F-A62EFF666E3E}">
          <x14:id>{6537CEE4-0D3F-4FF4-A70B-1F4E78A29F62}</x14:id>
        </ext>
      </extLst>
    </cfRule>
  </conditionalFormatting>
  <conditionalFormatting sqref="AP13">
    <cfRule type="dataBar" priority="11">
      <dataBar>
        <cfvo type="num" val="0"/>
        <cfvo type="num" val="-0.3"/>
        <color rgb="FF63C384"/>
      </dataBar>
      <extLst>
        <ext xmlns:x14="http://schemas.microsoft.com/office/spreadsheetml/2009/9/main" uri="{B025F937-C7B1-47D3-B67F-A62EFF666E3E}">
          <x14:id>{AD21BE1A-13D6-4189-94CE-E830482C9CD3}</x14:id>
        </ext>
      </extLst>
    </cfRule>
  </conditionalFormatting>
  <conditionalFormatting sqref="AP15">
    <cfRule type="dataBar" priority="10">
      <dataBar>
        <cfvo type="num" val="0"/>
        <cfvo type="num" val="0.3"/>
        <color rgb="FF63C384"/>
      </dataBar>
      <extLst>
        <ext xmlns:x14="http://schemas.microsoft.com/office/spreadsheetml/2009/9/main" uri="{B025F937-C7B1-47D3-B67F-A62EFF666E3E}">
          <x14:id>{9F0294B4-CB3C-4A99-8E48-DC645C86135B}</x14:id>
        </ext>
      </extLst>
    </cfRule>
  </conditionalFormatting>
  <conditionalFormatting sqref="AQ6">
    <cfRule type="dataBar" priority="9">
      <dataBar>
        <cfvo type="num" val="0"/>
        <cfvo type="num" val="-0.3"/>
        <color rgb="FF63C384"/>
      </dataBar>
      <extLst>
        <ext xmlns:x14="http://schemas.microsoft.com/office/spreadsheetml/2009/9/main" uri="{B025F937-C7B1-47D3-B67F-A62EFF666E3E}">
          <x14:id>{F13F041A-6F87-4719-8297-D8612F44409C}</x14:id>
        </ext>
      </extLst>
    </cfRule>
  </conditionalFormatting>
  <conditionalFormatting sqref="AQ8">
    <cfRule type="dataBar" priority="8">
      <dataBar>
        <cfvo type="num" val="0"/>
        <cfvo type="num" val="0.3"/>
        <color rgb="FF63C384"/>
      </dataBar>
      <extLst>
        <ext xmlns:x14="http://schemas.microsoft.com/office/spreadsheetml/2009/9/main" uri="{B025F937-C7B1-47D3-B67F-A62EFF666E3E}">
          <x14:id>{B08A0DFD-A796-487B-9B83-E77164B01EDA}</x14:id>
        </ext>
      </extLst>
    </cfRule>
  </conditionalFormatting>
  <conditionalFormatting sqref="AQ7">
    <cfRule type="dataBar" priority="7">
      <dataBar>
        <cfvo type="num" val="0"/>
        <cfvo type="num" val="0.3"/>
        <color rgb="FF63C384"/>
      </dataBar>
      <extLst>
        <ext xmlns:x14="http://schemas.microsoft.com/office/spreadsheetml/2009/9/main" uri="{B025F937-C7B1-47D3-B67F-A62EFF666E3E}">
          <x14:id>{1CF4DE6B-F2AB-4E8D-833E-036ED90B827C}</x14:id>
        </ext>
      </extLst>
    </cfRule>
  </conditionalFormatting>
  <conditionalFormatting sqref="AQ9:AQ10">
    <cfRule type="dataBar" priority="6">
      <dataBar>
        <cfvo type="num" val="0"/>
        <cfvo type="num" val="-0.3"/>
        <color rgb="FF63C384"/>
      </dataBar>
      <extLst>
        <ext xmlns:x14="http://schemas.microsoft.com/office/spreadsheetml/2009/9/main" uri="{B025F937-C7B1-47D3-B67F-A62EFF666E3E}">
          <x14:id>{0096FCFD-14C2-4FF7-9331-0B6593ADC622}</x14:id>
        </ext>
      </extLst>
    </cfRule>
  </conditionalFormatting>
  <conditionalFormatting sqref="AQ11">
    <cfRule type="dataBar" priority="5">
      <dataBar>
        <cfvo type="num" val="0"/>
        <cfvo type="num" val="-0.3"/>
        <color rgb="FF63C384"/>
      </dataBar>
      <extLst>
        <ext xmlns:x14="http://schemas.microsoft.com/office/spreadsheetml/2009/9/main" uri="{B025F937-C7B1-47D3-B67F-A62EFF666E3E}">
          <x14:id>{1CC59AAA-B712-4809-BE7C-AE4223C614F8}</x14:id>
        </ext>
      </extLst>
    </cfRule>
  </conditionalFormatting>
  <conditionalFormatting sqref="AQ12">
    <cfRule type="dataBar" priority="4">
      <dataBar>
        <cfvo type="num" val="0"/>
        <cfvo type="num" val="0.3"/>
        <color rgb="FF63C384"/>
      </dataBar>
      <extLst>
        <ext xmlns:x14="http://schemas.microsoft.com/office/spreadsheetml/2009/9/main" uri="{B025F937-C7B1-47D3-B67F-A62EFF666E3E}">
          <x14:id>{045BFA6A-42F5-4406-B00B-A87CEC2327FE}</x14:id>
        </ext>
      </extLst>
    </cfRule>
  </conditionalFormatting>
  <conditionalFormatting sqref="AQ14">
    <cfRule type="dataBar" priority="3">
      <dataBar>
        <cfvo type="num" val="0"/>
        <cfvo type="num" val="0.3"/>
        <color rgb="FF63C384"/>
      </dataBar>
      <extLst>
        <ext xmlns:x14="http://schemas.microsoft.com/office/spreadsheetml/2009/9/main" uri="{B025F937-C7B1-47D3-B67F-A62EFF666E3E}">
          <x14:id>{19B09A95-B727-4D16-B256-68EEA482E185}</x14:id>
        </ext>
      </extLst>
    </cfRule>
  </conditionalFormatting>
  <conditionalFormatting sqref="AQ13">
    <cfRule type="dataBar" priority="2">
      <dataBar>
        <cfvo type="num" val="0"/>
        <cfvo type="num" val="0.3"/>
        <color rgb="FF63C384"/>
      </dataBar>
      <extLst>
        <ext xmlns:x14="http://schemas.microsoft.com/office/spreadsheetml/2009/9/main" uri="{B025F937-C7B1-47D3-B67F-A62EFF666E3E}">
          <x14:id>{07FC3C75-26D7-4C9A-B76E-C25A7763C17D}</x14:id>
        </ext>
      </extLst>
    </cfRule>
  </conditionalFormatting>
  <pageMargins left="0.7" right="0.7" top="0.75" bottom="0.75" header="0.3" footer="0.3"/>
  <ignoredErrors>
    <ignoredError sqref="S6" formula="1"/>
  </ignoredErrors>
  <extLst>
    <ext xmlns:x14="http://schemas.microsoft.com/office/spreadsheetml/2009/9/main" uri="{78C0D931-6437-407d-A8EE-F0AAD7539E65}">
      <x14:conditionalFormattings>
        <x14:conditionalFormatting xmlns:xm="http://schemas.microsoft.com/office/excel/2006/main">
          <x14:cfRule type="dataBar" id="{3BE22C79-4988-4F65-A639-1F87C09017A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N6</xm:sqref>
        </x14:conditionalFormatting>
        <x14:conditionalFormatting xmlns:xm="http://schemas.microsoft.com/office/excel/2006/main">
          <x14:cfRule type="dataBar" id="{C57DB0B9-D48A-4C71-B02D-90118DB95E6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N8</xm:sqref>
        </x14:conditionalFormatting>
        <x14:conditionalFormatting xmlns:xm="http://schemas.microsoft.com/office/excel/2006/main">
          <x14:cfRule type="dataBar" id="{C2598E8F-F9CC-498B-ADE3-E890BE9B25A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N7</xm:sqref>
        </x14:conditionalFormatting>
        <x14:conditionalFormatting xmlns:xm="http://schemas.microsoft.com/office/excel/2006/main">
          <x14:cfRule type="dataBar" id="{41083714-EEE2-4D4F-83CD-5C71A97DD6B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N9</xm:sqref>
        </x14:conditionalFormatting>
        <x14:conditionalFormatting xmlns:xm="http://schemas.microsoft.com/office/excel/2006/main">
          <x14:cfRule type="dataBar" id="{AD763D2C-8E07-489D-BBF3-DBC4973BC6D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N11</xm:sqref>
        </x14:conditionalFormatting>
        <x14:conditionalFormatting xmlns:xm="http://schemas.microsoft.com/office/excel/2006/main">
          <x14:cfRule type="dataBar" id="{9F5658EB-6AE7-43B6-BDCC-D498D257C6C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N10</xm:sqref>
        </x14:conditionalFormatting>
        <x14:conditionalFormatting xmlns:xm="http://schemas.microsoft.com/office/excel/2006/main">
          <x14:cfRule type="dataBar" id="{2AD739E7-E219-43E8-9B05-6F1005B3A92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N12</xm:sqref>
        </x14:conditionalFormatting>
        <x14:conditionalFormatting xmlns:xm="http://schemas.microsoft.com/office/excel/2006/main">
          <x14:cfRule type="dataBar" id="{D0F2B899-075F-469E-9902-57321B9E7B5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N14</xm:sqref>
        </x14:conditionalFormatting>
        <x14:conditionalFormatting xmlns:xm="http://schemas.microsoft.com/office/excel/2006/main">
          <x14:cfRule type="dataBar" id="{0109E89A-61C2-4C9D-858D-0CF6B083D42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N13</xm:sqref>
        </x14:conditionalFormatting>
        <x14:conditionalFormatting xmlns:xm="http://schemas.microsoft.com/office/excel/2006/main">
          <x14:cfRule type="dataBar" id="{A3B90CFA-08A9-4FBA-8FA5-2DBF64E68A9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N15</xm:sqref>
        </x14:conditionalFormatting>
        <x14:conditionalFormatting xmlns:xm="http://schemas.microsoft.com/office/excel/2006/main">
          <x14:cfRule type="dataBar" id="{C441A293-2DD7-4BD5-9D84-F30BCA5D9E8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O6</xm:sqref>
        </x14:conditionalFormatting>
        <x14:conditionalFormatting xmlns:xm="http://schemas.microsoft.com/office/excel/2006/main">
          <x14:cfRule type="dataBar" id="{3DB833AE-2EAB-44F2-99F2-B76659A8637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O8</xm:sqref>
        </x14:conditionalFormatting>
        <x14:conditionalFormatting xmlns:xm="http://schemas.microsoft.com/office/excel/2006/main">
          <x14:cfRule type="dataBar" id="{1203F3A7-FBC8-4763-94AC-BAA8C58A19D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O7</xm:sqref>
        </x14:conditionalFormatting>
        <x14:conditionalFormatting xmlns:xm="http://schemas.microsoft.com/office/excel/2006/main">
          <x14:cfRule type="dataBar" id="{0BA58919-E278-4FA0-ABEE-6D6B40385BF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O9:O10</xm:sqref>
        </x14:conditionalFormatting>
        <x14:conditionalFormatting xmlns:xm="http://schemas.microsoft.com/office/excel/2006/main">
          <x14:cfRule type="dataBar" id="{D73752EB-6B64-43BA-AFED-14F128DD10E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O11</xm:sqref>
        </x14:conditionalFormatting>
        <x14:conditionalFormatting xmlns:xm="http://schemas.microsoft.com/office/excel/2006/main">
          <x14:cfRule type="dataBar" id="{417A4726-891A-4BCC-983D-26C4A5A31F2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O12</xm:sqref>
        </x14:conditionalFormatting>
        <x14:conditionalFormatting xmlns:xm="http://schemas.microsoft.com/office/excel/2006/main">
          <x14:cfRule type="dataBar" id="{575E891B-989D-400E-9A18-4DB11623DD6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O14</xm:sqref>
        </x14:conditionalFormatting>
        <x14:conditionalFormatting xmlns:xm="http://schemas.microsoft.com/office/excel/2006/main">
          <x14:cfRule type="dataBar" id="{FB28FF20-CA59-4806-B9A3-3F2ED50641D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O13</xm:sqref>
        </x14:conditionalFormatting>
        <x14:conditionalFormatting xmlns:xm="http://schemas.microsoft.com/office/excel/2006/main">
          <x14:cfRule type="dataBar" id="{BF7CB1E6-ED74-4525-8A0A-20F304DF34C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O15</xm:sqref>
        </x14:conditionalFormatting>
        <x14:conditionalFormatting xmlns:xm="http://schemas.microsoft.com/office/excel/2006/main">
          <x14:cfRule type="dataBar" id="{6BB4D7A3-6951-4BCA-94E3-3D83692B352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AD6</xm:sqref>
        </x14:conditionalFormatting>
        <x14:conditionalFormatting xmlns:xm="http://schemas.microsoft.com/office/excel/2006/main">
          <x14:cfRule type="dataBar" id="{FAF4238F-B830-49B7-902C-705E31ABFFA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AD8</xm:sqref>
        </x14:conditionalFormatting>
        <x14:conditionalFormatting xmlns:xm="http://schemas.microsoft.com/office/excel/2006/main">
          <x14:cfRule type="dataBar" id="{92D004C2-0875-408D-883C-04F1E76285B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AD7</xm:sqref>
        </x14:conditionalFormatting>
        <x14:conditionalFormatting xmlns:xm="http://schemas.microsoft.com/office/excel/2006/main">
          <x14:cfRule type="dataBar" id="{DDDF4D96-D1B1-4456-9F65-823DD0CF93F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AB9</xm:sqref>
        </x14:conditionalFormatting>
        <x14:conditionalFormatting xmlns:xm="http://schemas.microsoft.com/office/excel/2006/main">
          <x14:cfRule type="dataBar" id="{B91C3B7A-A16C-44CA-B6DD-56A845DD4B5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AB10</xm:sqref>
        </x14:conditionalFormatting>
        <x14:conditionalFormatting xmlns:xm="http://schemas.microsoft.com/office/excel/2006/main">
          <x14:cfRule type="dataBar" id="{6DB6573B-677B-4C1F-B192-CEA9DBB6A4D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AB14</xm:sqref>
        </x14:conditionalFormatting>
        <x14:conditionalFormatting xmlns:xm="http://schemas.microsoft.com/office/excel/2006/main">
          <x14:cfRule type="dataBar" id="{41998F01-DCB2-4066-8255-7F379FE521D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AB13</xm:sqref>
        </x14:conditionalFormatting>
        <x14:conditionalFormatting xmlns:xm="http://schemas.microsoft.com/office/excel/2006/main">
          <x14:cfRule type="dataBar" id="{62F387B6-D15D-45F9-964A-B8842488E11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AB6</xm:sqref>
        </x14:conditionalFormatting>
        <x14:conditionalFormatting xmlns:xm="http://schemas.microsoft.com/office/excel/2006/main">
          <x14:cfRule type="dataBar" id="{8AB9AE19-B977-4212-9A92-9FCE6CECDC3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Z12</xm:sqref>
        </x14:conditionalFormatting>
        <x14:conditionalFormatting xmlns:xm="http://schemas.microsoft.com/office/excel/2006/main">
          <x14:cfRule type="dataBar" id="{F87F3A36-445A-41F4-A2C6-38A8DCF8B18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Z7</xm:sqref>
        </x14:conditionalFormatting>
        <x14:conditionalFormatting xmlns:xm="http://schemas.microsoft.com/office/excel/2006/main">
          <x14:cfRule type="dataBar" id="{CF09B98D-4D58-4A68-A9A0-6D8F2FD90CA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Z9</xm:sqref>
        </x14:conditionalFormatting>
        <x14:conditionalFormatting xmlns:xm="http://schemas.microsoft.com/office/excel/2006/main">
          <x14:cfRule type="dataBar" id="{B4DE7358-D792-4F72-8204-1A13E352CE7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X14</xm:sqref>
        </x14:conditionalFormatting>
        <x14:conditionalFormatting xmlns:xm="http://schemas.microsoft.com/office/excel/2006/main">
          <x14:cfRule type="dataBar" id="{4C135297-439C-4550-8AA2-4E040E1188F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X13</xm:sqref>
        </x14:conditionalFormatting>
        <x14:conditionalFormatting xmlns:xm="http://schemas.microsoft.com/office/excel/2006/main">
          <x14:cfRule type="dataBar" id="{8ECEEA10-81C6-446F-B6B9-755DBD6C816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X7</xm:sqref>
        </x14:conditionalFormatting>
        <x14:conditionalFormatting xmlns:xm="http://schemas.microsoft.com/office/excel/2006/main">
          <x14:cfRule type="dataBar" id="{DADB062A-C5BD-4D81-B7A7-07159950B00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V13</xm:sqref>
        </x14:conditionalFormatting>
        <x14:conditionalFormatting xmlns:xm="http://schemas.microsoft.com/office/excel/2006/main">
          <x14:cfRule type="dataBar" id="{126B1F1F-74F1-4054-85F4-A07E6F75739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V15</xm:sqref>
        </x14:conditionalFormatting>
        <x14:conditionalFormatting xmlns:xm="http://schemas.microsoft.com/office/excel/2006/main">
          <x14:cfRule type="dataBar" id="{40657FDD-078B-4B34-81D4-C099E5F8900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V8</xm:sqref>
        </x14:conditionalFormatting>
        <x14:conditionalFormatting xmlns:xm="http://schemas.microsoft.com/office/excel/2006/main">
          <x14:cfRule type="dataBar" id="{DE389469-B118-4343-8DEE-40E68790F60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V9</xm:sqref>
        </x14:conditionalFormatting>
        <x14:conditionalFormatting xmlns:xm="http://schemas.microsoft.com/office/excel/2006/main">
          <x14:cfRule type="dataBar" id="{43040E67-F3BB-4A35-AE6E-5BCAF2FF556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T6</xm:sqref>
        </x14:conditionalFormatting>
        <x14:conditionalFormatting xmlns:xm="http://schemas.microsoft.com/office/excel/2006/main">
          <x14:cfRule type="dataBar" id="{9DD4C7E8-47A4-4904-B525-E5E4A92647C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T8</xm:sqref>
        </x14:conditionalFormatting>
        <x14:conditionalFormatting xmlns:xm="http://schemas.microsoft.com/office/excel/2006/main">
          <x14:cfRule type="dataBar" id="{1C1B3F6A-0336-4D8F-8800-58E15A6E4B1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T7</xm:sqref>
        </x14:conditionalFormatting>
        <x14:conditionalFormatting xmlns:xm="http://schemas.microsoft.com/office/excel/2006/main">
          <x14:cfRule type="dataBar" id="{94282885-DF7A-4D51-9942-45BB998030C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T9</xm:sqref>
        </x14:conditionalFormatting>
        <x14:conditionalFormatting xmlns:xm="http://schemas.microsoft.com/office/excel/2006/main">
          <x14:cfRule type="dataBar" id="{F3B3A736-55E8-47C6-AEF3-DA93E49D903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T14</xm:sqref>
        </x14:conditionalFormatting>
        <x14:conditionalFormatting xmlns:xm="http://schemas.microsoft.com/office/excel/2006/main">
          <x14:cfRule type="dataBar" id="{E1FEC424-0181-40F6-9ED7-079B62F8476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R6</xm:sqref>
        </x14:conditionalFormatting>
        <x14:conditionalFormatting xmlns:xm="http://schemas.microsoft.com/office/excel/2006/main">
          <x14:cfRule type="dataBar" id="{427E8FF7-00D2-4A5B-A189-E21506902C9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R7</xm:sqref>
        </x14:conditionalFormatting>
        <x14:conditionalFormatting xmlns:xm="http://schemas.microsoft.com/office/excel/2006/main">
          <x14:cfRule type="dataBar" id="{7787EB45-F9CB-4EA6-9E57-699476581FF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R9</xm:sqref>
        </x14:conditionalFormatting>
        <x14:conditionalFormatting xmlns:xm="http://schemas.microsoft.com/office/excel/2006/main">
          <x14:cfRule type="dataBar" id="{7B069D2E-5EF5-4FCB-8876-FDC314F8CCC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R14</xm:sqref>
        </x14:conditionalFormatting>
        <x14:conditionalFormatting xmlns:xm="http://schemas.microsoft.com/office/excel/2006/main">
          <x14:cfRule type="dataBar" id="{8383926C-AEC4-48CE-9566-5F3A8B7F59A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P15</xm:sqref>
        </x14:conditionalFormatting>
        <x14:conditionalFormatting xmlns:xm="http://schemas.microsoft.com/office/excel/2006/main">
          <x14:cfRule type="dataBar" id="{766F1390-9295-4167-9719-D944EA2F679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P6</xm:sqref>
        </x14:conditionalFormatting>
        <x14:conditionalFormatting xmlns:xm="http://schemas.microsoft.com/office/excel/2006/main">
          <x14:cfRule type="dataBar" id="{D2882AF2-C426-4B49-B9D8-AC8E142CFD5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P8</xm:sqref>
        </x14:conditionalFormatting>
        <x14:conditionalFormatting xmlns:xm="http://schemas.microsoft.com/office/excel/2006/main">
          <x14:cfRule type="dataBar" id="{BF4D1E92-1279-46CF-84AC-FBD2A16D80D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P7</xm:sqref>
        </x14:conditionalFormatting>
        <x14:conditionalFormatting xmlns:xm="http://schemas.microsoft.com/office/excel/2006/main">
          <x14:cfRule type="dataBar" id="{3E73FCBE-D680-4D66-B870-0C2673476EE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P9</xm:sqref>
        </x14:conditionalFormatting>
        <x14:conditionalFormatting xmlns:xm="http://schemas.microsoft.com/office/excel/2006/main">
          <x14:cfRule type="dataBar" id="{66E4F48E-24B2-4F7C-8AF0-DA5717E11D0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P11</xm:sqref>
        </x14:conditionalFormatting>
        <x14:conditionalFormatting xmlns:xm="http://schemas.microsoft.com/office/excel/2006/main">
          <x14:cfRule type="dataBar" id="{BE3FAF80-42B6-4D8B-AC8B-48922B6DA38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P10</xm:sqref>
        </x14:conditionalFormatting>
        <x14:conditionalFormatting xmlns:xm="http://schemas.microsoft.com/office/excel/2006/main">
          <x14:cfRule type="dataBar" id="{7967807A-825F-4438-AD95-C515E934F9E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P12</xm:sqref>
        </x14:conditionalFormatting>
        <x14:conditionalFormatting xmlns:xm="http://schemas.microsoft.com/office/excel/2006/main">
          <x14:cfRule type="dataBar" id="{4E878595-3382-4AD1-B169-70BBFF0A530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P14</xm:sqref>
        </x14:conditionalFormatting>
        <x14:conditionalFormatting xmlns:xm="http://schemas.microsoft.com/office/excel/2006/main">
          <x14:cfRule type="dataBar" id="{D45CC13C-D407-4612-84BE-09732B423D6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P13</xm:sqref>
        </x14:conditionalFormatting>
        <x14:conditionalFormatting xmlns:xm="http://schemas.microsoft.com/office/excel/2006/main">
          <x14:cfRule type="dataBar" id="{5BD4BF27-BAE9-4309-AFD8-D32F98DB9EB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Q6</xm:sqref>
        </x14:conditionalFormatting>
        <x14:conditionalFormatting xmlns:xm="http://schemas.microsoft.com/office/excel/2006/main">
          <x14:cfRule type="dataBar" id="{AD81B405-DF4C-4CFC-8788-D5266D576CC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Q8</xm:sqref>
        </x14:conditionalFormatting>
        <x14:conditionalFormatting xmlns:xm="http://schemas.microsoft.com/office/excel/2006/main">
          <x14:cfRule type="dataBar" id="{30354E3D-28BC-4A2B-B946-15744ECD82B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Q7</xm:sqref>
        </x14:conditionalFormatting>
        <x14:conditionalFormatting xmlns:xm="http://schemas.microsoft.com/office/excel/2006/main">
          <x14:cfRule type="dataBar" id="{B4F065D1-C195-4823-97B6-715708FE229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Q9:Q10</xm:sqref>
        </x14:conditionalFormatting>
        <x14:conditionalFormatting xmlns:xm="http://schemas.microsoft.com/office/excel/2006/main">
          <x14:cfRule type="dataBar" id="{05A03EE1-2794-4989-B135-43339C1EFDC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Q11</xm:sqref>
        </x14:conditionalFormatting>
        <x14:conditionalFormatting xmlns:xm="http://schemas.microsoft.com/office/excel/2006/main">
          <x14:cfRule type="dataBar" id="{FBE7007C-DC3D-4ABC-818F-69B7A2E2722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Q12</xm:sqref>
        </x14:conditionalFormatting>
        <x14:conditionalFormatting xmlns:xm="http://schemas.microsoft.com/office/excel/2006/main">
          <x14:cfRule type="dataBar" id="{53E928B9-B816-4A0B-8570-FF1F974D02D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Q14</xm:sqref>
        </x14:conditionalFormatting>
        <x14:conditionalFormatting xmlns:xm="http://schemas.microsoft.com/office/excel/2006/main">
          <x14:cfRule type="dataBar" id="{E8FB485E-05B0-4F45-A03E-62E3063BEFE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Q13</xm:sqref>
        </x14:conditionalFormatting>
        <x14:conditionalFormatting xmlns:xm="http://schemas.microsoft.com/office/excel/2006/main">
          <x14:cfRule type="dataBar" id="{9E5341EC-5F28-4A45-9EE1-69F88E1E514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Q15</xm:sqref>
        </x14:conditionalFormatting>
        <x14:conditionalFormatting xmlns:xm="http://schemas.microsoft.com/office/excel/2006/main">
          <x14:cfRule type="dataBar" id="{F2D77C4D-6CF9-4189-99ED-D5D7FC624CF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R8</xm:sqref>
        </x14:conditionalFormatting>
        <x14:conditionalFormatting xmlns:xm="http://schemas.microsoft.com/office/excel/2006/main">
          <x14:cfRule type="dataBar" id="{4316B8F6-4B0B-45EF-874D-7F7754C0622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R11</xm:sqref>
        </x14:conditionalFormatting>
        <x14:conditionalFormatting xmlns:xm="http://schemas.microsoft.com/office/excel/2006/main">
          <x14:cfRule type="dataBar" id="{EB53DF52-5BA6-4987-98B0-1F8CC897310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R10</xm:sqref>
        </x14:conditionalFormatting>
        <x14:conditionalFormatting xmlns:xm="http://schemas.microsoft.com/office/excel/2006/main">
          <x14:cfRule type="dataBar" id="{BA98709C-7089-4CF5-87B3-526E946E7A1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R12</xm:sqref>
        </x14:conditionalFormatting>
        <x14:conditionalFormatting xmlns:xm="http://schemas.microsoft.com/office/excel/2006/main">
          <x14:cfRule type="dataBar" id="{98DFE44E-05FA-4110-880A-A3AAC9D05CC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R13</xm:sqref>
        </x14:conditionalFormatting>
        <x14:conditionalFormatting xmlns:xm="http://schemas.microsoft.com/office/excel/2006/main">
          <x14:cfRule type="dataBar" id="{A362760E-E569-4ECD-A5CB-3E6E1473938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R15</xm:sqref>
        </x14:conditionalFormatting>
        <x14:conditionalFormatting xmlns:xm="http://schemas.microsoft.com/office/excel/2006/main">
          <x14:cfRule type="dataBar" id="{65E4594C-EB99-41DE-BAF9-897A41990CA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S6</xm:sqref>
        </x14:conditionalFormatting>
        <x14:conditionalFormatting xmlns:xm="http://schemas.microsoft.com/office/excel/2006/main">
          <x14:cfRule type="dataBar" id="{F530CE1A-3A32-4ECA-8F3D-718F05CA4D8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S8</xm:sqref>
        </x14:conditionalFormatting>
        <x14:conditionalFormatting xmlns:xm="http://schemas.microsoft.com/office/excel/2006/main">
          <x14:cfRule type="dataBar" id="{89298EA8-0EA6-49AF-A3FF-066E5A12E2E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S7</xm:sqref>
        </x14:conditionalFormatting>
        <x14:conditionalFormatting xmlns:xm="http://schemas.microsoft.com/office/excel/2006/main">
          <x14:cfRule type="dataBar" id="{7DB49E4F-A934-4ACF-860C-B44B91FB0E9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S9:S10</xm:sqref>
        </x14:conditionalFormatting>
        <x14:conditionalFormatting xmlns:xm="http://schemas.microsoft.com/office/excel/2006/main">
          <x14:cfRule type="dataBar" id="{A4948E81-2AF7-44F8-B356-96B8C7A58B7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S11</xm:sqref>
        </x14:conditionalFormatting>
        <x14:conditionalFormatting xmlns:xm="http://schemas.microsoft.com/office/excel/2006/main">
          <x14:cfRule type="dataBar" id="{9FE5C327-5554-4085-BE72-98E59BA7E88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S12</xm:sqref>
        </x14:conditionalFormatting>
        <x14:conditionalFormatting xmlns:xm="http://schemas.microsoft.com/office/excel/2006/main">
          <x14:cfRule type="dataBar" id="{B70B3837-F38D-468D-85DD-FB611D712FF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S14</xm:sqref>
        </x14:conditionalFormatting>
        <x14:conditionalFormatting xmlns:xm="http://schemas.microsoft.com/office/excel/2006/main">
          <x14:cfRule type="dataBar" id="{D50C5A97-48D5-4684-8DE4-CDC0D0FEC2A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S13</xm:sqref>
        </x14:conditionalFormatting>
        <x14:conditionalFormatting xmlns:xm="http://schemas.microsoft.com/office/excel/2006/main">
          <x14:cfRule type="dataBar" id="{2787EDE1-8FEF-4080-808C-A23A838A868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S15</xm:sqref>
        </x14:conditionalFormatting>
        <x14:conditionalFormatting xmlns:xm="http://schemas.microsoft.com/office/excel/2006/main">
          <x14:cfRule type="dataBar" id="{D84BFA99-CE28-4C12-B2BB-ED56A2716EF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AQ15</xm:sqref>
        </x14:conditionalFormatting>
        <x14:conditionalFormatting xmlns:xm="http://schemas.microsoft.com/office/excel/2006/main">
          <x14:cfRule type="dataBar" id="{0E1D84EF-83F7-4DDC-9F62-17D20823091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T11</xm:sqref>
        </x14:conditionalFormatting>
        <x14:conditionalFormatting xmlns:xm="http://schemas.microsoft.com/office/excel/2006/main">
          <x14:cfRule type="dataBar" id="{04A0433D-688C-4A6F-92D3-D7157893205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T10</xm:sqref>
        </x14:conditionalFormatting>
        <x14:conditionalFormatting xmlns:xm="http://schemas.microsoft.com/office/excel/2006/main">
          <x14:cfRule type="dataBar" id="{A2B17F48-11B7-4E9B-A1FA-FF584AD4F69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T12</xm:sqref>
        </x14:conditionalFormatting>
        <x14:conditionalFormatting xmlns:xm="http://schemas.microsoft.com/office/excel/2006/main">
          <x14:cfRule type="dataBar" id="{DF3CB774-278E-4ABA-8C8F-774714C99F6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T13</xm:sqref>
        </x14:conditionalFormatting>
        <x14:conditionalFormatting xmlns:xm="http://schemas.microsoft.com/office/excel/2006/main">
          <x14:cfRule type="dataBar" id="{42EA199D-39CD-437B-8A02-C019214C01D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T15</xm:sqref>
        </x14:conditionalFormatting>
        <x14:conditionalFormatting xmlns:xm="http://schemas.microsoft.com/office/excel/2006/main">
          <x14:cfRule type="dataBar" id="{387BA523-BA4B-4EDE-A5AC-DD6C4FFABD7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U6</xm:sqref>
        </x14:conditionalFormatting>
        <x14:conditionalFormatting xmlns:xm="http://schemas.microsoft.com/office/excel/2006/main">
          <x14:cfRule type="dataBar" id="{DF7042E3-9811-49BF-BEC0-C62976E6DCC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U8</xm:sqref>
        </x14:conditionalFormatting>
        <x14:conditionalFormatting xmlns:xm="http://schemas.microsoft.com/office/excel/2006/main">
          <x14:cfRule type="dataBar" id="{3AB2C778-312F-40B8-A10F-55FC6657F55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U7</xm:sqref>
        </x14:conditionalFormatting>
        <x14:conditionalFormatting xmlns:xm="http://schemas.microsoft.com/office/excel/2006/main">
          <x14:cfRule type="dataBar" id="{B90133F6-C011-405A-A485-AA39F906BEE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U9:U10</xm:sqref>
        </x14:conditionalFormatting>
        <x14:conditionalFormatting xmlns:xm="http://schemas.microsoft.com/office/excel/2006/main">
          <x14:cfRule type="dataBar" id="{E2308613-9280-4A0A-A61F-7BCCEB414D6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U11</xm:sqref>
        </x14:conditionalFormatting>
        <x14:conditionalFormatting xmlns:xm="http://schemas.microsoft.com/office/excel/2006/main">
          <x14:cfRule type="dataBar" id="{C9416BB7-6CDD-4D7D-8FD7-9AE58B49063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U12</xm:sqref>
        </x14:conditionalFormatting>
        <x14:conditionalFormatting xmlns:xm="http://schemas.microsoft.com/office/excel/2006/main">
          <x14:cfRule type="dataBar" id="{D64D0A15-C697-483F-9382-80A8171184A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U14</xm:sqref>
        </x14:conditionalFormatting>
        <x14:conditionalFormatting xmlns:xm="http://schemas.microsoft.com/office/excel/2006/main">
          <x14:cfRule type="dataBar" id="{B121A99F-152A-4FC0-8026-81308E345EB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U13</xm:sqref>
        </x14:conditionalFormatting>
        <x14:conditionalFormatting xmlns:xm="http://schemas.microsoft.com/office/excel/2006/main">
          <x14:cfRule type="dataBar" id="{97CC33F7-AAB3-4295-95E6-2315E944523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U15</xm:sqref>
        </x14:conditionalFormatting>
        <x14:conditionalFormatting xmlns:xm="http://schemas.microsoft.com/office/excel/2006/main">
          <x14:cfRule type="dataBar" id="{6FFE81E3-5370-4CC9-B7E1-6ADE938791A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V6</xm:sqref>
        </x14:conditionalFormatting>
        <x14:conditionalFormatting xmlns:xm="http://schemas.microsoft.com/office/excel/2006/main">
          <x14:cfRule type="dataBar" id="{EDA1F903-E066-4BDF-9F44-75DE9AAE9BF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V7</xm:sqref>
        </x14:conditionalFormatting>
        <x14:conditionalFormatting xmlns:xm="http://schemas.microsoft.com/office/excel/2006/main">
          <x14:cfRule type="dataBar" id="{B63BCFC7-F492-4827-BA02-CF537BD8DC6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V11</xm:sqref>
        </x14:conditionalFormatting>
        <x14:conditionalFormatting xmlns:xm="http://schemas.microsoft.com/office/excel/2006/main">
          <x14:cfRule type="dataBar" id="{ACC23F6B-06BD-4E94-A54E-990E3DFE8EA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V10</xm:sqref>
        </x14:conditionalFormatting>
        <x14:conditionalFormatting xmlns:xm="http://schemas.microsoft.com/office/excel/2006/main">
          <x14:cfRule type="dataBar" id="{CF46158B-839E-4235-BDF5-B4BBDB8BC2D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V12</xm:sqref>
        </x14:conditionalFormatting>
        <x14:conditionalFormatting xmlns:xm="http://schemas.microsoft.com/office/excel/2006/main">
          <x14:cfRule type="dataBar" id="{D256799B-7E23-4C3F-B6EE-3EFA6251390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V14</xm:sqref>
        </x14:conditionalFormatting>
        <x14:conditionalFormatting xmlns:xm="http://schemas.microsoft.com/office/excel/2006/main">
          <x14:cfRule type="dataBar" id="{C7038D47-54E3-402E-81AF-E29F2BB31B6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W6</xm:sqref>
        </x14:conditionalFormatting>
        <x14:conditionalFormatting xmlns:xm="http://schemas.microsoft.com/office/excel/2006/main">
          <x14:cfRule type="dataBar" id="{10A061BB-5397-4346-8680-DF2CAD85EC0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W8</xm:sqref>
        </x14:conditionalFormatting>
        <x14:conditionalFormatting xmlns:xm="http://schemas.microsoft.com/office/excel/2006/main">
          <x14:cfRule type="dataBar" id="{BF38F5E8-942A-4AEE-8562-5BBAD8196A2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W7</xm:sqref>
        </x14:conditionalFormatting>
        <x14:conditionalFormatting xmlns:xm="http://schemas.microsoft.com/office/excel/2006/main">
          <x14:cfRule type="dataBar" id="{6E81B37A-670D-4A3C-AD65-58283B16FDE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W9:W10</xm:sqref>
        </x14:conditionalFormatting>
        <x14:conditionalFormatting xmlns:xm="http://schemas.microsoft.com/office/excel/2006/main">
          <x14:cfRule type="dataBar" id="{84218103-99A0-4614-9F36-C4D27450DF2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W11</xm:sqref>
        </x14:conditionalFormatting>
        <x14:conditionalFormatting xmlns:xm="http://schemas.microsoft.com/office/excel/2006/main">
          <x14:cfRule type="dataBar" id="{65CD48BD-EE48-4851-B1AA-4303F86B9A6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W12</xm:sqref>
        </x14:conditionalFormatting>
        <x14:conditionalFormatting xmlns:xm="http://schemas.microsoft.com/office/excel/2006/main">
          <x14:cfRule type="dataBar" id="{D1C7674A-1A73-4E4D-9C29-58D9037B85D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W14</xm:sqref>
        </x14:conditionalFormatting>
        <x14:conditionalFormatting xmlns:xm="http://schemas.microsoft.com/office/excel/2006/main">
          <x14:cfRule type="dataBar" id="{D0B9A97F-9DED-42F8-968E-F3D58F2DD7C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W13</xm:sqref>
        </x14:conditionalFormatting>
        <x14:conditionalFormatting xmlns:xm="http://schemas.microsoft.com/office/excel/2006/main">
          <x14:cfRule type="dataBar" id="{EA37E18A-5EB6-49D9-ADD4-8C901A56C1D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W15</xm:sqref>
        </x14:conditionalFormatting>
        <x14:conditionalFormatting xmlns:xm="http://schemas.microsoft.com/office/excel/2006/main">
          <x14:cfRule type="dataBar" id="{666EA453-0D51-4199-9689-4B9616C9F3C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X6</xm:sqref>
        </x14:conditionalFormatting>
        <x14:conditionalFormatting xmlns:xm="http://schemas.microsoft.com/office/excel/2006/main">
          <x14:cfRule type="dataBar" id="{0BF9DB5A-7D0C-4EF8-A59C-82D721C5004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X8</xm:sqref>
        </x14:conditionalFormatting>
        <x14:conditionalFormatting xmlns:xm="http://schemas.microsoft.com/office/excel/2006/main">
          <x14:cfRule type="dataBar" id="{7EBA0D34-E55C-4C3A-8662-A7512EF52B6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X9</xm:sqref>
        </x14:conditionalFormatting>
        <x14:conditionalFormatting xmlns:xm="http://schemas.microsoft.com/office/excel/2006/main">
          <x14:cfRule type="dataBar" id="{59D54AD1-69FE-4379-8906-B8A32B88EFB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X11</xm:sqref>
        </x14:conditionalFormatting>
        <x14:conditionalFormatting xmlns:xm="http://schemas.microsoft.com/office/excel/2006/main">
          <x14:cfRule type="dataBar" id="{97E78D01-7B8D-413E-8628-A627FBA0591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X10</xm:sqref>
        </x14:conditionalFormatting>
        <x14:conditionalFormatting xmlns:xm="http://schemas.microsoft.com/office/excel/2006/main">
          <x14:cfRule type="dataBar" id="{3F577D69-1EA1-4D6D-AA33-B04B21B0B1E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X12</xm:sqref>
        </x14:conditionalFormatting>
        <x14:conditionalFormatting xmlns:xm="http://schemas.microsoft.com/office/excel/2006/main">
          <x14:cfRule type="dataBar" id="{5018BEE1-C716-44FA-852A-B86542DDC85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X15</xm:sqref>
        </x14:conditionalFormatting>
        <x14:conditionalFormatting xmlns:xm="http://schemas.microsoft.com/office/excel/2006/main">
          <x14:cfRule type="dataBar" id="{940189BB-4F35-4392-9C8D-885B2BA1341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Y6</xm:sqref>
        </x14:conditionalFormatting>
        <x14:conditionalFormatting xmlns:xm="http://schemas.microsoft.com/office/excel/2006/main">
          <x14:cfRule type="dataBar" id="{4A1568B8-7C3E-4044-8A31-EAF9F12111E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Y8</xm:sqref>
        </x14:conditionalFormatting>
        <x14:conditionalFormatting xmlns:xm="http://schemas.microsoft.com/office/excel/2006/main">
          <x14:cfRule type="dataBar" id="{3970776C-8488-4956-BC4E-3B09053EFF9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Y7</xm:sqref>
        </x14:conditionalFormatting>
        <x14:conditionalFormatting xmlns:xm="http://schemas.microsoft.com/office/excel/2006/main">
          <x14:cfRule type="dataBar" id="{7AF5AD96-82D7-4A40-8DB3-2C2918513B1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Y9:Y10</xm:sqref>
        </x14:conditionalFormatting>
        <x14:conditionalFormatting xmlns:xm="http://schemas.microsoft.com/office/excel/2006/main">
          <x14:cfRule type="dataBar" id="{EDA51C66-695C-45A6-91B1-5F3D2AC1491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Y11</xm:sqref>
        </x14:conditionalFormatting>
        <x14:conditionalFormatting xmlns:xm="http://schemas.microsoft.com/office/excel/2006/main">
          <x14:cfRule type="dataBar" id="{8304E97E-BB9C-4553-8ECF-AFEE4EB3185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Y12</xm:sqref>
        </x14:conditionalFormatting>
        <x14:conditionalFormatting xmlns:xm="http://schemas.microsoft.com/office/excel/2006/main">
          <x14:cfRule type="dataBar" id="{69FEF24F-8BFF-46D9-9E41-44AA15CA409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Y14</xm:sqref>
        </x14:conditionalFormatting>
        <x14:conditionalFormatting xmlns:xm="http://schemas.microsoft.com/office/excel/2006/main">
          <x14:cfRule type="dataBar" id="{26D09685-9DCD-49D1-9D57-9835C373B57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Y13</xm:sqref>
        </x14:conditionalFormatting>
        <x14:conditionalFormatting xmlns:xm="http://schemas.microsoft.com/office/excel/2006/main">
          <x14:cfRule type="dataBar" id="{E472A4FC-C9DD-458E-9BB2-9CDDF6A91E4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Y15</xm:sqref>
        </x14:conditionalFormatting>
        <x14:conditionalFormatting xmlns:xm="http://schemas.microsoft.com/office/excel/2006/main">
          <x14:cfRule type="dataBar" id="{4855F1DE-3DC7-4A03-8526-02602726F26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Z6</xm:sqref>
        </x14:conditionalFormatting>
        <x14:conditionalFormatting xmlns:xm="http://schemas.microsoft.com/office/excel/2006/main">
          <x14:cfRule type="dataBar" id="{F5E048D5-2B3B-42BB-B650-C8C9D4BB0A9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Z8</xm:sqref>
        </x14:conditionalFormatting>
        <x14:conditionalFormatting xmlns:xm="http://schemas.microsoft.com/office/excel/2006/main">
          <x14:cfRule type="dataBar" id="{F35B4C52-1E1B-4B83-A2CB-14F34A7D3F8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Z11</xm:sqref>
        </x14:conditionalFormatting>
        <x14:conditionalFormatting xmlns:xm="http://schemas.microsoft.com/office/excel/2006/main">
          <x14:cfRule type="dataBar" id="{69CF3C4F-ED17-4F42-8592-CD0058FCEEB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Z10</xm:sqref>
        </x14:conditionalFormatting>
        <x14:conditionalFormatting xmlns:xm="http://schemas.microsoft.com/office/excel/2006/main">
          <x14:cfRule type="dataBar" id="{A03A7139-5C71-4C71-BE15-A1117952210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Z14</xm:sqref>
        </x14:conditionalFormatting>
        <x14:conditionalFormatting xmlns:xm="http://schemas.microsoft.com/office/excel/2006/main">
          <x14:cfRule type="dataBar" id="{2DA7422C-72AF-4A8C-B736-7653879B917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Z13</xm:sqref>
        </x14:conditionalFormatting>
        <x14:conditionalFormatting xmlns:xm="http://schemas.microsoft.com/office/excel/2006/main">
          <x14:cfRule type="dataBar" id="{064FEEDF-C2E8-4519-B176-E876277671B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Z15</xm:sqref>
        </x14:conditionalFormatting>
        <x14:conditionalFormatting xmlns:xm="http://schemas.microsoft.com/office/excel/2006/main">
          <x14:cfRule type="dataBar" id="{F0E51FF4-5031-43B4-BE53-79758AE3AC2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AA6</xm:sqref>
        </x14:conditionalFormatting>
        <x14:conditionalFormatting xmlns:xm="http://schemas.microsoft.com/office/excel/2006/main">
          <x14:cfRule type="dataBar" id="{893B8B46-67CF-4FB4-A397-DFCBADCFD72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AA8</xm:sqref>
        </x14:conditionalFormatting>
        <x14:conditionalFormatting xmlns:xm="http://schemas.microsoft.com/office/excel/2006/main">
          <x14:cfRule type="dataBar" id="{531E242B-977C-42F8-AC32-D52E153C455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AA7</xm:sqref>
        </x14:conditionalFormatting>
        <x14:conditionalFormatting xmlns:xm="http://schemas.microsoft.com/office/excel/2006/main">
          <x14:cfRule type="dataBar" id="{829E75D2-4A3A-4369-831B-2874FFD6568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AA9:AA10</xm:sqref>
        </x14:conditionalFormatting>
        <x14:conditionalFormatting xmlns:xm="http://schemas.microsoft.com/office/excel/2006/main">
          <x14:cfRule type="dataBar" id="{017B5EEA-9CC9-42D2-8A9F-6A1544C76ED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AA11</xm:sqref>
        </x14:conditionalFormatting>
        <x14:conditionalFormatting xmlns:xm="http://schemas.microsoft.com/office/excel/2006/main">
          <x14:cfRule type="dataBar" id="{64EB92FA-4801-4525-9368-6623A8A25C6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AA12</xm:sqref>
        </x14:conditionalFormatting>
        <x14:conditionalFormatting xmlns:xm="http://schemas.microsoft.com/office/excel/2006/main">
          <x14:cfRule type="dataBar" id="{9F7A71AA-911F-4B1E-BA4E-91AAEC8CA4E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AA14</xm:sqref>
        </x14:conditionalFormatting>
        <x14:conditionalFormatting xmlns:xm="http://schemas.microsoft.com/office/excel/2006/main">
          <x14:cfRule type="dataBar" id="{C8D5EEA2-F714-4081-BCC3-D1AFD640269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AA13</xm:sqref>
        </x14:conditionalFormatting>
        <x14:conditionalFormatting xmlns:xm="http://schemas.microsoft.com/office/excel/2006/main">
          <x14:cfRule type="dataBar" id="{9FB4953F-3B7E-420E-BBA7-549AA0BF609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AA15</xm:sqref>
        </x14:conditionalFormatting>
        <x14:conditionalFormatting xmlns:xm="http://schemas.microsoft.com/office/excel/2006/main">
          <x14:cfRule type="dataBar" id="{F7B3148D-F89A-49BF-B72F-6504A92D881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AB8</xm:sqref>
        </x14:conditionalFormatting>
        <x14:conditionalFormatting xmlns:xm="http://schemas.microsoft.com/office/excel/2006/main">
          <x14:cfRule type="dataBar" id="{FD7242D3-42FD-4996-8C21-037DF053DBC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AB7</xm:sqref>
        </x14:conditionalFormatting>
        <x14:conditionalFormatting xmlns:xm="http://schemas.microsoft.com/office/excel/2006/main">
          <x14:cfRule type="dataBar" id="{31ED015D-53B4-4CAA-BB85-16E1A229864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AB11</xm:sqref>
        </x14:conditionalFormatting>
        <x14:conditionalFormatting xmlns:xm="http://schemas.microsoft.com/office/excel/2006/main">
          <x14:cfRule type="dataBar" id="{C902EF2A-F29A-490D-B32D-9F61A1BAF42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AB12</xm:sqref>
        </x14:conditionalFormatting>
        <x14:conditionalFormatting xmlns:xm="http://schemas.microsoft.com/office/excel/2006/main">
          <x14:cfRule type="dataBar" id="{0806300A-D86E-4ADE-BD43-A5700EF0D3C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AB15</xm:sqref>
        </x14:conditionalFormatting>
        <x14:conditionalFormatting xmlns:xm="http://schemas.microsoft.com/office/excel/2006/main">
          <x14:cfRule type="dataBar" id="{2D2ABE2C-CC5F-4F78-B04B-BE49A357A45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AC6</xm:sqref>
        </x14:conditionalFormatting>
        <x14:conditionalFormatting xmlns:xm="http://schemas.microsoft.com/office/excel/2006/main">
          <x14:cfRule type="dataBar" id="{F52A6A53-D833-40B4-B6C3-2727B959A7E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AC8</xm:sqref>
        </x14:conditionalFormatting>
        <x14:conditionalFormatting xmlns:xm="http://schemas.microsoft.com/office/excel/2006/main">
          <x14:cfRule type="dataBar" id="{8E54A0B7-77E0-4DCD-9603-92C4456A694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AC7</xm:sqref>
        </x14:conditionalFormatting>
        <x14:conditionalFormatting xmlns:xm="http://schemas.microsoft.com/office/excel/2006/main">
          <x14:cfRule type="dataBar" id="{158E6C80-CED1-4D0A-B4B8-BDE5E0BFF2D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AC9:AC10</xm:sqref>
        </x14:conditionalFormatting>
        <x14:conditionalFormatting xmlns:xm="http://schemas.microsoft.com/office/excel/2006/main">
          <x14:cfRule type="dataBar" id="{C1D8A364-26EF-4598-BDE5-16EE5B15CA6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AC11</xm:sqref>
        </x14:conditionalFormatting>
        <x14:conditionalFormatting xmlns:xm="http://schemas.microsoft.com/office/excel/2006/main">
          <x14:cfRule type="dataBar" id="{3AF73496-3A0F-43B0-B280-CF2F20543E6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AC12</xm:sqref>
        </x14:conditionalFormatting>
        <x14:conditionalFormatting xmlns:xm="http://schemas.microsoft.com/office/excel/2006/main">
          <x14:cfRule type="dataBar" id="{4CEC52C7-5E85-4361-B218-CB07B7ABAE3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AC14</xm:sqref>
        </x14:conditionalFormatting>
        <x14:conditionalFormatting xmlns:xm="http://schemas.microsoft.com/office/excel/2006/main">
          <x14:cfRule type="dataBar" id="{81D2BD10-C513-45C6-90AB-C5E46E963E8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AC13</xm:sqref>
        </x14:conditionalFormatting>
        <x14:conditionalFormatting xmlns:xm="http://schemas.microsoft.com/office/excel/2006/main">
          <x14:cfRule type="dataBar" id="{2C687D03-D5DC-4622-88EF-E66AB755BAD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AC15</xm:sqref>
        </x14:conditionalFormatting>
        <x14:conditionalFormatting xmlns:xm="http://schemas.microsoft.com/office/excel/2006/main">
          <x14:cfRule type="dataBar" id="{99E84222-F263-4695-A4D9-A0FDE79D3D9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AD9</xm:sqref>
        </x14:conditionalFormatting>
        <x14:conditionalFormatting xmlns:xm="http://schemas.microsoft.com/office/excel/2006/main">
          <x14:cfRule type="dataBar" id="{A43DAB00-ED05-46C0-9298-7BF893BF38A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AD11</xm:sqref>
        </x14:conditionalFormatting>
        <x14:conditionalFormatting xmlns:xm="http://schemas.microsoft.com/office/excel/2006/main">
          <x14:cfRule type="dataBar" id="{9259C0E3-39B2-4D5E-B514-89CE2DD36B2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AD10</xm:sqref>
        </x14:conditionalFormatting>
        <x14:conditionalFormatting xmlns:xm="http://schemas.microsoft.com/office/excel/2006/main">
          <x14:cfRule type="dataBar" id="{6EB8729D-A240-4F64-ACFE-F90FD47C869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AD12</xm:sqref>
        </x14:conditionalFormatting>
        <x14:conditionalFormatting xmlns:xm="http://schemas.microsoft.com/office/excel/2006/main">
          <x14:cfRule type="dataBar" id="{C5E67AFF-D335-41C4-9127-8B2B3B59717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AD14</xm:sqref>
        </x14:conditionalFormatting>
        <x14:conditionalFormatting xmlns:xm="http://schemas.microsoft.com/office/excel/2006/main">
          <x14:cfRule type="dataBar" id="{3E7CFDFA-66CD-418E-8B3B-9F737A4D37D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AD13</xm:sqref>
        </x14:conditionalFormatting>
        <x14:conditionalFormatting xmlns:xm="http://schemas.microsoft.com/office/excel/2006/main">
          <x14:cfRule type="dataBar" id="{A3812E7A-2939-4E9A-8011-7D04A04024D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AD15</xm:sqref>
        </x14:conditionalFormatting>
        <x14:conditionalFormatting xmlns:xm="http://schemas.microsoft.com/office/excel/2006/main">
          <x14:cfRule type="dataBar" id="{56DA42CD-FFD6-4BC7-B05B-BCB33F352DD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AE6</xm:sqref>
        </x14:conditionalFormatting>
        <x14:conditionalFormatting xmlns:xm="http://schemas.microsoft.com/office/excel/2006/main">
          <x14:cfRule type="dataBar" id="{61546D2E-4E72-4EDD-83A5-B2E5D778C99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AE8</xm:sqref>
        </x14:conditionalFormatting>
        <x14:conditionalFormatting xmlns:xm="http://schemas.microsoft.com/office/excel/2006/main">
          <x14:cfRule type="dataBar" id="{D7E2F04F-E579-43C5-AB88-74A2A2126EC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AE7</xm:sqref>
        </x14:conditionalFormatting>
        <x14:conditionalFormatting xmlns:xm="http://schemas.microsoft.com/office/excel/2006/main">
          <x14:cfRule type="dataBar" id="{29286259-74E2-40FC-90C8-751DDF43D05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AE9:AE10</xm:sqref>
        </x14:conditionalFormatting>
        <x14:conditionalFormatting xmlns:xm="http://schemas.microsoft.com/office/excel/2006/main">
          <x14:cfRule type="dataBar" id="{A9D0F4D9-8C16-4618-9114-7DEB731E3EF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AE11</xm:sqref>
        </x14:conditionalFormatting>
        <x14:conditionalFormatting xmlns:xm="http://schemas.microsoft.com/office/excel/2006/main">
          <x14:cfRule type="dataBar" id="{B9B7CC36-3E1E-4B69-BD6C-018096E2514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AE12</xm:sqref>
        </x14:conditionalFormatting>
        <x14:conditionalFormatting xmlns:xm="http://schemas.microsoft.com/office/excel/2006/main">
          <x14:cfRule type="dataBar" id="{DD01561A-4089-4487-94C7-6C8B79B7480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AE14</xm:sqref>
        </x14:conditionalFormatting>
        <x14:conditionalFormatting xmlns:xm="http://schemas.microsoft.com/office/excel/2006/main">
          <x14:cfRule type="dataBar" id="{B30B8CB8-98EE-4BAE-86A7-440F8775BF8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AE13</xm:sqref>
        </x14:conditionalFormatting>
        <x14:conditionalFormatting xmlns:xm="http://schemas.microsoft.com/office/excel/2006/main">
          <x14:cfRule type="dataBar" id="{7579FFA4-DFE7-4914-BDEF-E2EBC21EBA4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AE15</xm:sqref>
        </x14:conditionalFormatting>
        <x14:conditionalFormatting xmlns:xm="http://schemas.microsoft.com/office/excel/2006/main">
          <x14:cfRule type="dataBar" id="{DF9659CF-DE73-465F-88BF-DB56E402A65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AF6</xm:sqref>
        </x14:conditionalFormatting>
        <x14:conditionalFormatting xmlns:xm="http://schemas.microsoft.com/office/excel/2006/main">
          <x14:cfRule type="dataBar" id="{A9E5ECC3-36B7-4A93-8400-E5C5F176EBC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AF8</xm:sqref>
        </x14:conditionalFormatting>
        <x14:conditionalFormatting xmlns:xm="http://schemas.microsoft.com/office/excel/2006/main">
          <x14:cfRule type="dataBar" id="{A6B69226-FB05-4A95-8CE8-AA0AFAB6594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AF7</xm:sqref>
        </x14:conditionalFormatting>
        <x14:conditionalFormatting xmlns:xm="http://schemas.microsoft.com/office/excel/2006/main">
          <x14:cfRule type="dataBar" id="{9D5A3AA2-B97A-4F4D-AD19-82248B5F94D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AF9</xm:sqref>
        </x14:conditionalFormatting>
        <x14:conditionalFormatting xmlns:xm="http://schemas.microsoft.com/office/excel/2006/main">
          <x14:cfRule type="dataBar" id="{9EDBE5D3-75AD-40E3-9831-C501B8B1F8F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AF11</xm:sqref>
        </x14:conditionalFormatting>
        <x14:conditionalFormatting xmlns:xm="http://schemas.microsoft.com/office/excel/2006/main">
          <x14:cfRule type="dataBar" id="{D5DC3458-09EE-42B2-ABD3-02ACE880557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AF10</xm:sqref>
        </x14:conditionalFormatting>
        <x14:conditionalFormatting xmlns:xm="http://schemas.microsoft.com/office/excel/2006/main">
          <x14:cfRule type="dataBar" id="{AEF3D0C3-FD70-4C50-9D92-15662DE31B7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AF12</xm:sqref>
        </x14:conditionalFormatting>
        <x14:conditionalFormatting xmlns:xm="http://schemas.microsoft.com/office/excel/2006/main">
          <x14:cfRule type="dataBar" id="{32EA939A-2380-4138-B47F-A2515816058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AF14</xm:sqref>
        </x14:conditionalFormatting>
        <x14:conditionalFormatting xmlns:xm="http://schemas.microsoft.com/office/excel/2006/main">
          <x14:cfRule type="dataBar" id="{E316E450-4A26-4E87-A070-976D8471755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AF13</xm:sqref>
        </x14:conditionalFormatting>
        <x14:conditionalFormatting xmlns:xm="http://schemas.microsoft.com/office/excel/2006/main">
          <x14:cfRule type="dataBar" id="{93E9C5AD-AA3A-4796-9818-11AE6538540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AF15</xm:sqref>
        </x14:conditionalFormatting>
        <x14:conditionalFormatting xmlns:xm="http://schemas.microsoft.com/office/excel/2006/main">
          <x14:cfRule type="dataBar" id="{749334AF-A5BB-4A20-81B0-072B5AECEF5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AG6</xm:sqref>
        </x14:conditionalFormatting>
        <x14:conditionalFormatting xmlns:xm="http://schemas.microsoft.com/office/excel/2006/main">
          <x14:cfRule type="dataBar" id="{7AE05957-741D-4EF3-9D61-265789CB95F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AG8</xm:sqref>
        </x14:conditionalFormatting>
        <x14:conditionalFormatting xmlns:xm="http://schemas.microsoft.com/office/excel/2006/main">
          <x14:cfRule type="dataBar" id="{2777C9BB-CA0F-40B0-83AF-C0275F5CD13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AG7</xm:sqref>
        </x14:conditionalFormatting>
        <x14:conditionalFormatting xmlns:xm="http://schemas.microsoft.com/office/excel/2006/main">
          <x14:cfRule type="dataBar" id="{401C1E8A-1ACB-4658-A6A7-CB5CC56178F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AG9:AG10</xm:sqref>
        </x14:conditionalFormatting>
        <x14:conditionalFormatting xmlns:xm="http://schemas.microsoft.com/office/excel/2006/main">
          <x14:cfRule type="dataBar" id="{F17ED30E-52F8-4780-9E0F-205449601FE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AG11</xm:sqref>
        </x14:conditionalFormatting>
        <x14:conditionalFormatting xmlns:xm="http://schemas.microsoft.com/office/excel/2006/main">
          <x14:cfRule type="dataBar" id="{C729F8A5-26F1-42ED-870C-BB3E024F7AB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AG12</xm:sqref>
        </x14:conditionalFormatting>
        <x14:conditionalFormatting xmlns:xm="http://schemas.microsoft.com/office/excel/2006/main">
          <x14:cfRule type="dataBar" id="{B7390391-EAF9-4376-B676-EE8D7A351EB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AG14</xm:sqref>
        </x14:conditionalFormatting>
        <x14:conditionalFormatting xmlns:xm="http://schemas.microsoft.com/office/excel/2006/main">
          <x14:cfRule type="dataBar" id="{65D41675-56F9-4F67-8C4F-F2CE31CE029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AG13</xm:sqref>
        </x14:conditionalFormatting>
        <x14:conditionalFormatting xmlns:xm="http://schemas.microsoft.com/office/excel/2006/main">
          <x14:cfRule type="dataBar" id="{2A1E0848-94CB-4B25-AB73-7E0059EDB0C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AG15</xm:sqref>
        </x14:conditionalFormatting>
        <x14:conditionalFormatting xmlns:xm="http://schemas.microsoft.com/office/excel/2006/main">
          <x14:cfRule type="dataBar" id="{61EA5CF1-D7BF-45F9-8C58-1936F249A54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AH6</xm:sqref>
        </x14:conditionalFormatting>
        <x14:conditionalFormatting xmlns:xm="http://schemas.microsoft.com/office/excel/2006/main">
          <x14:cfRule type="dataBar" id="{4D23F6CC-F885-4605-A6C7-79A2BE43874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AH8</xm:sqref>
        </x14:conditionalFormatting>
        <x14:conditionalFormatting xmlns:xm="http://schemas.microsoft.com/office/excel/2006/main">
          <x14:cfRule type="dataBar" id="{D50AD0C0-ACAE-4EF2-AB8F-981B725C645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AH7</xm:sqref>
        </x14:conditionalFormatting>
        <x14:conditionalFormatting xmlns:xm="http://schemas.microsoft.com/office/excel/2006/main">
          <x14:cfRule type="dataBar" id="{EB16F18F-A468-4A60-9E46-F6347D0CCD1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AH9</xm:sqref>
        </x14:conditionalFormatting>
        <x14:conditionalFormatting xmlns:xm="http://schemas.microsoft.com/office/excel/2006/main">
          <x14:cfRule type="dataBar" id="{4A2CF5E7-C3A7-4DBA-B166-A89DB273F67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AH11</xm:sqref>
        </x14:conditionalFormatting>
        <x14:conditionalFormatting xmlns:xm="http://schemas.microsoft.com/office/excel/2006/main">
          <x14:cfRule type="dataBar" id="{09CBEA61-03BF-452A-AE7A-C7F2C832F58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AH10</xm:sqref>
        </x14:conditionalFormatting>
        <x14:conditionalFormatting xmlns:xm="http://schemas.microsoft.com/office/excel/2006/main">
          <x14:cfRule type="dataBar" id="{0A04F377-DBDF-44C7-AF75-3C1D26A69F6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AH12</xm:sqref>
        </x14:conditionalFormatting>
        <x14:conditionalFormatting xmlns:xm="http://schemas.microsoft.com/office/excel/2006/main">
          <x14:cfRule type="dataBar" id="{0DAC18F4-1899-4D34-9DD5-B6D3C0DC7A6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AH14</xm:sqref>
        </x14:conditionalFormatting>
        <x14:conditionalFormatting xmlns:xm="http://schemas.microsoft.com/office/excel/2006/main">
          <x14:cfRule type="dataBar" id="{1F71E011-5A8B-42F6-B461-2F7A94BBFD2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AH13</xm:sqref>
        </x14:conditionalFormatting>
        <x14:conditionalFormatting xmlns:xm="http://schemas.microsoft.com/office/excel/2006/main">
          <x14:cfRule type="dataBar" id="{C7B07F80-BC6B-4A0B-AB10-5A95D18861F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AH15</xm:sqref>
        </x14:conditionalFormatting>
        <x14:conditionalFormatting xmlns:xm="http://schemas.microsoft.com/office/excel/2006/main">
          <x14:cfRule type="dataBar" id="{C32EB713-3ECB-453F-9A9A-BCC006C7A08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AI6</xm:sqref>
        </x14:conditionalFormatting>
        <x14:conditionalFormatting xmlns:xm="http://schemas.microsoft.com/office/excel/2006/main">
          <x14:cfRule type="dataBar" id="{FD7E167E-AEEC-423C-97EC-92723BD90BA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AI8</xm:sqref>
        </x14:conditionalFormatting>
        <x14:conditionalFormatting xmlns:xm="http://schemas.microsoft.com/office/excel/2006/main">
          <x14:cfRule type="dataBar" id="{D8180D51-E23C-466B-B47A-1DE43F8D2B5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AI7</xm:sqref>
        </x14:conditionalFormatting>
        <x14:conditionalFormatting xmlns:xm="http://schemas.microsoft.com/office/excel/2006/main">
          <x14:cfRule type="dataBar" id="{0FCF93F5-51FE-40CE-A509-6CB4BDB908A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AI9:AI10</xm:sqref>
        </x14:conditionalFormatting>
        <x14:conditionalFormatting xmlns:xm="http://schemas.microsoft.com/office/excel/2006/main">
          <x14:cfRule type="dataBar" id="{D53D8B39-4736-4A3E-968E-60BDE9DA6CA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AI11</xm:sqref>
        </x14:conditionalFormatting>
        <x14:conditionalFormatting xmlns:xm="http://schemas.microsoft.com/office/excel/2006/main">
          <x14:cfRule type="dataBar" id="{C37B237E-6990-4DA8-9BFC-7A44A657AD7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AI12</xm:sqref>
        </x14:conditionalFormatting>
        <x14:conditionalFormatting xmlns:xm="http://schemas.microsoft.com/office/excel/2006/main">
          <x14:cfRule type="dataBar" id="{2442FBA3-4F23-426E-AA26-ACE4E51A8D9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AI14</xm:sqref>
        </x14:conditionalFormatting>
        <x14:conditionalFormatting xmlns:xm="http://schemas.microsoft.com/office/excel/2006/main">
          <x14:cfRule type="dataBar" id="{87905541-C553-4C1E-BF09-65DBA54AB44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AI13</xm:sqref>
        </x14:conditionalFormatting>
        <x14:conditionalFormatting xmlns:xm="http://schemas.microsoft.com/office/excel/2006/main">
          <x14:cfRule type="dataBar" id="{A42D6577-A0F5-4D20-9091-2CCE7CA6AEA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AI15</xm:sqref>
        </x14:conditionalFormatting>
        <x14:conditionalFormatting xmlns:xm="http://schemas.microsoft.com/office/excel/2006/main">
          <x14:cfRule type="dataBar" id="{2DBB57B0-2A83-4988-87FD-B3616AFB936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AJ6</xm:sqref>
        </x14:conditionalFormatting>
        <x14:conditionalFormatting xmlns:xm="http://schemas.microsoft.com/office/excel/2006/main">
          <x14:cfRule type="dataBar" id="{752A9984-0BA2-442A-9A6E-8AF21050463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AJ8</xm:sqref>
        </x14:conditionalFormatting>
        <x14:conditionalFormatting xmlns:xm="http://schemas.microsoft.com/office/excel/2006/main">
          <x14:cfRule type="dataBar" id="{91129A1B-9606-4433-9939-BBF3242F638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AJ7</xm:sqref>
        </x14:conditionalFormatting>
        <x14:conditionalFormatting xmlns:xm="http://schemas.microsoft.com/office/excel/2006/main">
          <x14:cfRule type="dataBar" id="{881D20E2-F740-49F1-97F5-1128D9A4199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AJ9</xm:sqref>
        </x14:conditionalFormatting>
        <x14:conditionalFormatting xmlns:xm="http://schemas.microsoft.com/office/excel/2006/main">
          <x14:cfRule type="dataBar" id="{044BDD58-578B-4296-871B-B63C8CC59F7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AJ11</xm:sqref>
        </x14:conditionalFormatting>
        <x14:conditionalFormatting xmlns:xm="http://schemas.microsoft.com/office/excel/2006/main">
          <x14:cfRule type="dataBar" id="{6E19ABA7-195E-4403-B9E5-F042CF91DD1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AJ10</xm:sqref>
        </x14:conditionalFormatting>
        <x14:conditionalFormatting xmlns:xm="http://schemas.microsoft.com/office/excel/2006/main">
          <x14:cfRule type="dataBar" id="{D1864C70-734C-412E-8E6F-C3080D15637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AJ12</xm:sqref>
        </x14:conditionalFormatting>
        <x14:conditionalFormatting xmlns:xm="http://schemas.microsoft.com/office/excel/2006/main">
          <x14:cfRule type="dataBar" id="{764C0D89-73ED-486A-9662-59A49ED7D98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AJ14</xm:sqref>
        </x14:conditionalFormatting>
        <x14:conditionalFormatting xmlns:xm="http://schemas.microsoft.com/office/excel/2006/main">
          <x14:cfRule type="dataBar" id="{F6AC9093-E6C4-43E3-9AE8-E1DA0762AD0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AJ13</xm:sqref>
        </x14:conditionalFormatting>
        <x14:conditionalFormatting xmlns:xm="http://schemas.microsoft.com/office/excel/2006/main">
          <x14:cfRule type="dataBar" id="{9056842B-A4BD-41F0-B420-E1A5755481E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AJ15</xm:sqref>
        </x14:conditionalFormatting>
        <x14:conditionalFormatting xmlns:xm="http://schemas.microsoft.com/office/excel/2006/main">
          <x14:cfRule type="dataBar" id="{099BB12A-7DA9-4280-89A7-4C46CE47975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AK6</xm:sqref>
        </x14:conditionalFormatting>
        <x14:conditionalFormatting xmlns:xm="http://schemas.microsoft.com/office/excel/2006/main">
          <x14:cfRule type="dataBar" id="{61768D1F-D293-4129-AFAE-BA34C1BBA83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AK8</xm:sqref>
        </x14:conditionalFormatting>
        <x14:conditionalFormatting xmlns:xm="http://schemas.microsoft.com/office/excel/2006/main">
          <x14:cfRule type="dataBar" id="{39034631-303D-4961-B183-35E4193086F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AK7</xm:sqref>
        </x14:conditionalFormatting>
        <x14:conditionalFormatting xmlns:xm="http://schemas.microsoft.com/office/excel/2006/main">
          <x14:cfRule type="dataBar" id="{CB55AE59-42B9-40C8-9EB0-A5E2B8DC6AE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AK9:AK10</xm:sqref>
        </x14:conditionalFormatting>
        <x14:conditionalFormatting xmlns:xm="http://schemas.microsoft.com/office/excel/2006/main">
          <x14:cfRule type="dataBar" id="{2BF4A39B-E67A-46FF-B6F3-8E9EE5C9BCF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AK11</xm:sqref>
        </x14:conditionalFormatting>
        <x14:conditionalFormatting xmlns:xm="http://schemas.microsoft.com/office/excel/2006/main">
          <x14:cfRule type="dataBar" id="{86CE46E7-5704-43CB-BC8C-98A1BA6D0EF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AK12</xm:sqref>
        </x14:conditionalFormatting>
        <x14:conditionalFormatting xmlns:xm="http://schemas.microsoft.com/office/excel/2006/main">
          <x14:cfRule type="dataBar" id="{235D96F2-6F1E-4B3C-97D8-57E56C0FDB2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AK14</xm:sqref>
        </x14:conditionalFormatting>
        <x14:conditionalFormatting xmlns:xm="http://schemas.microsoft.com/office/excel/2006/main">
          <x14:cfRule type="dataBar" id="{F925C9E0-AF1B-4077-917F-43904A90F30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AK13</xm:sqref>
        </x14:conditionalFormatting>
        <x14:conditionalFormatting xmlns:xm="http://schemas.microsoft.com/office/excel/2006/main">
          <x14:cfRule type="dataBar" id="{0098D6A0-9B65-4C3E-A094-582C7EB1BB7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AK15</xm:sqref>
        </x14:conditionalFormatting>
        <x14:conditionalFormatting xmlns:xm="http://schemas.microsoft.com/office/excel/2006/main">
          <x14:cfRule type="dataBar" id="{04478181-35E8-4A63-AA0B-F2BC34ED64C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AL6</xm:sqref>
        </x14:conditionalFormatting>
        <x14:conditionalFormatting xmlns:xm="http://schemas.microsoft.com/office/excel/2006/main">
          <x14:cfRule type="dataBar" id="{A0928687-1125-459A-B7D8-B6873CCE958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AL8</xm:sqref>
        </x14:conditionalFormatting>
        <x14:conditionalFormatting xmlns:xm="http://schemas.microsoft.com/office/excel/2006/main">
          <x14:cfRule type="dataBar" id="{40E2D208-5DB6-4A59-894C-18262D4AF6C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AL7</xm:sqref>
        </x14:conditionalFormatting>
        <x14:conditionalFormatting xmlns:xm="http://schemas.microsoft.com/office/excel/2006/main">
          <x14:cfRule type="dataBar" id="{31229B39-0FE7-4448-AA79-10B9B4E2A01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AL9</xm:sqref>
        </x14:conditionalFormatting>
        <x14:conditionalFormatting xmlns:xm="http://schemas.microsoft.com/office/excel/2006/main">
          <x14:cfRule type="dataBar" id="{1CD2348A-72CE-4AB4-AB56-DB7A736DAE5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AL11</xm:sqref>
        </x14:conditionalFormatting>
        <x14:conditionalFormatting xmlns:xm="http://schemas.microsoft.com/office/excel/2006/main">
          <x14:cfRule type="dataBar" id="{485D25AD-AC2B-4D5A-98CE-CCF95CF5352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AL10</xm:sqref>
        </x14:conditionalFormatting>
        <x14:conditionalFormatting xmlns:xm="http://schemas.microsoft.com/office/excel/2006/main">
          <x14:cfRule type="dataBar" id="{9189A8A5-4B3C-49D6-90A8-F666CBB8829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AL12</xm:sqref>
        </x14:conditionalFormatting>
        <x14:conditionalFormatting xmlns:xm="http://schemas.microsoft.com/office/excel/2006/main">
          <x14:cfRule type="dataBar" id="{2AC54B60-69C1-4D5F-AF6B-78B4882F0A3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AL14</xm:sqref>
        </x14:conditionalFormatting>
        <x14:conditionalFormatting xmlns:xm="http://schemas.microsoft.com/office/excel/2006/main">
          <x14:cfRule type="dataBar" id="{7383DAF9-0102-47C5-B3EE-BDA9D414F91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AL13</xm:sqref>
        </x14:conditionalFormatting>
        <x14:conditionalFormatting xmlns:xm="http://schemas.microsoft.com/office/excel/2006/main">
          <x14:cfRule type="dataBar" id="{C857A8A5-00FE-437C-B869-D4831C22776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AL15</xm:sqref>
        </x14:conditionalFormatting>
        <x14:conditionalFormatting xmlns:xm="http://schemas.microsoft.com/office/excel/2006/main">
          <x14:cfRule type="dataBar" id="{55C8E4E1-5D82-476E-982C-48753CD8A69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AM6</xm:sqref>
        </x14:conditionalFormatting>
        <x14:conditionalFormatting xmlns:xm="http://schemas.microsoft.com/office/excel/2006/main">
          <x14:cfRule type="dataBar" id="{313C3D28-E405-4BDA-A01F-520A6F34494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AM8</xm:sqref>
        </x14:conditionalFormatting>
        <x14:conditionalFormatting xmlns:xm="http://schemas.microsoft.com/office/excel/2006/main">
          <x14:cfRule type="dataBar" id="{F5CB8B7F-7583-4FF0-A913-3934737FE47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AM7</xm:sqref>
        </x14:conditionalFormatting>
        <x14:conditionalFormatting xmlns:xm="http://schemas.microsoft.com/office/excel/2006/main">
          <x14:cfRule type="dataBar" id="{91DEC6CA-43DB-4FB1-92A4-4E7D59B71A9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AM9:AM10</xm:sqref>
        </x14:conditionalFormatting>
        <x14:conditionalFormatting xmlns:xm="http://schemas.microsoft.com/office/excel/2006/main">
          <x14:cfRule type="dataBar" id="{600EF4AC-CF29-4ED3-9EB4-CF66195C019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AM11</xm:sqref>
        </x14:conditionalFormatting>
        <x14:conditionalFormatting xmlns:xm="http://schemas.microsoft.com/office/excel/2006/main">
          <x14:cfRule type="dataBar" id="{359F6CAD-8B99-4DFA-BB85-17F135AD0DC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AM12</xm:sqref>
        </x14:conditionalFormatting>
        <x14:conditionalFormatting xmlns:xm="http://schemas.microsoft.com/office/excel/2006/main">
          <x14:cfRule type="dataBar" id="{C992C6CD-4618-4552-8BFD-D81198E2C7F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AM14</xm:sqref>
        </x14:conditionalFormatting>
        <x14:conditionalFormatting xmlns:xm="http://schemas.microsoft.com/office/excel/2006/main">
          <x14:cfRule type="dataBar" id="{BEAE9CF8-92FF-4C1F-9C5D-F4A4EA83101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AM13</xm:sqref>
        </x14:conditionalFormatting>
        <x14:conditionalFormatting xmlns:xm="http://schemas.microsoft.com/office/excel/2006/main">
          <x14:cfRule type="dataBar" id="{4EACC038-B1AC-4163-AFEA-36304BCF289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AM15</xm:sqref>
        </x14:conditionalFormatting>
        <x14:conditionalFormatting xmlns:xm="http://schemas.microsoft.com/office/excel/2006/main">
          <x14:cfRule type="dataBar" id="{7DE66603-B8E2-473D-93D3-4C1555015D9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AN6</xm:sqref>
        </x14:conditionalFormatting>
        <x14:conditionalFormatting xmlns:xm="http://schemas.microsoft.com/office/excel/2006/main">
          <x14:cfRule type="dataBar" id="{015C62DC-718D-4018-AABD-F5A4D5D7AB2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AN8</xm:sqref>
        </x14:conditionalFormatting>
        <x14:conditionalFormatting xmlns:xm="http://schemas.microsoft.com/office/excel/2006/main">
          <x14:cfRule type="dataBar" id="{D306D1C5-7B13-40C9-B655-62B2CDD9CC2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AN7</xm:sqref>
        </x14:conditionalFormatting>
        <x14:conditionalFormatting xmlns:xm="http://schemas.microsoft.com/office/excel/2006/main">
          <x14:cfRule type="dataBar" id="{34F3B4A9-17EB-4F0F-9D39-8CE2BDAD41E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AN9</xm:sqref>
        </x14:conditionalFormatting>
        <x14:conditionalFormatting xmlns:xm="http://schemas.microsoft.com/office/excel/2006/main">
          <x14:cfRule type="dataBar" id="{E6DC7FDA-297D-48B7-B9DC-CE200A06BD7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AN11</xm:sqref>
        </x14:conditionalFormatting>
        <x14:conditionalFormatting xmlns:xm="http://schemas.microsoft.com/office/excel/2006/main">
          <x14:cfRule type="dataBar" id="{68CE2D9A-8346-4323-B1D2-841D6831335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AN10</xm:sqref>
        </x14:conditionalFormatting>
        <x14:conditionalFormatting xmlns:xm="http://schemas.microsoft.com/office/excel/2006/main">
          <x14:cfRule type="dataBar" id="{0541C18E-CFBE-4B2A-9207-556F7DAA90A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AN12</xm:sqref>
        </x14:conditionalFormatting>
        <x14:conditionalFormatting xmlns:xm="http://schemas.microsoft.com/office/excel/2006/main">
          <x14:cfRule type="dataBar" id="{22DF4476-C939-44B0-A3E8-39B56FB2B6C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AN14</xm:sqref>
        </x14:conditionalFormatting>
        <x14:conditionalFormatting xmlns:xm="http://schemas.microsoft.com/office/excel/2006/main">
          <x14:cfRule type="dataBar" id="{AF6A9275-05D8-42AD-ABCC-8EC7BB6A893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AN13</xm:sqref>
        </x14:conditionalFormatting>
        <x14:conditionalFormatting xmlns:xm="http://schemas.microsoft.com/office/excel/2006/main">
          <x14:cfRule type="dataBar" id="{2287363C-DE2F-44E0-BD10-95930F8EFEA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AN15</xm:sqref>
        </x14:conditionalFormatting>
        <x14:conditionalFormatting xmlns:xm="http://schemas.microsoft.com/office/excel/2006/main">
          <x14:cfRule type="dataBar" id="{96C6824D-5EA0-409A-9896-18E1D946C0D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AO6</xm:sqref>
        </x14:conditionalFormatting>
        <x14:conditionalFormatting xmlns:xm="http://schemas.microsoft.com/office/excel/2006/main">
          <x14:cfRule type="dataBar" id="{4952532E-230A-4AE5-AB7C-C08460F6465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AO8</xm:sqref>
        </x14:conditionalFormatting>
        <x14:conditionalFormatting xmlns:xm="http://schemas.microsoft.com/office/excel/2006/main">
          <x14:cfRule type="dataBar" id="{92B9F996-A7E7-498A-933E-B1407DA6D07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AO7</xm:sqref>
        </x14:conditionalFormatting>
        <x14:conditionalFormatting xmlns:xm="http://schemas.microsoft.com/office/excel/2006/main">
          <x14:cfRule type="dataBar" id="{B8D7955C-1F53-4D4B-91AB-4A661CE0A8E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AO9:AO10</xm:sqref>
        </x14:conditionalFormatting>
        <x14:conditionalFormatting xmlns:xm="http://schemas.microsoft.com/office/excel/2006/main">
          <x14:cfRule type="dataBar" id="{AF0A3ED6-3AA1-43FD-AADC-DD95A330F9D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AO11</xm:sqref>
        </x14:conditionalFormatting>
        <x14:conditionalFormatting xmlns:xm="http://schemas.microsoft.com/office/excel/2006/main">
          <x14:cfRule type="dataBar" id="{1A4EDF8D-40B7-4804-BCAF-F35EBA9EAA2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AO12</xm:sqref>
        </x14:conditionalFormatting>
        <x14:conditionalFormatting xmlns:xm="http://schemas.microsoft.com/office/excel/2006/main">
          <x14:cfRule type="dataBar" id="{110E1A3E-4305-4127-98FF-E99989230E2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AO14</xm:sqref>
        </x14:conditionalFormatting>
        <x14:conditionalFormatting xmlns:xm="http://schemas.microsoft.com/office/excel/2006/main">
          <x14:cfRule type="dataBar" id="{1A494566-A11D-4FB3-A3DF-B0F10FD26DA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AO13</xm:sqref>
        </x14:conditionalFormatting>
        <x14:conditionalFormatting xmlns:xm="http://schemas.microsoft.com/office/excel/2006/main">
          <x14:cfRule type="dataBar" id="{36DFAB6A-1875-476E-8B01-C8B3387D03C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AO15</xm:sqref>
        </x14:conditionalFormatting>
        <x14:conditionalFormatting xmlns:xm="http://schemas.microsoft.com/office/excel/2006/main">
          <x14:cfRule type="dataBar" id="{02B62A9A-CE28-43E3-A2E8-D56E3328295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AP6</xm:sqref>
        </x14:conditionalFormatting>
        <x14:conditionalFormatting xmlns:xm="http://schemas.microsoft.com/office/excel/2006/main">
          <x14:cfRule type="dataBar" id="{5C895E78-2464-45D0-B54D-D060B2F89DC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AP8</xm:sqref>
        </x14:conditionalFormatting>
        <x14:conditionalFormatting xmlns:xm="http://schemas.microsoft.com/office/excel/2006/main">
          <x14:cfRule type="dataBar" id="{ACC5D836-7F2E-4E1B-A9D0-700D409C2F4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AP7</xm:sqref>
        </x14:conditionalFormatting>
        <x14:conditionalFormatting xmlns:xm="http://schemas.microsoft.com/office/excel/2006/main">
          <x14:cfRule type="dataBar" id="{A3259EC1-1DFA-4993-85FE-568FB0D805B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AP9</xm:sqref>
        </x14:conditionalFormatting>
        <x14:conditionalFormatting xmlns:xm="http://schemas.microsoft.com/office/excel/2006/main">
          <x14:cfRule type="dataBar" id="{52E66352-B84A-42DA-B873-1D90157099B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AP11</xm:sqref>
        </x14:conditionalFormatting>
        <x14:conditionalFormatting xmlns:xm="http://schemas.microsoft.com/office/excel/2006/main">
          <x14:cfRule type="dataBar" id="{62C70125-AC71-4C99-87F9-B08E665A159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AP10</xm:sqref>
        </x14:conditionalFormatting>
        <x14:conditionalFormatting xmlns:xm="http://schemas.microsoft.com/office/excel/2006/main">
          <x14:cfRule type="dataBar" id="{CC6E96DF-D50C-4889-9AEB-7F9DA9C297A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AP12</xm:sqref>
        </x14:conditionalFormatting>
        <x14:conditionalFormatting xmlns:xm="http://schemas.microsoft.com/office/excel/2006/main">
          <x14:cfRule type="dataBar" id="{6537CEE4-0D3F-4FF4-A70B-1F4E78A29F6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AP14</xm:sqref>
        </x14:conditionalFormatting>
        <x14:conditionalFormatting xmlns:xm="http://schemas.microsoft.com/office/excel/2006/main">
          <x14:cfRule type="dataBar" id="{AD21BE1A-13D6-4189-94CE-E830482C9CD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AP13</xm:sqref>
        </x14:conditionalFormatting>
        <x14:conditionalFormatting xmlns:xm="http://schemas.microsoft.com/office/excel/2006/main">
          <x14:cfRule type="dataBar" id="{9F0294B4-CB3C-4A99-8E48-DC645C86135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AP15</xm:sqref>
        </x14:conditionalFormatting>
        <x14:conditionalFormatting xmlns:xm="http://schemas.microsoft.com/office/excel/2006/main">
          <x14:cfRule type="dataBar" id="{F13F041A-6F87-4719-8297-D8612F44409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AQ6</xm:sqref>
        </x14:conditionalFormatting>
        <x14:conditionalFormatting xmlns:xm="http://schemas.microsoft.com/office/excel/2006/main">
          <x14:cfRule type="dataBar" id="{B08A0DFD-A796-487B-9B83-E77164B01ED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AQ8</xm:sqref>
        </x14:conditionalFormatting>
        <x14:conditionalFormatting xmlns:xm="http://schemas.microsoft.com/office/excel/2006/main">
          <x14:cfRule type="dataBar" id="{1CF4DE6B-F2AB-4E8D-833E-036ED90B827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AQ7</xm:sqref>
        </x14:conditionalFormatting>
        <x14:conditionalFormatting xmlns:xm="http://schemas.microsoft.com/office/excel/2006/main">
          <x14:cfRule type="dataBar" id="{0096FCFD-14C2-4FF7-9331-0B6593ADC62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AQ9:AQ10</xm:sqref>
        </x14:conditionalFormatting>
        <x14:conditionalFormatting xmlns:xm="http://schemas.microsoft.com/office/excel/2006/main">
          <x14:cfRule type="dataBar" id="{1CC59AAA-B712-4809-BE7C-AE4223C614F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AQ11</xm:sqref>
        </x14:conditionalFormatting>
        <x14:conditionalFormatting xmlns:xm="http://schemas.microsoft.com/office/excel/2006/main">
          <x14:cfRule type="dataBar" id="{045BFA6A-42F5-4406-B00B-A87CEC2327F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AQ12</xm:sqref>
        </x14:conditionalFormatting>
        <x14:conditionalFormatting xmlns:xm="http://schemas.microsoft.com/office/excel/2006/main">
          <x14:cfRule type="dataBar" id="{19B09A95-B727-4D16-B256-68EEA482E18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AQ14</xm:sqref>
        </x14:conditionalFormatting>
        <x14:conditionalFormatting xmlns:xm="http://schemas.microsoft.com/office/excel/2006/main">
          <x14:cfRule type="dataBar" id="{07FC3C75-26D7-4C9A-B76E-C25A7763C17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4"/>
  <sheetViews>
    <sheetView workbookViewId="0">
      <selection activeCell="C20" sqref="C20"/>
    </sheetView>
  </sheetViews>
  <sheetFormatPr defaultRowHeight="15" x14ac:dyDescent="0.25"/>
  <cols>
    <col min="1" max="1" width="12" bestFit="1" customWidth="1"/>
    <col min="2" max="5" width="7.28515625" customWidth="1"/>
    <col min="6" max="6" width="11.42578125" customWidth="1"/>
    <col min="7" max="7" width="3.7109375" bestFit="1" customWidth="1"/>
    <col min="8" max="10" width="12" bestFit="1" customWidth="1"/>
  </cols>
  <sheetData>
    <row r="1" spans="1:6" x14ac:dyDescent="0.25">
      <c r="A1">
        <v>0</v>
      </c>
      <c r="B1">
        <v>1</v>
      </c>
      <c r="C1">
        <v>2</v>
      </c>
      <c r="D1">
        <v>3</v>
      </c>
    </row>
    <row r="2" spans="1:6" x14ac:dyDescent="0.25">
      <c r="A2" t="s">
        <v>168</v>
      </c>
      <c r="B2" s="32" t="s">
        <v>168</v>
      </c>
      <c r="C2" t="s">
        <v>168</v>
      </c>
      <c r="D2" t="s">
        <v>168</v>
      </c>
    </row>
    <row r="3" spans="1:6" x14ac:dyDescent="0.25">
      <c r="A3" s="32" t="s">
        <v>168</v>
      </c>
      <c r="B3">
        <v>1</v>
      </c>
      <c r="C3">
        <v>1</v>
      </c>
      <c r="D3" t="s">
        <v>168</v>
      </c>
    </row>
    <row r="4" spans="1:6" x14ac:dyDescent="0.25">
      <c r="A4">
        <v>0</v>
      </c>
      <c r="B4">
        <v>2.6278250002947302E-2</v>
      </c>
      <c r="C4" t="s">
        <v>168</v>
      </c>
      <c r="D4" t="s">
        <v>168</v>
      </c>
    </row>
    <row r="5" spans="1:6" x14ac:dyDescent="0.25">
      <c r="A5" t="s">
        <v>168</v>
      </c>
      <c r="B5">
        <v>0.49581516162134398</v>
      </c>
      <c r="C5">
        <v>1</v>
      </c>
      <c r="D5" t="s">
        <v>168</v>
      </c>
    </row>
    <row r="6" spans="1:6" x14ac:dyDescent="0.25">
      <c r="A6" s="32" t="s">
        <v>168</v>
      </c>
      <c r="B6">
        <v>0.90172890502681602</v>
      </c>
      <c r="C6">
        <v>1</v>
      </c>
      <c r="D6" t="s">
        <v>168</v>
      </c>
    </row>
    <row r="7" spans="1:6" x14ac:dyDescent="0.25">
      <c r="A7">
        <v>0.239977979080126</v>
      </c>
      <c r="B7">
        <v>1</v>
      </c>
      <c r="C7" t="s">
        <v>168</v>
      </c>
      <c r="D7" t="s">
        <v>168</v>
      </c>
    </row>
    <row r="8" spans="1:6" x14ac:dyDescent="0.25">
      <c r="A8" t="s">
        <v>168</v>
      </c>
      <c r="B8" t="s">
        <v>168</v>
      </c>
      <c r="C8" t="s">
        <v>168</v>
      </c>
      <c r="D8" t="s">
        <v>168</v>
      </c>
    </row>
    <row r="9" spans="1:6" x14ac:dyDescent="0.25">
      <c r="A9" t="s">
        <v>168</v>
      </c>
      <c r="B9">
        <v>8.2908163265306103E-2</v>
      </c>
      <c r="C9">
        <v>1</v>
      </c>
      <c r="D9" t="s">
        <v>168</v>
      </c>
    </row>
    <row r="10" spans="1:6" x14ac:dyDescent="0.25">
      <c r="A10" t="s">
        <v>168</v>
      </c>
      <c r="B10" t="s">
        <v>168</v>
      </c>
      <c r="C10" s="32" t="s">
        <v>168</v>
      </c>
      <c r="D10" t="s">
        <v>168</v>
      </c>
    </row>
    <row r="11" spans="1:6" x14ac:dyDescent="0.25">
      <c r="A11" t="s">
        <v>168</v>
      </c>
      <c r="B11" t="s">
        <v>168</v>
      </c>
      <c r="C11" t="s">
        <v>168</v>
      </c>
      <c r="D11" t="s">
        <v>168</v>
      </c>
    </row>
    <row r="13" spans="1:6" ht="30" customHeight="1" x14ac:dyDescent="0.25">
      <c r="A13" s="33"/>
      <c r="B13" s="103" t="s">
        <v>169</v>
      </c>
      <c r="C13" s="103"/>
      <c r="D13" s="103"/>
      <c r="E13" s="103"/>
      <c r="F13" s="104" t="s">
        <v>170</v>
      </c>
    </row>
    <row r="14" spans="1:6" x14ac:dyDescent="0.25">
      <c r="A14" s="33"/>
      <c r="B14" s="35">
        <v>0</v>
      </c>
      <c r="C14" s="35">
        <v>1</v>
      </c>
      <c r="D14" s="35">
        <v>2</v>
      </c>
      <c r="E14" s="35">
        <v>3</v>
      </c>
      <c r="F14" s="104"/>
    </row>
    <row r="15" spans="1:6" x14ac:dyDescent="0.25">
      <c r="A15" s="34" t="s">
        <v>11</v>
      </c>
      <c r="B15" s="36">
        <f>IF(A2="NA",0,A2)</f>
        <v>0</v>
      </c>
      <c r="C15" s="36">
        <f t="shared" ref="C15:E15" si="0">IF(B2="NA",0,B2)</f>
        <v>0</v>
      </c>
      <c r="D15" s="36">
        <f t="shared" si="0"/>
        <v>0</v>
      </c>
      <c r="E15" s="36">
        <f t="shared" si="0"/>
        <v>0</v>
      </c>
      <c r="F15" s="37" t="str">
        <f>'Data Import'!AD2</f>
        <v>0.40812</v>
      </c>
    </row>
    <row r="16" spans="1:6" x14ac:dyDescent="0.25">
      <c r="A16" s="34" t="s">
        <v>15</v>
      </c>
      <c r="B16" s="36">
        <f t="shared" ref="B16:E16" si="1">IF(A3="NA",0,A3)</f>
        <v>0</v>
      </c>
      <c r="C16" s="36">
        <f t="shared" si="1"/>
        <v>1</v>
      </c>
      <c r="D16" s="36">
        <f t="shared" si="1"/>
        <v>1</v>
      </c>
      <c r="E16" s="36">
        <f t="shared" si="1"/>
        <v>0</v>
      </c>
      <c r="F16" s="37" t="str">
        <f>'Data Import'!AD3</f>
        <v>0.42356</v>
      </c>
    </row>
    <row r="17" spans="1:6" x14ac:dyDescent="0.25">
      <c r="A17" s="34" t="s">
        <v>17</v>
      </c>
      <c r="B17" s="36">
        <f t="shared" ref="B17:E17" si="2">IF(A4="NA",0,A4)</f>
        <v>0</v>
      </c>
      <c r="C17" s="36">
        <f t="shared" si="2"/>
        <v>2.6278250002947302E-2</v>
      </c>
      <c r="D17" s="36">
        <f t="shared" si="2"/>
        <v>0</v>
      </c>
      <c r="E17" s="36">
        <f t="shared" si="2"/>
        <v>0</v>
      </c>
      <c r="F17" s="37" t="str">
        <f>'Data Import'!AD4</f>
        <v>0.10425</v>
      </c>
    </row>
    <row r="18" spans="1:6" x14ac:dyDescent="0.25">
      <c r="A18" s="34" t="s">
        <v>18</v>
      </c>
      <c r="B18" s="36">
        <f t="shared" ref="B18:E18" si="3">IF(A5="NA",0,A5)</f>
        <v>0</v>
      </c>
      <c r="C18" s="36">
        <f t="shared" si="3"/>
        <v>0.49581516162134398</v>
      </c>
      <c r="D18" s="36">
        <f t="shared" si="3"/>
        <v>1</v>
      </c>
      <c r="E18" s="36">
        <f t="shared" si="3"/>
        <v>0</v>
      </c>
      <c r="F18" s="37" t="str">
        <f>'Data Import'!AD5</f>
        <v>0.50465</v>
      </c>
    </row>
    <row r="19" spans="1:6" x14ac:dyDescent="0.25">
      <c r="A19" s="34" t="s">
        <v>19</v>
      </c>
      <c r="B19" s="36">
        <f t="shared" ref="B19:E19" si="4">IF(A6="NA",0,A6)</f>
        <v>0</v>
      </c>
      <c r="C19" s="36">
        <f t="shared" si="4"/>
        <v>0.90172890502681602</v>
      </c>
      <c r="D19" s="36">
        <f t="shared" si="4"/>
        <v>1</v>
      </c>
      <c r="E19" s="36">
        <f t="shared" si="4"/>
        <v>0</v>
      </c>
      <c r="F19" s="37" t="str">
        <f>'Data Import'!AD6</f>
        <v>0.35217</v>
      </c>
    </row>
    <row r="20" spans="1:6" x14ac:dyDescent="0.25">
      <c r="A20" s="34" t="s">
        <v>21</v>
      </c>
      <c r="B20" s="36">
        <f t="shared" ref="B20:E20" si="5">IF(A7="NA",0,A7)</f>
        <v>0.239977979080126</v>
      </c>
      <c r="C20" s="36">
        <f t="shared" si="5"/>
        <v>1</v>
      </c>
      <c r="D20" s="36">
        <f t="shared" si="5"/>
        <v>0</v>
      </c>
      <c r="E20" s="36">
        <f t="shared" si="5"/>
        <v>0</v>
      </c>
      <c r="F20" s="37" t="str">
        <f>'Data Import'!AD7</f>
        <v>0.36932</v>
      </c>
    </row>
    <row r="21" spans="1:6" x14ac:dyDescent="0.25">
      <c r="A21" s="34" t="s">
        <v>23</v>
      </c>
      <c r="B21" s="36">
        <f t="shared" ref="B21:E21" si="6">IF(A8="NA",0,A8)</f>
        <v>0</v>
      </c>
      <c r="C21" s="36">
        <f t="shared" si="6"/>
        <v>0</v>
      </c>
      <c r="D21" s="36">
        <f t="shared" si="6"/>
        <v>0</v>
      </c>
      <c r="E21" s="36">
        <f t="shared" si="6"/>
        <v>0</v>
      </c>
      <c r="F21" s="37" t="str">
        <f>'Data Import'!AD8</f>
        <v>0.50539</v>
      </c>
    </row>
    <row r="22" spans="1:6" x14ac:dyDescent="0.25">
      <c r="A22" s="34" t="s">
        <v>24</v>
      </c>
      <c r="B22" s="36">
        <f t="shared" ref="B22:E22" si="7">IF(A9="NA",0,A9)</f>
        <v>0</v>
      </c>
      <c r="C22" s="36">
        <f t="shared" si="7"/>
        <v>8.2908163265306103E-2</v>
      </c>
      <c r="D22" s="36">
        <f t="shared" si="7"/>
        <v>1</v>
      </c>
      <c r="E22" s="36">
        <f t="shared" si="7"/>
        <v>0</v>
      </c>
      <c r="F22" s="37" t="str">
        <f>'Data Import'!AD9</f>
        <v>0.52194</v>
      </c>
    </row>
    <row r="23" spans="1:6" x14ac:dyDescent="0.25">
      <c r="A23" s="34" t="s">
        <v>26</v>
      </c>
      <c r="B23" s="36">
        <f t="shared" ref="B23:E23" si="8">IF(A10="NA",0,A10)</f>
        <v>0</v>
      </c>
      <c r="C23" s="36">
        <f t="shared" si="8"/>
        <v>0</v>
      </c>
      <c r="D23" s="36">
        <f t="shared" si="8"/>
        <v>0</v>
      </c>
      <c r="E23" s="36">
        <f t="shared" si="8"/>
        <v>0</v>
      </c>
      <c r="F23" s="37" t="str">
        <f>'Data Import'!AD10</f>
        <v>0.51526</v>
      </c>
    </row>
    <row r="24" spans="1:6" x14ac:dyDescent="0.25">
      <c r="A24" s="34" t="s">
        <v>29</v>
      </c>
      <c r="B24" s="36">
        <f t="shared" ref="B24:E24" si="9">IF(A11="NA",0,A11)</f>
        <v>0</v>
      </c>
      <c r="C24" s="36">
        <f t="shared" si="9"/>
        <v>0</v>
      </c>
      <c r="D24" s="36">
        <f t="shared" si="9"/>
        <v>0</v>
      </c>
      <c r="E24" s="36">
        <f t="shared" si="9"/>
        <v>0</v>
      </c>
      <c r="F24" s="37" t="str">
        <f>'Data Import'!AD11</f>
        <v>0.29534</v>
      </c>
    </row>
  </sheetData>
  <mergeCells count="2">
    <mergeCell ref="B13:E13"/>
    <mergeCell ref="F13:F14"/>
  </mergeCells>
  <conditionalFormatting sqref="B15:F24">
    <cfRule type="cellIs" dxfId="13" priority="1" stopIfTrue="1" operator="equal">
      <formula>0</formula>
    </cfRule>
  </conditionalFormatting>
  <conditionalFormatting sqref="B15:E24">
    <cfRule type="colorScale" priority="2">
      <colorScale>
        <cfvo type="num" val="0"/>
        <cfvo type="num" val="0.5"/>
        <cfvo type="num" val="1"/>
        <color rgb="FFF8696B"/>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54"/>
  <sheetViews>
    <sheetView zoomScale="90" zoomScaleNormal="90" workbookViewId="0">
      <selection activeCell="J21" sqref="J21"/>
    </sheetView>
  </sheetViews>
  <sheetFormatPr defaultRowHeight="15" x14ac:dyDescent="0.25"/>
  <cols>
    <col min="1" max="1" width="10.42578125" bestFit="1" customWidth="1"/>
    <col min="2" max="2" width="14.85546875" bestFit="1" customWidth="1"/>
    <col min="3" max="3" width="12.7109375" bestFit="1" customWidth="1"/>
    <col min="4" max="4" width="12" bestFit="1" customWidth="1"/>
    <col min="5" max="5" width="13.140625" bestFit="1" customWidth="1"/>
    <col min="6" max="6" width="10.28515625" bestFit="1" customWidth="1"/>
    <col min="7" max="7" width="10.28515625" customWidth="1"/>
    <col min="8" max="17" width="7.7109375" customWidth="1"/>
    <col min="18" max="18" width="23" customWidth="1"/>
    <col min="19" max="19" width="11.42578125" hidden="1" customWidth="1"/>
    <col min="20" max="23" width="11.42578125" bestFit="1" customWidth="1"/>
    <col min="24" max="24" width="12.5703125" bestFit="1" customWidth="1"/>
    <col min="25" max="25" width="10.28515625" hidden="1" customWidth="1"/>
    <col min="26" max="26" width="11.42578125" bestFit="1" customWidth="1"/>
    <col min="27" max="28" width="10.28515625" hidden="1" customWidth="1"/>
  </cols>
  <sheetData>
    <row r="1" spans="1:18" ht="15.75" thickBot="1" x14ac:dyDescent="0.3">
      <c r="A1" s="54" t="s">
        <v>201</v>
      </c>
      <c r="B1" s="54" t="s">
        <v>293</v>
      </c>
      <c r="C1" s="54" t="s">
        <v>198</v>
      </c>
      <c r="D1" s="54" t="s">
        <v>199</v>
      </c>
      <c r="E1" s="54" t="s">
        <v>200</v>
      </c>
      <c r="F1" t="s">
        <v>179</v>
      </c>
      <c r="G1" t="s">
        <v>180</v>
      </c>
      <c r="H1" s="54" t="s">
        <v>11</v>
      </c>
      <c r="I1" s="54" t="s">
        <v>15</v>
      </c>
      <c r="J1" s="54" t="s">
        <v>17</v>
      </c>
      <c r="K1" s="54" t="s">
        <v>18</v>
      </c>
      <c r="L1" s="54" t="s">
        <v>19</v>
      </c>
      <c r="M1" s="54" t="s">
        <v>21</v>
      </c>
      <c r="N1" s="54" t="s">
        <v>217</v>
      </c>
      <c r="O1" s="54" t="s">
        <v>24</v>
      </c>
      <c r="P1" s="54" t="s">
        <v>26</v>
      </c>
      <c r="Q1" s="54" t="s">
        <v>29</v>
      </c>
    </row>
    <row r="2" spans="1:18" x14ac:dyDescent="0.25">
      <c r="A2" s="59" t="s">
        <v>17</v>
      </c>
      <c r="B2" s="60" t="s">
        <v>29</v>
      </c>
      <c r="C2" s="60" t="s">
        <v>18</v>
      </c>
      <c r="D2" s="60" t="s">
        <v>11</v>
      </c>
      <c r="E2" s="60" t="s">
        <v>21</v>
      </c>
      <c r="F2" s="68">
        <v>6.361E-2</v>
      </c>
      <c r="G2" s="65" t="s">
        <v>328</v>
      </c>
      <c r="H2" s="68">
        <v>0.342398993868889</v>
      </c>
      <c r="I2" s="68">
        <v>0.27024052821883399</v>
      </c>
      <c r="J2" s="68">
        <v>0.57773934915893699</v>
      </c>
      <c r="K2" s="68">
        <v>0.50259393177173395</v>
      </c>
      <c r="L2" s="68">
        <v>0.23015249174658101</v>
      </c>
      <c r="M2" s="68">
        <v>0.667033485301053</v>
      </c>
      <c r="N2" s="68">
        <v>0.22575066813394101</v>
      </c>
      <c r="O2" s="68">
        <v>0.44411256091809498</v>
      </c>
      <c r="P2" s="68">
        <v>0.16852696116962701</v>
      </c>
      <c r="Q2" s="56">
        <v>0.57145102971230899</v>
      </c>
      <c r="R2" s="92"/>
    </row>
    <row r="3" spans="1:18" x14ac:dyDescent="0.25">
      <c r="A3" s="61" t="s">
        <v>17</v>
      </c>
      <c r="B3" s="62" t="s">
        <v>29</v>
      </c>
      <c r="C3" s="62" t="s">
        <v>18</v>
      </c>
      <c r="D3" s="62" t="s">
        <v>15</v>
      </c>
      <c r="E3" s="62" t="s">
        <v>21</v>
      </c>
      <c r="F3" s="69">
        <v>5.3350000000000002E-2</v>
      </c>
      <c r="G3" s="66" t="s">
        <v>341</v>
      </c>
      <c r="H3" s="69">
        <v>0.177132146204311</v>
      </c>
      <c r="I3" s="69">
        <v>0.47778819119025301</v>
      </c>
      <c r="J3" s="69">
        <v>0.548266166822868</v>
      </c>
      <c r="K3" s="69">
        <v>0.50384254920337401</v>
      </c>
      <c r="L3" s="69">
        <v>0.21949390815370201</v>
      </c>
      <c r="M3" s="69">
        <v>0.66560449859418902</v>
      </c>
      <c r="N3" s="69">
        <v>0.22492970946579199</v>
      </c>
      <c r="O3" s="69">
        <v>0.44910965323336499</v>
      </c>
      <c r="P3" s="69">
        <v>0.15913776944704799</v>
      </c>
      <c r="Q3" s="57">
        <v>0.57469540768509797</v>
      </c>
      <c r="R3" s="92"/>
    </row>
    <row r="4" spans="1:18" x14ac:dyDescent="0.25">
      <c r="A4" s="61" t="s">
        <v>26</v>
      </c>
      <c r="B4" s="62" t="s">
        <v>29</v>
      </c>
      <c r="C4" s="62" t="s">
        <v>18</v>
      </c>
      <c r="D4" s="62" t="s">
        <v>11</v>
      </c>
      <c r="E4" s="62" t="s">
        <v>21</v>
      </c>
      <c r="F4" s="69">
        <v>5.1650000000000001E-2</v>
      </c>
      <c r="G4" s="66" t="s">
        <v>341</v>
      </c>
      <c r="H4" s="69">
        <v>0.34385285575992303</v>
      </c>
      <c r="I4" s="69">
        <v>0.28712487899322398</v>
      </c>
      <c r="J4" s="69">
        <v>0.34346563407550801</v>
      </c>
      <c r="K4" s="69">
        <v>0.50919651500483998</v>
      </c>
      <c r="L4" s="69">
        <v>0.23291384317521799</v>
      </c>
      <c r="M4" s="69">
        <v>0.66389157792836395</v>
      </c>
      <c r="N4" s="69">
        <v>0.230784123910939</v>
      </c>
      <c r="O4" s="69">
        <v>0.43601161665053201</v>
      </c>
      <c r="P4" s="69">
        <v>0.355082284607938</v>
      </c>
      <c r="Q4" s="57">
        <v>0.59767666989351398</v>
      </c>
      <c r="R4" s="92"/>
    </row>
    <row r="5" spans="1:18" ht="15.75" thickBot="1" x14ac:dyDescent="0.3">
      <c r="A5" s="63" t="s">
        <v>17</v>
      </c>
      <c r="B5" s="64" t="s">
        <v>29</v>
      </c>
      <c r="C5" s="64" t="s">
        <v>24</v>
      </c>
      <c r="D5" s="64" t="s">
        <v>11</v>
      </c>
      <c r="E5" s="64" t="s">
        <v>21</v>
      </c>
      <c r="F5" s="70">
        <v>5.0810000000000001E-2</v>
      </c>
      <c r="G5" s="67" t="s">
        <v>197</v>
      </c>
      <c r="H5" s="70">
        <v>0.345601259594568</v>
      </c>
      <c r="I5" s="70">
        <v>0.28065341468214899</v>
      </c>
      <c r="J5" s="70">
        <v>0.57646132651052895</v>
      </c>
      <c r="K5" s="70">
        <v>0.27002558551466199</v>
      </c>
      <c r="L5" s="70">
        <v>0.22377484747097001</v>
      </c>
      <c r="M5" s="70">
        <v>0.66856917929541404</v>
      </c>
      <c r="N5" s="70">
        <v>0.235189923243456</v>
      </c>
      <c r="O5" s="70">
        <v>0.661877583152923</v>
      </c>
      <c r="P5" s="70">
        <v>0.15705569769730399</v>
      </c>
      <c r="Q5" s="58">
        <v>0.580791182838024</v>
      </c>
      <c r="R5" s="92"/>
    </row>
    <row r="6" spans="1:18" x14ac:dyDescent="0.25">
      <c r="A6" s="59" t="s">
        <v>17</v>
      </c>
      <c r="B6" s="60" t="s">
        <v>29</v>
      </c>
      <c r="C6" s="60" t="s">
        <v>24</v>
      </c>
      <c r="D6" s="60" t="s">
        <v>15</v>
      </c>
      <c r="E6" s="60" t="s">
        <v>21</v>
      </c>
      <c r="F6" s="68">
        <v>4.2720000000000001E-2</v>
      </c>
      <c r="G6" s="65" t="s">
        <v>310</v>
      </c>
      <c r="H6" s="68">
        <v>0.174859550561798</v>
      </c>
      <c r="I6" s="68">
        <v>0.46301498127340801</v>
      </c>
      <c r="J6" s="68">
        <v>0.558520599250936</v>
      </c>
      <c r="K6" s="68">
        <v>0.28113295880149802</v>
      </c>
      <c r="L6" s="68">
        <v>0.22097378277153601</v>
      </c>
      <c r="M6" s="68">
        <v>0.66198501872659199</v>
      </c>
      <c r="N6" s="68">
        <v>0.23361423220973801</v>
      </c>
      <c r="O6" s="68">
        <v>0.675561797752809</v>
      </c>
      <c r="P6" s="68">
        <v>0.16104868913857701</v>
      </c>
      <c r="Q6" s="56">
        <v>0.56928838951310901</v>
      </c>
      <c r="R6" s="92"/>
    </row>
    <row r="7" spans="1:18" x14ac:dyDescent="0.25">
      <c r="A7" s="61" t="s">
        <v>17</v>
      </c>
      <c r="B7" s="62" t="s">
        <v>217</v>
      </c>
      <c r="C7" s="62" t="s">
        <v>18</v>
      </c>
      <c r="D7" s="62" t="s">
        <v>11</v>
      </c>
      <c r="E7" s="62" t="s">
        <v>21</v>
      </c>
      <c r="F7" s="69">
        <v>4.2639999999999997E-2</v>
      </c>
      <c r="G7" s="66" t="s">
        <v>310</v>
      </c>
      <c r="H7" s="69">
        <v>0.36421200750469002</v>
      </c>
      <c r="I7" s="69">
        <v>0.2593808630394</v>
      </c>
      <c r="J7" s="69">
        <v>0.57035647279549695</v>
      </c>
      <c r="K7" s="69">
        <v>0.49671669793620998</v>
      </c>
      <c r="L7" s="69">
        <v>0.23287992495309601</v>
      </c>
      <c r="M7" s="69">
        <v>0.66627579737335796</v>
      </c>
      <c r="N7" s="69">
        <v>0.42354596622889301</v>
      </c>
      <c r="O7" s="69">
        <v>0.45333020637898702</v>
      </c>
      <c r="P7" s="69">
        <v>0.15666041275797399</v>
      </c>
      <c r="Q7" s="57">
        <v>0.37664165103189501</v>
      </c>
      <c r="R7" s="92"/>
    </row>
    <row r="8" spans="1:18" x14ac:dyDescent="0.25">
      <c r="A8" s="61" t="s">
        <v>26</v>
      </c>
      <c r="B8" s="62" t="s">
        <v>29</v>
      </c>
      <c r="C8" s="62" t="s">
        <v>24</v>
      </c>
      <c r="D8" s="62" t="s">
        <v>11</v>
      </c>
      <c r="E8" s="62" t="s">
        <v>21</v>
      </c>
      <c r="F8" s="69">
        <v>4.2270000000000002E-2</v>
      </c>
      <c r="G8" s="66" t="s">
        <v>342</v>
      </c>
      <c r="H8" s="69">
        <v>0.34871066950556001</v>
      </c>
      <c r="I8" s="69">
        <v>0.282469836763662</v>
      </c>
      <c r="J8" s="69">
        <v>0.34350603264726798</v>
      </c>
      <c r="K8" s="69">
        <v>0.28223326236101298</v>
      </c>
      <c r="L8" s="69">
        <v>0.232789212207239</v>
      </c>
      <c r="M8" s="69">
        <v>0.66051573219777604</v>
      </c>
      <c r="N8" s="69">
        <v>0.247220250768867</v>
      </c>
      <c r="O8" s="69">
        <v>0.66501064584811898</v>
      </c>
      <c r="P8" s="69">
        <v>0.36598060089898299</v>
      </c>
      <c r="Q8" s="57">
        <v>0.57156375680151394</v>
      </c>
      <c r="R8" s="92"/>
    </row>
    <row r="9" spans="1:18" ht="15.75" thickBot="1" x14ac:dyDescent="0.3">
      <c r="A9" s="63" t="s">
        <v>26</v>
      </c>
      <c r="B9" s="64" t="s">
        <v>29</v>
      </c>
      <c r="C9" s="64" t="s">
        <v>18</v>
      </c>
      <c r="D9" s="64" t="s">
        <v>15</v>
      </c>
      <c r="E9" s="64" t="s">
        <v>21</v>
      </c>
      <c r="F9" s="70">
        <v>4.1610000000000001E-2</v>
      </c>
      <c r="G9" s="67" t="s">
        <v>342</v>
      </c>
      <c r="H9" s="70">
        <v>0.187454938716655</v>
      </c>
      <c r="I9" s="70">
        <v>0.48209565008411398</v>
      </c>
      <c r="J9" s="70">
        <v>0.33789954337899503</v>
      </c>
      <c r="K9" s="70">
        <v>0.51117519826964697</v>
      </c>
      <c r="L9" s="70">
        <v>0.22590723383802</v>
      </c>
      <c r="M9" s="70">
        <v>0.64768084595049302</v>
      </c>
      <c r="N9" s="70">
        <v>0.23023311703917301</v>
      </c>
      <c r="O9" s="70">
        <v>0.455659697188176</v>
      </c>
      <c r="P9" s="70">
        <v>0.33621725546743603</v>
      </c>
      <c r="Q9" s="58">
        <v>0.58567652006729198</v>
      </c>
      <c r="R9" s="92"/>
    </row>
    <row r="10" spans="1:18" x14ac:dyDescent="0.25">
      <c r="A10" s="59" t="s">
        <v>17</v>
      </c>
      <c r="B10" s="60" t="s">
        <v>29</v>
      </c>
      <c r="C10" s="60" t="s">
        <v>18</v>
      </c>
      <c r="D10" s="60" t="s">
        <v>11</v>
      </c>
      <c r="E10" s="60" t="s">
        <v>19</v>
      </c>
      <c r="F10" s="68">
        <v>3.7330000000000002E-2</v>
      </c>
      <c r="G10" s="65" t="s">
        <v>294</v>
      </c>
      <c r="H10" s="68">
        <v>0.35279935708545401</v>
      </c>
      <c r="I10" s="68">
        <v>0.266809536565765</v>
      </c>
      <c r="J10" s="68">
        <v>0.56576480042860999</v>
      </c>
      <c r="K10" s="68">
        <v>0.51593892311813505</v>
      </c>
      <c r="L10" s="68">
        <v>0.42084114653094001</v>
      </c>
      <c r="M10" s="68">
        <v>0.450040182159121</v>
      </c>
      <c r="N10" s="68">
        <v>0.21751942137690899</v>
      </c>
      <c r="O10" s="68">
        <v>0.44387891776051402</v>
      </c>
      <c r="P10" s="68">
        <v>0.17572997589070499</v>
      </c>
      <c r="Q10" s="56">
        <v>0.59067773908384702</v>
      </c>
      <c r="R10" s="92"/>
    </row>
    <row r="11" spans="1:18" x14ac:dyDescent="0.25">
      <c r="A11" s="61" t="s">
        <v>17</v>
      </c>
      <c r="B11" s="62" t="s">
        <v>217</v>
      </c>
      <c r="C11" s="62" t="s">
        <v>24</v>
      </c>
      <c r="D11" s="62" t="s">
        <v>11</v>
      </c>
      <c r="E11" s="62" t="s">
        <v>21</v>
      </c>
      <c r="F11" s="69">
        <v>3.5099999999999999E-2</v>
      </c>
      <c r="G11" s="66" t="s">
        <v>343</v>
      </c>
      <c r="H11" s="69">
        <v>0.36581196581196601</v>
      </c>
      <c r="I11" s="69">
        <v>0.26324786324786298</v>
      </c>
      <c r="J11" s="69">
        <v>0.55868945868945896</v>
      </c>
      <c r="K11" s="69">
        <v>0.28319088319088298</v>
      </c>
      <c r="L11" s="69">
        <v>0.22421652421652399</v>
      </c>
      <c r="M11" s="69">
        <v>0.67891737891737902</v>
      </c>
      <c r="N11" s="69">
        <v>0.41851851851851901</v>
      </c>
      <c r="O11" s="69">
        <v>0.673504273504274</v>
      </c>
      <c r="P11" s="69">
        <v>0.168091168091168</v>
      </c>
      <c r="Q11" s="57">
        <v>0.36581196581196601</v>
      </c>
      <c r="R11" s="92"/>
    </row>
    <row r="12" spans="1:18" x14ac:dyDescent="0.25">
      <c r="A12" s="61" t="s">
        <v>17</v>
      </c>
      <c r="B12" s="62" t="s">
        <v>217</v>
      </c>
      <c r="C12" s="62" t="s">
        <v>18</v>
      </c>
      <c r="D12" s="62" t="s">
        <v>15</v>
      </c>
      <c r="E12" s="62" t="s">
        <v>21</v>
      </c>
      <c r="F12" s="69">
        <v>3.4860000000000002E-2</v>
      </c>
      <c r="G12" s="66" t="s">
        <v>295</v>
      </c>
      <c r="H12" s="69">
        <v>0.19248422260470499</v>
      </c>
      <c r="I12" s="69">
        <v>0.448938611589214</v>
      </c>
      <c r="J12" s="69">
        <v>0.522088353413655</v>
      </c>
      <c r="K12" s="69">
        <v>0.51835915088927098</v>
      </c>
      <c r="L12" s="69">
        <v>0.22059667240390099</v>
      </c>
      <c r="M12" s="69">
        <v>0.67527251864601301</v>
      </c>
      <c r="N12" s="69">
        <v>0.42771084337349402</v>
      </c>
      <c r="O12" s="69">
        <v>0.44865174985656903</v>
      </c>
      <c r="P12" s="69">
        <v>0.15863453815261</v>
      </c>
      <c r="Q12" s="57">
        <v>0.38726333907056798</v>
      </c>
      <c r="R12" s="92"/>
    </row>
    <row r="13" spans="1:18" ht="15.75" thickBot="1" x14ac:dyDescent="0.3">
      <c r="A13" s="63" t="s">
        <v>26</v>
      </c>
      <c r="B13" s="64" t="s">
        <v>217</v>
      </c>
      <c r="C13" s="64" t="s">
        <v>18</v>
      </c>
      <c r="D13" s="64" t="s">
        <v>11</v>
      </c>
      <c r="E13" s="64" t="s">
        <v>21</v>
      </c>
      <c r="F13" s="70">
        <v>3.4070000000000003E-2</v>
      </c>
      <c r="G13" s="67" t="s">
        <v>295</v>
      </c>
      <c r="H13" s="70">
        <v>0.36043439976518898</v>
      </c>
      <c r="I13" s="70">
        <v>0.28177282066333997</v>
      </c>
      <c r="J13" s="70">
        <v>0.33724684473143501</v>
      </c>
      <c r="K13" s="70">
        <v>0.51364837100088101</v>
      </c>
      <c r="L13" s="70">
        <v>0.237745817434693</v>
      </c>
      <c r="M13" s="70">
        <v>0.68652773701203396</v>
      </c>
      <c r="N13" s="70">
        <v>0.42882301144702101</v>
      </c>
      <c r="O13" s="70">
        <v>0.43968300557675399</v>
      </c>
      <c r="P13" s="70">
        <v>0.34194305840915801</v>
      </c>
      <c r="Q13" s="58">
        <v>0.37217493395949502</v>
      </c>
      <c r="R13" s="92"/>
    </row>
    <row r="14" spans="1:18" x14ac:dyDescent="0.25">
      <c r="A14" s="59" t="s">
        <v>26</v>
      </c>
      <c r="B14" s="60" t="s">
        <v>29</v>
      </c>
      <c r="C14" s="60" t="s">
        <v>24</v>
      </c>
      <c r="D14" s="60" t="s">
        <v>15</v>
      </c>
      <c r="E14" s="60" t="s">
        <v>21</v>
      </c>
      <c r="F14" s="68">
        <v>3.397E-2</v>
      </c>
      <c r="G14" s="65" t="s">
        <v>295</v>
      </c>
      <c r="H14" s="68">
        <v>0.17868707683249899</v>
      </c>
      <c r="I14" s="68">
        <v>0.47983514866058302</v>
      </c>
      <c r="J14" s="68">
        <v>0.33882837798057103</v>
      </c>
      <c r="K14" s="68">
        <v>0.264056520459229</v>
      </c>
      <c r="L14" s="68">
        <v>0.22667059169855799</v>
      </c>
      <c r="M14" s="68">
        <v>0.67206358551663203</v>
      </c>
      <c r="N14" s="68">
        <v>0.23520753606122999</v>
      </c>
      <c r="O14" s="68">
        <v>0.68913747424197802</v>
      </c>
      <c r="P14" s="68">
        <v>0.34442154842508099</v>
      </c>
      <c r="Q14" s="56">
        <v>0.57109214012363896</v>
      </c>
      <c r="R14" s="92"/>
    </row>
    <row r="15" spans="1:18" x14ac:dyDescent="0.25">
      <c r="A15" s="61" t="s">
        <v>17</v>
      </c>
      <c r="B15" s="62" t="s">
        <v>29</v>
      </c>
      <c r="C15" s="62" t="s">
        <v>24</v>
      </c>
      <c r="D15" s="62" t="s">
        <v>11</v>
      </c>
      <c r="E15" s="62" t="s">
        <v>19</v>
      </c>
      <c r="F15" s="69">
        <v>3.007E-2</v>
      </c>
      <c r="G15" s="66" t="s">
        <v>329</v>
      </c>
      <c r="H15" s="69">
        <v>0.36647821749251702</v>
      </c>
      <c r="I15" s="69">
        <v>0.25839707349517799</v>
      </c>
      <c r="J15" s="69">
        <v>0.56235450615231097</v>
      </c>
      <c r="K15" s="69">
        <v>0.28899235118057898</v>
      </c>
      <c r="L15" s="69">
        <v>0.39707349517791801</v>
      </c>
      <c r="M15" s="69">
        <v>0.46025939474559402</v>
      </c>
      <c r="N15" s="69">
        <v>0.230462254738942</v>
      </c>
      <c r="O15" s="69">
        <v>0.68174260059860303</v>
      </c>
      <c r="P15" s="69">
        <v>0.15264383106085799</v>
      </c>
      <c r="Q15" s="57">
        <v>0.60159627535749904</v>
      </c>
      <c r="R15" s="92"/>
    </row>
    <row r="16" spans="1:18" x14ac:dyDescent="0.25">
      <c r="A16" s="61" t="s">
        <v>17</v>
      </c>
      <c r="B16" s="62" t="s">
        <v>29</v>
      </c>
      <c r="C16" s="62" t="s">
        <v>18</v>
      </c>
      <c r="D16" s="62" t="s">
        <v>15</v>
      </c>
      <c r="E16" s="62" t="s">
        <v>19</v>
      </c>
      <c r="F16" s="69">
        <v>2.988E-2</v>
      </c>
      <c r="G16" s="66" t="s">
        <v>329</v>
      </c>
      <c r="H16" s="69">
        <v>0.19477911646586299</v>
      </c>
      <c r="I16" s="69">
        <v>0.46285140562249</v>
      </c>
      <c r="J16" s="69">
        <v>0.54518072289156605</v>
      </c>
      <c r="K16" s="69">
        <v>0.50736278447121796</v>
      </c>
      <c r="L16" s="69">
        <v>0.40629183400267699</v>
      </c>
      <c r="M16" s="69">
        <v>0.46519410977242298</v>
      </c>
      <c r="N16" s="69">
        <v>0.21050870147255701</v>
      </c>
      <c r="O16" s="69">
        <v>0.45080321285140601</v>
      </c>
      <c r="P16" s="69">
        <v>0.161981258366801</v>
      </c>
      <c r="Q16" s="57">
        <v>0.59504685408299895</v>
      </c>
      <c r="R16" s="92"/>
    </row>
    <row r="17" spans="1:18" ht="15.75" thickBot="1" x14ac:dyDescent="0.3">
      <c r="A17" s="63" t="s">
        <v>26</v>
      </c>
      <c r="B17" s="64" t="s">
        <v>29</v>
      </c>
      <c r="C17" s="64" t="s">
        <v>18</v>
      </c>
      <c r="D17" s="64" t="s">
        <v>11</v>
      </c>
      <c r="E17" s="64" t="s">
        <v>19</v>
      </c>
      <c r="F17" s="70">
        <v>2.98E-2</v>
      </c>
      <c r="G17" s="67" t="s">
        <v>311</v>
      </c>
      <c r="H17" s="70">
        <v>0.36711409395973199</v>
      </c>
      <c r="I17" s="70">
        <v>0.28523489932885898</v>
      </c>
      <c r="J17" s="70">
        <v>0.35033557046979902</v>
      </c>
      <c r="K17" s="70">
        <v>0.50201342281879202</v>
      </c>
      <c r="L17" s="70">
        <v>0.41375838926174502</v>
      </c>
      <c r="M17" s="70">
        <v>0.44865771812080502</v>
      </c>
      <c r="N17" s="70">
        <v>0.24161073825503401</v>
      </c>
      <c r="O17" s="70">
        <v>0.45335570469798703</v>
      </c>
      <c r="P17" s="70">
        <v>0.35167785234899301</v>
      </c>
      <c r="Q17" s="58">
        <v>0.58624161073825498</v>
      </c>
      <c r="R17" s="92"/>
    </row>
    <row r="18" spans="1:18" x14ac:dyDescent="0.25">
      <c r="A18" s="59" t="s">
        <v>17</v>
      </c>
      <c r="B18" s="60" t="s">
        <v>217</v>
      </c>
      <c r="C18" s="60" t="s">
        <v>24</v>
      </c>
      <c r="D18" s="60" t="s">
        <v>15</v>
      </c>
      <c r="E18" s="60" t="s">
        <v>21</v>
      </c>
      <c r="F18" s="68">
        <v>2.81E-2</v>
      </c>
      <c r="G18" s="65" t="s">
        <v>344</v>
      </c>
      <c r="H18" s="68">
        <v>0.167615658362989</v>
      </c>
      <c r="I18" s="68">
        <v>0.47046263345195699</v>
      </c>
      <c r="J18" s="68">
        <v>0.54483985765124598</v>
      </c>
      <c r="K18" s="68">
        <v>0.294661921708185</v>
      </c>
      <c r="L18" s="68">
        <v>0.223487544483986</v>
      </c>
      <c r="M18" s="68">
        <v>0.68220640569394997</v>
      </c>
      <c r="N18" s="68">
        <v>0.406405693950178</v>
      </c>
      <c r="O18" s="68">
        <v>0.67935943060498205</v>
      </c>
      <c r="P18" s="68">
        <v>0.16120996441281099</v>
      </c>
      <c r="Q18" s="56">
        <v>0.36975088967971498</v>
      </c>
      <c r="R18" s="92"/>
    </row>
    <row r="19" spans="1:18" x14ac:dyDescent="0.25">
      <c r="A19" s="61" t="s">
        <v>26</v>
      </c>
      <c r="B19" s="62" t="s">
        <v>217</v>
      </c>
      <c r="C19" s="62" t="s">
        <v>18</v>
      </c>
      <c r="D19" s="62" t="s">
        <v>15</v>
      </c>
      <c r="E19" s="62" t="s">
        <v>21</v>
      </c>
      <c r="F19" s="69">
        <v>2.8070000000000001E-2</v>
      </c>
      <c r="G19" s="66" t="s">
        <v>344</v>
      </c>
      <c r="H19" s="69">
        <v>0.19273245457784099</v>
      </c>
      <c r="I19" s="69">
        <v>0.46241539009618798</v>
      </c>
      <c r="J19" s="69">
        <v>0.34342714641966499</v>
      </c>
      <c r="K19" s="69">
        <v>0.53758460990381196</v>
      </c>
      <c r="L19" s="69">
        <v>0.22978268614178801</v>
      </c>
      <c r="M19" s="69">
        <v>0.66191663697898095</v>
      </c>
      <c r="N19" s="69">
        <v>0.42394014962593501</v>
      </c>
      <c r="O19" s="69">
        <v>0.46241539009618798</v>
      </c>
      <c r="P19" s="69">
        <v>0.32276451727823302</v>
      </c>
      <c r="Q19" s="57">
        <v>0.36302101888136801</v>
      </c>
      <c r="R19" s="92"/>
    </row>
    <row r="20" spans="1:18" x14ac:dyDescent="0.25">
      <c r="A20" s="61" t="s">
        <v>26</v>
      </c>
      <c r="B20" s="62" t="s">
        <v>217</v>
      </c>
      <c r="C20" s="62" t="s">
        <v>24</v>
      </c>
      <c r="D20" s="62" t="s">
        <v>11</v>
      </c>
      <c r="E20" s="62" t="s">
        <v>21</v>
      </c>
      <c r="F20" s="69">
        <v>2.7179999999999999E-2</v>
      </c>
      <c r="G20" s="66" t="s">
        <v>312</v>
      </c>
      <c r="H20" s="69">
        <v>0.36975717439293598</v>
      </c>
      <c r="I20" s="69">
        <v>0.27557027225901398</v>
      </c>
      <c r="J20" s="69">
        <v>0.32928623988226602</v>
      </c>
      <c r="K20" s="69">
        <v>0.29543782192788798</v>
      </c>
      <c r="L20" s="69">
        <v>0.22774098601913201</v>
      </c>
      <c r="M20" s="69">
        <v>0.67880794701986802</v>
      </c>
      <c r="N20" s="69">
        <v>0.43524650478292898</v>
      </c>
      <c r="O20" s="69">
        <v>0.67660044150110399</v>
      </c>
      <c r="P20" s="69">
        <v>0.33296541574687299</v>
      </c>
      <c r="Q20" s="57">
        <v>0.37858719646799099</v>
      </c>
      <c r="R20" s="92"/>
    </row>
    <row r="21" spans="1:18" ht="15.75" thickBot="1" x14ac:dyDescent="0.3">
      <c r="A21" s="63" t="s">
        <v>26</v>
      </c>
      <c r="B21" s="64" t="s">
        <v>29</v>
      </c>
      <c r="C21" s="64" t="s">
        <v>24</v>
      </c>
      <c r="D21" s="64" t="s">
        <v>11</v>
      </c>
      <c r="E21" s="64" t="s">
        <v>19</v>
      </c>
      <c r="F21" s="70">
        <v>2.46E-2</v>
      </c>
      <c r="G21" s="67" t="s">
        <v>296</v>
      </c>
      <c r="H21" s="70">
        <v>0.36991869918699199</v>
      </c>
      <c r="I21" s="70">
        <v>0.26991869918699202</v>
      </c>
      <c r="J21" s="70">
        <v>0.33739837398374001</v>
      </c>
      <c r="K21" s="70">
        <v>0.28699186991869902</v>
      </c>
      <c r="L21" s="70">
        <v>0.431707317073171</v>
      </c>
      <c r="M21" s="70">
        <v>0.44349593495935002</v>
      </c>
      <c r="N21" s="70">
        <v>0.23943089430894299</v>
      </c>
      <c r="O21" s="70">
        <v>0.68617886178861798</v>
      </c>
      <c r="P21" s="70">
        <v>0.35040650406504098</v>
      </c>
      <c r="Q21" s="58">
        <v>0.58455284552845499</v>
      </c>
      <c r="R21" s="92"/>
    </row>
    <row r="22" spans="1:18" x14ac:dyDescent="0.25">
      <c r="A22" s="59" t="s">
        <v>17</v>
      </c>
      <c r="B22" s="60" t="s">
        <v>217</v>
      </c>
      <c r="C22" s="60" t="s">
        <v>18</v>
      </c>
      <c r="D22" s="60" t="s">
        <v>11</v>
      </c>
      <c r="E22" s="60" t="s">
        <v>19</v>
      </c>
      <c r="F22" s="68">
        <v>2.4490000000000001E-2</v>
      </c>
      <c r="G22" s="65" t="s">
        <v>296</v>
      </c>
      <c r="H22" s="68">
        <v>0.35810534912209102</v>
      </c>
      <c r="I22" s="68">
        <v>0.268681094324214</v>
      </c>
      <c r="J22" s="68">
        <v>0.57982850142915499</v>
      </c>
      <c r="K22" s="68">
        <v>0.50102082482646004</v>
      </c>
      <c r="L22" s="68">
        <v>0.42711310739077202</v>
      </c>
      <c r="M22" s="68">
        <v>0.46794610044916302</v>
      </c>
      <c r="N22" s="68">
        <v>0.41731318905675802</v>
      </c>
      <c r="O22" s="68">
        <v>0.45365455287872603</v>
      </c>
      <c r="P22" s="68">
        <v>0.16782360146998801</v>
      </c>
      <c r="Q22" s="56">
        <v>0.35851367905267501</v>
      </c>
      <c r="R22" s="92"/>
    </row>
    <row r="23" spans="1:18" x14ac:dyDescent="0.25">
      <c r="A23" s="61" t="s">
        <v>26</v>
      </c>
      <c r="B23" s="62" t="s">
        <v>29</v>
      </c>
      <c r="C23" s="62" t="s">
        <v>18</v>
      </c>
      <c r="D23" s="62" t="s">
        <v>15</v>
      </c>
      <c r="E23" s="62" t="s">
        <v>19</v>
      </c>
      <c r="F23" s="69">
        <v>2.4420000000000001E-2</v>
      </c>
      <c r="G23" s="66" t="s">
        <v>296</v>
      </c>
      <c r="H23" s="69">
        <v>0.184275184275184</v>
      </c>
      <c r="I23" s="69">
        <v>0.47829647829647798</v>
      </c>
      <c r="J23" s="69">
        <v>0.32350532350532402</v>
      </c>
      <c r="K23" s="69">
        <v>0.51146601146601101</v>
      </c>
      <c r="L23" s="69">
        <v>0.38861588861588903</v>
      </c>
      <c r="M23" s="69">
        <v>0.46642096642096598</v>
      </c>
      <c r="N23" s="69">
        <v>0.23587223587223599</v>
      </c>
      <c r="O23" s="69">
        <v>0.45945945945945899</v>
      </c>
      <c r="P23" s="69">
        <v>0.34643734643734603</v>
      </c>
      <c r="Q23" s="57">
        <v>0.60565110565110603</v>
      </c>
      <c r="R23" s="92"/>
    </row>
    <row r="24" spans="1:18" x14ac:dyDescent="0.25">
      <c r="A24" s="61" t="s">
        <v>17</v>
      </c>
      <c r="B24" s="62" t="s">
        <v>29</v>
      </c>
      <c r="C24" s="62" t="s">
        <v>24</v>
      </c>
      <c r="D24" s="62" t="s">
        <v>15</v>
      </c>
      <c r="E24" s="62" t="s">
        <v>19</v>
      </c>
      <c r="F24" s="69">
        <v>2.4219999999999998E-2</v>
      </c>
      <c r="G24" s="66" t="s">
        <v>296</v>
      </c>
      <c r="H24" s="69">
        <v>0.18909991742361701</v>
      </c>
      <c r="I24" s="69">
        <v>0.47440132122213002</v>
      </c>
      <c r="J24" s="69">
        <v>0.54004954582989295</v>
      </c>
      <c r="K24" s="69">
        <v>0.30305532617671299</v>
      </c>
      <c r="L24" s="69">
        <v>0.40834021469859599</v>
      </c>
      <c r="M24" s="69">
        <v>0.457473162675475</v>
      </c>
      <c r="N24" s="69">
        <v>0.218414533443435</v>
      </c>
      <c r="O24" s="69">
        <v>0.66845582163501205</v>
      </c>
      <c r="P24" s="69">
        <v>0.154830718414533</v>
      </c>
      <c r="Q24" s="57">
        <v>0.58587943848059498</v>
      </c>
      <c r="R24" s="92"/>
    </row>
    <row r="25" spans="1:18" ht="15.75" thickBot="1" x14ac:dyDescent="0.3">
      <c r="A25" s="63" t="s">
        <v>26</v>
      </c>
      <c r="B25" s="64" t="s">
        <v>217</v>
      </c>
      <c r="C25" s="64" t="s">
        <v>24</v>
      </c>
      <c r="D25" s="64" t="s">
        <v>15</v>
      </c>
      <c r="E25" s="64" t="s">
        <v>21</v>
      </c>
      <c r="F25" s="70">
        <v>2.2429999999999999E-2</v>
      </c>
      <c r="G25" s="67" t="s">
        <v>345</v>
      </c>
      <c r="H25" s="70">
        <v>0.18457423094070399</v>
      </c>
      <c r="I25" s="70">
        <v>0.46723138653588903</v>
      </c>
      <c r="J25" s="70">
        <v>0.31787784217565801</v>
      </c>
      <c r="K25" s="70">
        <v>0.294694605439144</v>
      </c>
      <c r="L25" s="70">
        <v>0.219794917521177</v>
      </c>
      <c r="M25" s="70">
        <v>0.70664288898796301</v>
      </c>
      <c r="N25" s="70">
        <v>0.42175657601426703</v>
      </c>
      <c r="O25" s="70">
        <v>0.69817209094962096</v>
      </c>
      <c r="P25" s="70">
        <v>0.32679447168970099</v>
      </c>
      <c r="Q25" s="58">
        <v>0.36246098974587598</v>
      </c>
      <c r="R25" s="92"/>
    </row>
    <row r="26" spans="1:18" x14ac:dyDescent="0.25">
      <c r="A26" s="59" t="s">
        <v>26</v>
      </c>
      <c r="B26" s="60" t="s">
        <v>217</v>
      </c>
      <c r="C26" s="60" t="s">
        <v>18</v>
      </c>
      <c r="D26" s="60" t="s">
        <v>11</v>
      </c>
      <c r="E26" s="60" t="s">
        <v>19</v>
      </c>
      <c r="F26" s="68">
        <v>2.0539999999999999E-2</v>
      </c>
      <c r="G26" s="65" t="s">
        <v>346</v>
      </c>
      <c r="H26" s="68">
        <v>0.38461538461538503</v>
      </c>
      <c r="I26" s="68">
        <v>0.28091528724440101</v>
      </c>
      <c r="J26" s="68">
        <v>0.345180136319377</v>
      </c>
      <c r="K26" s="68">
        <v>0.53748782862706901</v>
      </c>
      <c r="L26" s="68">
        <v>0.40360272638753703</v>
      </c>
      <c r="M26" s="68">
        <v>0.45959104186952299</v>
      </c>
      <c r="N26" s="68">
        <v>0.42940603700097402</v>
      </c>
      <c r="O26" s="68">
        <v>0.458617332035054</v>
      </c>
      <c r="P26" s="68">
        <v>0.33933787731256099</v>
      </c>
      <c r="Q26" s="56">
        <v>0.36124634858812099</v>
      </c>
      <c r="R26" s="92"/>
    </row>
    <row r="27" spans="1:18" x14ac:dyDescent="0.25">
      <c r="A27" s="61" t="s">
        <v>26</v>
      </c>
      <c r="B27" s="62" t="s">
        <v>29</v>
      </c>
      <c r="C27" s="62" t="s">
        <v>24</v>
      </c>
      <c r="D27" s="62" t="s">
        <v>15</v>
      </c>
      <c r="E27" s="62" t="s">
        <v>19</v>
      </c>
      <c r="F27" s="69">
        <v>2.0469999999999999E-2</v>
      </c>
      <c r="G27" s="66" t="s">
        <v>346</v>
      </c>
      <c r="H27" s="69">
        <v>0.193942354665364</v>
      </c>
      <c r="I27" s="69">
        <v>0.46262823644357598</v>
      </c>
      <c r="J27" s="69">
        <v>0.34489496824621402</v>
      </c>
      <c r="K27" s="69">
        <v>0.30190522716169998</v>
      </c>
      <c r="L27" s="69">
        <v>0.424523693209575</v>
      </c>
      <c r="M27" s="69">
        <v>0.43917928676111401</v>
      </c>
      <c r="N27" s="69">
        <v>0.22276502198338999</v>
      </c>
      <c r="O27" s="69">
        <v>0.68050806057645297</v>
      </c>
      <c r="P27" s="69">
        <v>0.33512457254518802</v>
      </c>
      <c r="Q27" s="57">
        <v>0.59452857840742501</v>
      </c>
      <c r="R27" s="92"/>
    </row>
    <row r="28" spans="1:18" x14ac:dyDescent="0.25">
      <c r="A28" s="61" t="s">
        <v>17</v>
      </c>
      <c r="B28" s="62" t="s">
        <v>217</v>
      </c>
      <c r="C28" s="62" t="s">
        <v>18</v>
      </c>
      <c r="D28" s="62" t="s">
        <v>15</v>
      </c>
      <c r="E28" s="62" t="s">
        <v>19</v>
      </c>
      <c r="F28" s="69">
        <v>2.0109999999999999E-2</v>
      </c>
      <c r="G28" s="66" t="s">
        <v>313</v>
      </c>
      <c r="H28" s="69">
        <v>0.184485330681253</v>
      </c>
      <c r="I28" s="69">
        <v>0.46096469418199898</v>
      </c>
      <c r="J28" s="69">
        <v>0.54152163102933903</v>
      </c>
      <c r="K28" s="69">
        <v>0.53804077573346598</v>
      </c>
      <c r="L28" s="69">
        <v>0.385877672799602</v>
      </c>
      <c r="M28" s="69">
        <v>0.45400298359025398</v>
      </c>
      <c r="N28" s="69">
        <v>0.42366981601193399</v>
      </c>
      <c r="O28" s="69">
        <v>0.46544007956240702</v>
      </c>
      <c r="P28" s="69">
        <v>0.15663848831427199</v>
      </c>
      <c r="Q28" s="57">
        <v>0.389358528095475</v>
      </c>
      <c r="R28" s="92"/>
    </row>
    <row r="29" spans="1:18" ht="15.75" thickBot="1" x14ac:dyDescent="0.3">
      <c r="A29" s="63" t="s">
        <v>17</v>
      </c>
      <c r="B29" s="64" t="s">
        <v>217</v>
      </c>
      <c r="C29" s="64" t="s">
        <v>24</v>
      </c>
      <c r="D29" s="64" t="s">
        <v>11</v>
      </c>
      <c r="E29" s="64" t="s">
        <v>19</v>
      </c>
      <c r="F29" s="70">
        <v>1.9789999999999999E-2</v>
      </c>
      <c r="G29" s="67" t="s">
        <v>347</v>
      </c>
      <c r="H29" s="70">
        <v>0.37038908539666499</v>
      </c>
      <c r="I29" s="70">
        <v>0.26124305204648801</v>
      </c>
      <c r="J29" s="70">
        <v>0.54977261243052</v>
      </c>
      <c r="K29" s="70">
        <v>0.288024254674078</v>
      </c>
      <c r="L29" s="70">
        <v>0.42142496210207198</v>
      </c>
      <c r="M29" s="70">
        <v>0.46083880747852501</v>
      </c>
      <c r="N29" s="70">
        <v>0.40272865083375398</v>
      </c>
      <c r="O29" s="70">
        <v>0.69277412834764995</v>
      </c>
      <c r="P29" s="70">
        <v>0.17281455280444699</v>
      </c>
      <c r="Q29" s="58">
        <v>0.37998989388580101</v>
      </c>
      <c r="R29" s="92"/>
    </row>
    <row r="30" spans="1:18" x14ac:dyDescent="0.25">
      <c r="A30" s="59" t="s">
        <v>26</v>
      </c>
      <c r="B30" s="60" t="s">
        <v>217</v>
      </c>
      <c r="C30" s="60" t="s">
        <v>18</v>
      </c>
      <c r="D30" s="60" t="s">
        <v>15</v>
      </c>
      <c r="E30" s="60" t="s">
        <v>19</v>
      </c>
      <c r="F30" s="68">
        <v>1.6910000000000001E-2</v>
      </c>
      <c r="G30" s="65" t="s">
        <v>348</v>
      </c>
      <c r="H30" s="68">
        <v>0.20756948551153201</v>
      </c>
      <c r="I30" s="68">
        <v>0.45239503252513302</v>
      </c>
      <c r="J30" s="68">
        <v>0.33293908929627403</v>
      </c>
      <c r="K30" s="68">
        <v>0.500887049083383</v>
      </c>
      <c r="L30" s="68">
        <v>0.40567711413364899</v>
      </c>
      <c r="M30" s="68">
        <v>0.46658781785925502</v>
      </c>
      <c r="N30" s="68">
        <v>0.437019515079834</v>
      </c>
      <c r="O30" s="68">
        <v>0.48018923713778799</v>
      </c>
      <c r="P30" s="68">
        <v>0.342400946185689</v>
      </c>
      <c r="Q30" s="56">
        <v>0.37433471318746298</v>
      </c>
      <c r="R30" s="92"/>
    </row>
    <row r="31" spans="1:18" x14ac:dyDescent="0.25">
      <c r="A31" s="61" t="s">
        <v>26</v>
      </c>
      <c r="B31" s="62" t="s">
        <v>217</v>
      </c>
      <c r="C31" s="62" t="s">
        <v>24</v>
      </c>
      <c r="D31" s="62" t="s">
        <v>11</v>
      </c>
      <c r="E31" s="62" t="s">
        <v>19</v>
      </c>
      <c r="F31" s="69">
        <v>1.5890000000000001E-2</v>
      </c>
      <c r="G31" s="66" t="s">
        <v>349</v>
      </c>
      <c r="H31" s="69">
        <v>0.3725613593455</v>
      </c>
      <c r="I31" s="69">
        <v>0.28067967275015698</v>
      </c>
      <c r="J31" s="69">
        <v>0.31025802391441198</v>
      </c>
      <c r="K31" s="69">
        <v>0.31718061674008802</v>
      </c>
      <c r="L31" s="69">
        <v>0.41850220264317201</v>
      </c>
      <c r="M31" s="69">
        <v>0.47577092511013203</v>
      </c>
      <c r="N31" s="69">
        <v>0.42164883574575202</v>
      </c>
      <c r="O31" s="69">
        <v>0.69666456891126505</v>
      </c>
      <c r="P31" s="69">
        <v>0.32662051604782899</v>
      </c>
      <c r="Q31" s="57">
        <v>0.38011327879169299</v>
      </c>
      <c r="R31" s="92"/>
    </row>
    <row r="32" spans="1:18" x14ac:dyDescent="0.25">
      <c r="A32" s="61" t="s">
        <v>17</v>
      </c>
      <c r="B32" s="62" t="s">
        <v>217</v>
      </c>
      <c r="C32" s="62" t="s">
        <v>24</v>
      </c>
      <c r="D32" s="62" t="s">
        <v>15</v>
      </c>
      <c r="E32" s="62" t="s">
        <v>19</v>
      </c>
      <c r="F32" s="69">
        <v>1.5779999999999999E-2</v>
      </c>
      <c r="G32" s="66" t="s">
        <v>349</v>
      </c>
      <c r="H32" s="69">
        <v>0.19201520912547501</v>
      </c>
      <c r="I32" s="69">
        <v>0.483523447401774</v>
      </c>
      <c r="J32" s="69">
        <v>0.53358681875792102</v>
      </c>
      <c r="K32" s="69">
        <v>0.315589353612167</v>
      </c>
      <c r="L32" s="69">
        <v>0.37642585551330798</v>
      </c>
      <c r="M32" s="69">
        <v>0.44233206590620999</v>
      </c>
      <c r="N32" s="69">
        <v>0.40430925221799702</v>
      </c>
      <c r="O32" s="69">
        <v>0.69835234474017704</v>
      </c>
      <c r="P32" s="69">
        <v>0.167934093789607</v>
      </c>
      <c r="Q32" s="57">
        <v>0.38593155893536102</v>
      </c>
      <c r="R32" s="92"/>
    </row>
    <row r="33" spans="1:28" ht="15.75" thickBot="1" x14ac:dyDescent="0.3">
      <c r="A33" s="63" t="s">
        <v>26</v>
      </c>
      <c r="B33" s="64" t="s">
        <v>217</v>
      </c>
      <c r="C33" s="64" t="s">
        <v>24</v>
      </c>
      <c r="D33" s="64" t="s">
        <v>15</v>
      </c>
      <c r="E33" s="64" t="s">
        <v>19</v>
      </c>
      <c r="F33" s="70">
        <v>1.3259999999999999E-2</v>
      </c>
      <c r="G33" s="67" t="s">
        <v>350</v>
      </c>
      <c r="H33" s="70">
        <v>0.21493212669683301</v>
      </c>
      <c r="I33" s="70">
        <v>0.46907993966817502</v>
      </c>
      <c r="J33" s="70">
        <v>0.34389140271493202</v>
      </c>
      <c r="K33" s="70">
        <v>0.31221719457013603</v>
      </c>
      <c r="L33" s="70">
        <v>0.41930618401206599</v>
      </c>
      <c r="M33" s="70">
        <v>0.47963800904977399</v>
      </c>
      <c r="N33" s="70">
        <v>0.38687782805429899</v>
      </c>
      <c r="O33" s="70">
        <v>0.67571644042232304</v>
      </c>
      <c r="P33" s="70">
        <v>0.322021116138763</v>
      </c>
      <c r="Q33" s="58">
        <v>0.37631975867270001</v>
      </c>
      <c r="R33" s="92"/>
    </row>
    <row r="34" spans="1:28" x14ac:dyDescent="0.25">
      <c r="S34" s="55"/>
      <c r="T34" s="55"/>
      <c r="U34" s="55"/>
      <c r="V34" s="55"/>
      <c r="W34" s="55"/>
      <c r="X34" s="55"/>
      <c r="Y34" s="55"/>
      <c r="Z34" s="55"/>
      <c r="AA34" s="55"/>
      <c r="AB34" s="55"/>
    </row>
    <row r="35" spans="1:28" ht="15.75" thickBot="1" x14ac:dyDescent="0.3">
      <c r="R35" s="33"/>
      <c r="S35" s="72" t="s">
        <v>11</v>
      </c>
      <c r="T35" s="72" t="s">
        <v>15</v>
      </c>
      <c r="U35" s="72" t="s">
        <v>17</v>
      </c>
      <c r="V35" s="72" t="s">
        <v>18</v>
      </c>
      <c r="W35" s="72" t="s">
        <v>19</v>
      </c>
      <c r="X35" s="72" t="s">
        <v>21</v>
      </c>
      <c r="Y35" s="72" t="s">
        <v>23</v>
      </c>
      <c r="Z35" s="72" t="s">
        <v>24</v>
      </c>
      <c r="AA35" s="72" t="s">
        <v>26</v>
      </c>
      <c r="AB35" s="72" t="s">
        <v>29</v>
      </c>
    </row>
    <row r="36" spans="1:28" ht="30.75" thickBot="1" x14ac:dyDescent="0.3">
      <c r="R36" s="87" t="s">
        <v>191</v>
      </c>
      <c r="S36" s="73" t="str">
        <f>'Data Import'!AD2</f>
        <v>0.40812</v>
      </c>
      <c r="T36" s="73" t="str">
        <f>'Data Import'!AD3</f>
        <v>0.42356</v>
      </c>
      <c r="U36" s="73" t="str">
        <f>'Data Import'!AD4</f>
        <v>0.10425</v>
      </c>
      <c r="V36" s="73" t="str">
        <f>'Data Import'!AD5</f>
        <v>0.50465</v>
      </c>
      <c r="W36" s="73" t="str">
        <f>'Data Import'!AD6</f>
        <v>0.35217</v>
      </c>
      <c r="X36" s="73" t="str">
        <f>'Data Import'!AD7</f>
        <v>0.36932</v>
      </c>
      <c r="Y36" s="73" t="str">
        <f>'Data Import'!AD8</f>
        <v>0.50539</v>
      </c>
      <c r="Z36" s="74" t="str">
        <f>'Data Import'!AD9</f>
        <v>0.52194</v>
      </c>
      <c r="AA36" s="73" t="str">
        <f>'Data Import'!AD10</f>
        <v>0.51526</v>
      </c>
      <c r="AB36" s="74" t="str">
        <f>'Data Import'!AD11</f>
        <v>0.29534</v>
      </c>
    </row>
    <row r="37" spans="1:28" ht="30" hidden="1" x14ac:dyDescent="0.25">
      <c r="R37" s="88" t="s">
        <v>192</v>
      </c>
      <c r="S37" s="75">
        <f t="shared" ref="S37:AB37" si="0">SUMIF(H$2:H$33,1,$F$2:$F$33)</f>
        <v>0</v>
      </c>
      <c r="T37" s="75">
        <f t="shared" si="0"/>
        <v>0</v>
      </c>
      <c r="U37" s="75">
        <f t="shared" si="0"/>
        <v>0</v>
      </c>
      <c r="V37" s="75">
        <f t="shared" si="0"/>
        <v>0</v>
      </c>
      <c r="W37" s="75">
        <f t="shared" si="0"/>
        <v>0</v>
      </c>
      <c r="X37" s="75">
        <f t="shared" si="0"/>
        <v>0</v>
      </c>
      <c r="Y37" s="75">
        <f t="shared" si="0"/>
        <v>0</v>
      </c>
      <c r="Z37" s="76">
        <f t="shared" si="0"/>
        <v>0</v>
      </c>
      <c r="AA37" s="75">
        <f t="shared" si="0"/>
        <v>0</v>
      </c>
      <c r="AB37" s="76">
        <f t="shared" si="0"/>
        <v>0</v>
      </c>
    </row>
    <row r="38" spans="1:28" ht="45.75" hidden="1" thickBot="1" x14ac:dyDescent="0.3">
      <c r="R38" s="89" t="s">
        <v>190</v>
      </c>
      <c r="S38" s="77">
        <f t="shared" ref="S38:AB38" si="1">SUMIF(H$2:H$33,0,$F$2:$F$33)</f>
        <v>0</v>
      </c>
      <c r="T38" s="77">
        <f t="shared" si="1"/>
        <v>0</v>
      </c>
      <c r="U38" s="77">
        <f>SUMIF(J$2:J$33,0,$F$2:$F$33)</f>
        <v>0</v>
      </c>
      <c r="V38" s="77">
        <f t="shared" si="1"/>
        <v>0</v>
      </c>
      <c r="W38" s="77">
        <f t="shared" si="1"/>
        <v>0</v>
      </c>
      <c r="X38" s="77">
        <f t="shared" si="1"/>
        <v>0</v>
      </c>
      <c r="Y38" s="77">
        <f t="shared" si="1"/>
        <v>0</v>
      </c>
      <c r="Z38" s="78">
        <f t="shared" si="1"/>
        <v>0</v>
      </c>
      <c r="AA38" s="77">
        <f t="shared" si="1"/>
        <v>0</v>
      </c>
      <c r="AB38" s="78">
        <f t="shared" si="1"/>
        <v>0</v>
      </c>
    </row>
    <row r="39" spans="1:28" ht="15.75" hidden="1" thickBot="1" x14ac:dyDescent="0.3">
      <c r="F39" s="71"/>
      <c r="R39" s="95"/>
      <c r="S39" s="93"/>
      <c r="T39" s="93"/>
      <c r="U39" s="93"/>
      <c r="V39" s="93"/>
      <c r="W39" s="93"/>
      <c r="X39" s="93"/>
      <c r="Y39" s="93"/>
      <c r="Z39" s="94"/>
      <c r="AA39" s="79"/>
      <c r="AB39" s="79"/>
    </row>
    <row r="40" spans="1:28" ht="30" x14ac:dyDescent="0.25">
      <c r="R40" s="87" t="s">
        <v>205</v>
      </c>
      <c r="S40" s="73">
        <f>'Data Import'!AB15</f>
        <v>0.57872999999999997</v>
      </c>
      <c r="T40" s="73">
        <f>'Data Import'!AB16</f>
        <v>0.28717999999999999</v>
      </c>
      <c r="U40" s="73">
        <f>'Data Import'!AB17</f>
        <v>0.45213999999999999</v>
      </c>
      <c r="V40" s="73">
        <f>'Data Import'!AB18</f>
        <v>0.54786000000000001</v>
      </c>
      <c r="W40" s="73">
        <f>'Data Import'!AB19</f>
        <v>0.71282000000000001</v>
      </c>
      <c r="X40" s="73">
        <f>'Data Import'!AB20</f>
        <v>0.42126999999999998</v>
      </c>
      <c r="Y40" s="73">
        <f>'Data Import'!AB21</f>
        <v>0.76844000000000001</v>
      </c>
      <c r="Z40" s="74">
        <f>'Data Import'!AB22</f>
        <v>0.46549000000000001</v>
      </c>
      <c r="AA40" s="73">
        <f>'Data Import'!AB23</f>
        <v>0.23155999999999999</v>
      </c>
      <c r="AB40" s="74">
        <f>'Data Import'!AB24</f>
        <v>0.53451000000000004</v>
      </c>
    </row>
    <row r="41" spans="1:28" ht="45" x14ac:dyDescent="0.25">
      <c r="R41" s="88" t="s">
        <v>206</v>
      </c>
      <c r="S41" s="75">
        <f t="shared" ref="S41:AB41" si="2">SUMPRODUCT(H$2:H$33,$F$2:$F$33,(INDEX($A$2:$E$33,,S$50)=H$1)*1)/S40</f>
        <v>0.33986487654001013</v>
      </c>
      <c r="T41" s="75">
        <f t="shared" si="2"/>
        <v>0.73542725816561039</v>
      </c>
      <c r="U41" s="75">
        <f t="shared" si="2"/>
        <v>0.68204538417304361</v>
      </c>
      <c r="V41" s="75">
        <f t="shared" si="2"/>
        <v>0.51606249771839519</v>
      </c>
      <c r="W41" s="75">
        <f t="shared" si="2"/>
        <v>0.21137173479980925</v>
      </c>
      <c r="X41" s="75">
        <f t="shared" si="2"/>
        <v>1.0050561397678448</v>
      </c>
      <c r="Y41" s="75">
        <f t="shared" si="2"/>
        <v>0.21863775961688622</v>
      </c>
      <c r="Z41" s="76">
        <f t="shared" si="2"/>
        <v>0.65103439386452988</v>
      </c>
      <c r="AA41" s="75">
        <f t="shared" si="2"/>
        <v>0.66172914147521167</v>
      </c>
      <c r="AB41" s="76">
        <f t="shared" si="2"/>
        <v>0.65585302426521497</v>
      </c>
    </row>
    <row r="42" spans="1:28" ht="45.75" thickBot="1" x14ac:dyDescent="0.3">
      <c r="R42" s="89" t="s">
        <v>207</v>
      </c>
      <c r="S42" s="77">
        <f>SUMPRODUCT(H$2:H$33,$F$2:$F$33,(INDEX($A$2:$E$33,,S$50)&lt;&gt;H$1)*1)/(1-S40)</f>
        <v>0.19875614214161932</v>
      </c>
      <c r="T42" s="77">
        <f t="shared" ref="T42:AB42" si="3">SUMPRODUCT(I$2:I$33,$F$2:$F$33,(INDEX($A$2:$E$33,,T$50)&lt;&gt;I$1)*1)/(1-T40)</f>
        <v>0.2110771302713168</v>
      </c>
      <c r="U42" s="77">
        <f t="shared" si="3"/>
        <v>0.27552659438542698</v>
      </c>
      <c r="V42" s="77">
        <f t="shared" si="3"/>
        <v>0.28446941212898658</v>
      </c>
      <c r="W42" s="77">
        <f t="shared" si="3"/>
        <v>0.49993035726721918</v>
      </c>
      <c r="X42" s="77">
        <f t="shared" si="3"/>
        <v>0.29067095191194514</v>
      </c>
      <c r="Y42" s="77">
        <f t="shared" si="3"/>
        <v>0.59712385558818437</v>
      </c>
      <c r="Z42" s="78">
        <f t="shared" si="3"/>
        <v>0.46659557351593056</v>
      </c>
      <c r="AA42" s="77">
        <f t="shared" si="3"/>
        <v>0.11683410546041335</v>
      </c>
      <c r="AB42" s="78">
        <f t="shared" si="3"/>
        <v>0.32026466733979247</v>
      </c>
    </row>
    <row r="43" spans="1:28" ht="15.75" thickBot="1" x14ac:dyDescent="0.3">
      <c r="R43" s="80"/>
      <c r="S43" s="79"/>
      <c r="T43" s="79"/>
      <c r="U43" s="79"/>
      <c r="V43" s="79"/>
      <c r="W43" s="79"/>
      <c r="X43" s="79"/>
      <c r="Y43" s="79"/>
      <c r="Z43" s="79"/>
      <c r="AA43" s="79"/>
      <c r="AB43" s="79"/>
    </row>
    <row r="44" spans="1:28" x14ac:dyDescent="0.25">
      <c r="R44" s="90" t="s">
        <v>188</v>
      </c>
      <c r="S44" s="81">
        <f>MIN(H$2:H$33)</f>
        <v>0.167615658362989</v>
      </c>
      <c r="T44" s="81">
        <f t="shared" ref="T44:AB44" si="4">MIN(I$2:I$33)</f>
        <v>0.25839707349517799</v>
      </c>
      <c r="U44" s="81">
        <f t="shared" si="4"/>
        <v>0.31025802391441198</v>
      </c>
      <c r="V44" s="81">
        <f t="shared" si="4"/>
        <v>0.264056520459229</v>
      </c>
      <c r="W44" s="81">
        <f t="shared" si="4"/>
        <v>0.21949390815370201</v>
      </c>
      <c r="X44" s="81">
        <f t="shared" si="4"/>
        <v>0.43917928676111401</v>
      </c>
      <c r="Y44" s="81">
        <f t="shared" si="4"/>
        <v>0.21050870147255701</v>
      </c>
      <c r="Z44" s="82">
        <f t="shared" si="4"/>
        <v>0.43601161665053201</v>
      </c>
      <c r="AA44" s="81">
        <f t="shared" si="4"/>
        <v>0.15264383106085799</v>
      </c>
      <c r="AB44" s="82">
        <f t="shared" si="4"/>
        <v>0.35851367905267501</v>
      </c>
    </row>
    <row r="45" spans="1:28" x14ac:dyDescent="0.25">
      <c r="R45" s="88" t="s">
        <v>187</v>
      </c>
      <c r="S45" s="83">
        <f t="shared" ref="S45:AB45" si="5">MAX(H$2:H$33)</f>
        <v>0.38461538461538503</v>
      </c>
      <c r="T45" s="83">
        <f t="shared" si="5"/>
        <v>0.483523447401774</v>
      </c>
      <c r="U45" s="83">
        <f t="shared" si="5"/>
        <v>0.57982850142915499</v>
      </c>
      <c r="V45" s="83">
        <f t="shared" si="5"/>
        <v>0.53804077573346598</v>
      </c>
      <c r="W45" s="83">
        <f t="shared" si="5"/>
        <v>0.431707317073171</v>
      </c>
      <c r="X45" s="83">
        <f t="shared" si="5"/>
        <v>0.70664288898796301</v>
      </c>
      <c r="Y45" s="83">
        <f t="shared" si="5"/>
        <v>0.437019515079834</v>
      </c>
      <c r="Z45" s="84">
        <f t="shared" si="5"/>
        <v>0.69835234474017704</v>
      </c>
      <c r="AA45" s="83">
        <f t="shared" si="5"/>
        <v>0.36598060089898299</v>
      </c>
      <c r="AB45" s="84">
        <f t="shared" si="5"/>
        <v>0.60565110565110603</v>
      </c>
    </row>
    <row r="46" spans="1:28" ht="30.75" thickBot="1" x14ac:dyDescent="0.3">
      <c r="M46" s="21"/>
      <c r="R46" s="89" t="s">
        <v>189</v>
      </c>
      <c r="S46" s="85">
        <f>S45-S44</f>
        <v>0.21699972625239602</v>
      </c>
      <c r="T46" s="85">
        <f t="shared" ref="T46:AB46" si="6">T45-T44</f>
        <v>0.22512637390659601</v>
      </c>
      <c r="U46" s="85">
        <f t="shared" si="6"/>
        <v>0.269570477514743</v>
      </c>
      <c r="V46" s="85">
        <f t="shared" si="6"/>
        <v>0.27398425527423698</v>
      </c>
      <c r="W46" s="85">
        <f t="shared" si="6"/>
        <v>0.21221340891946899</v>
      </c>
      <c r="X46" s="85">
        <f t="shared" si="6"/>
        <v>0.26746360222684901</v>
      </c>
      <c r="Y46" s="85">
        <f t="shared" si="6"/>
        <v>0.22651081360727698</v>
      </c>
      <c r="Z46" s="86">
        <f t="shared" si="6"/>
        <v>0.26234072808964504</v>
      </c>
      <c r="AA46" s="85">
        <f t="shared" si="6"/>
        <v>0.213336769838125</v>
      </c>
      <c r="AB46" s="86">
        <f t="shared" si="6"/>
        <v>0.24713742659843102</v>
      </c>
    </row>
    <row r="48" spans="1:28" x14ac:dyDescent="0.25">
      <c r="S48" s="55"/>
      <c r="T48" s="55"/>
      <c r="U48" s="55"/>
      <c r="V48" s="55"/>
      <c r="W48" s="55"/>
      <c r="X48" s="55"/>
      <c r="Y48" s="55"/>
      <c r="Z48" s="55"/>
      <c r="AA48" s="55"/>
      <c r="AB48" s="55"/>
    </row>
    <row r="49" spans="19:28" x14ac:dyDescent="0.25">
      <c r="S49" s="55"/>
      <c r="T49" s="55"/>
      <c r="U49" s="55"/>
      <c r="V49" s="55"/>
      <c r="W49" s="55"/>
      <c r="X49" s="55"/>
      <c r="Y49" s="55"/>
      <c r="Z49" s="55"/>
      <c r="AA49" s="55"/>
      <c r="AB49" s="55"/>
    </row>
    <row r="50" spans="19:28" x14ac:dyDescent="0.25">
      <c r="S50">
        <f t="shared" ref="S50:AB50" si="7">IFERROR(MATCH(H$1,$S$54:$W$54,0),MATCH(H$1,$S$53:$W$53,0))</f>
        <v>4</v>
      </c>
      <c r="T50">
        <f t="shared" si="7"/>
        <v>4</v>
      </c>
      <c r="U50">
        <f t="shared" si="7"/>
        <v>1</v>
      </c>
      <c r="V50">
        <f t="shared" si="7"/>
        <v>3</v>
      </c>
      <c r="W50">
        <f t="shared" si="7"/>
        <v>5</v>
      </c>
      <c r="X50">
        <f t="shared" si="7"/>
        <v>5</v>
      </c>
      <c r="Y50">
        <f t="shared" si="7"/>
        <v>2</v>
      </c>
      <c r="Z50">
        <f t="shared" si="7"/>
        <v>3</v>
      </c>
      <c r="AA50">
        <f t="shared" si="7"/>
        <v>1</v>
      </c>
      <c r="AB50">
        <f t="shared" si="7"/>
        <v>2</v>
      </c>
    </row>
    <row r="52" spans="19:28" x14ac:dyDescent="0.25">
      <c r="S52">
        <f>SEARCH(".vs.",A1)</f>
        <v>6</v>
      </c>
      <c r="T52">
        <f>SEARCH(".vs.",B1)</f>
        <v>5</v>
      </c>
      <c r="U52">
        <f>SEARCH(".vs.",C1)</f>
        <v>6</v>
      </c>
      <c r="V52">
        <f>SEARCH(".vs.",D1)</f>
        <v>6</v>
      </c>
      <c r="W52">
        <f>SEARCH(".vs.",E1)</f>
        <v>5</v>
      </c>
    </row>
    <row r="53" spans="19:28" x14ac:dyDescent="0.25">
      <c r="S53" t="str">
        <f>LEFT(A1,S52-1)</f>
        <v>matty</v>
      </c>
      <c r="T53" t="str">
        <f>LEFT(B1,T52-1)</f>
        <v>seth</v>
      </c>
      <c r="U53" t="str">
        <f>LEFT(C1,U52-1)</f>
        <v>perry</v>
      </c>
      <c r="V53" t="str">
        <f>LEFT(D1,V52-1)</f>
        <v>scott</v>
      </c>
      <c r="W53" t="str">
        <f>LEFT(E1,W52-1)</f>
        <v>chad</v>
      </c>
    </row>
    <row r="54" spans="19:28" x14ac:dyDescent="0.25">
      <c r="S54" t="str">
        <f>RIGHT(A1,LEN(A1)-S52-3)</f>
        <v>aj</v>
      </c>
      <c r="T54" t="str">
        <f>RIGHT(B1,LEN(B1)-T52-3)</f>
        <v>lucas</v>
      </c>
      <c r="U54" t="str">
        <f>RIGHT(C1,LEN(C1)-U52-3)</f>
        <v>devon</v>
      </c>
      <c r="V54" t="str">
        <f>RIGHT(D1,LEN(D1)-V52-3)</f>
        <v>cory</v>
      </c>
      <c r="W54" t="str">
        <f>RIGHT(E1,LEN(E1)-W52-3)</f>
        <v>comp</v>
      </c>
    </row>
  </sheetData>
  <autoFilter ref="A1:Q33"/>
  <conditionalFormatting sqref="H2:Q33">
    <cfRule type="cellIs" dxfId="12" priority="2" stopIfTrue="1" operator="equal">
      <formula>0</formula>
    </cfRule>
    <cfRule type="cellIs" dxfId="11" priority="3" stopIfTrue="1" operator="equal">
      <formula>1</formula>
    </cfRule>
  </conditionalFormatting>
  <conditionalFormatting sqref="S37:AB38">
    <cfRule type="cellIs" dxfId="10" priority="1" operator="equal">
      <formula>0</formula>
    </cfRule>
  </conditionalFormatting>
  <conditionalFormatting sqref="H2:H33">
    <cfRule type="top10" dxfId="9" priority="792" rank="1"/>
    <cfRule type="colorScale" priority="793">
      <colorScale>
        <cfvo type="num" val="0"/>
        <cfvo type="num" val="$S$36"/>
        <cfvo type="num" val="1"/>
        <color rgb="FFF8696B"/>
        <color rgb="FFFCFCFF"/>
        <color rgb="FF5A8AC6"/>
      </colorScale>
    </cfRule>
  </conditionalFormatting>
  <conditionalFormatting sqref="I2:I33">
    <cfRule type="top10" dxfId="8" priority="794" rank="1"/>
    <cfRule type="colorScale" priority="795">
      <colorScale>
        <cfvo type="num" val="0"/>
        <cfvo type="num" val="$T$36"/>
        <cfvo type="num" val="1"/>
        <color rgb="FFF8696B"/>
        <color rgb="FFFCFCFF"/>
        <color rgb="FF5A8AC6"/>
      </colorScale>
    </cfRule>
  </conditionalFormatting>
  <conditionalFormatting sqref="J2:J33">
    <cfRule type="top10" dxfId="7" priority="796" rank="1"/>
    <cfRule type="colorScale" priority="797">
      <colorScale>
        <cfvo type="num" val="0"/>
        <cfvo type="num" val="$U$36"/>
        <cfvo type="num" val="1"/>
        <color rgb="FFF8696B"/>
        <color rgb="FFFCFCFF"/>
        <color rgb="FF5A8AC6"/>
      </colorScale>
    </cfRule>
  </conditionalFormatting>
  <conditionalFormatting sqref="K2:K33">
    <cfRule type="top10" dxfId="6" priority="798" rank="1"/>
    <cfRule type="colorScale" priority="799">
      <colorScale>
        <cfvo type="num" val="0"/>
        <cfvo type="num" val="$V$36"/>
        <cfvo type="num" val="1"/>
        <color rgb="FFF8696B"/>
        <color rgb="FFFCFCFF"/>
        <color rgb="FF5A8AC6"/>
      </colorScale>
    </cfRule>
  </conditionalFormatting>
  <conditionalFormatting sqref="L2:L33">
    <cfRule type="top10" dxfId="5" priority="800" rank="1"/>
    <cfRule type="colorScale" priority="801">
      <colorScale>
        <cfvo type="num" val="0"/>
        <cfvo type="num" val="$W$36"/>
        <cfvo type="num" val="1"/>
        <color rgb="FFF8696B"/>
        <color rgb="FFFCFCFF"/>
        <color rgb="FF5A8AC6"/>
      </colorScale>
    </cfRule>
  </conditionalFormatting>
  <conditionalFormatting sqref="M2:M33">
    <cfRule type="top10" dxfId="4" priority="802" rank="1"/>
    <cfRule type="colorScale" priority="803">
      <colorScale>
        <cfvo type="num" val="0"/>
        <cfvo type="num" val="$X$36"/>
        <cfvo type="num" val="1"/>
        <color rgb="FFF8696B"/>
        <color rgb="FFFCFCFF"/>
        <color rgb="FF5A8AC6"/>
      </colorScale>
    </cfRule>
  </conditionalFormatting>
  <conditionalFormatting sqref="N2:N33">
    <cfRule type="top10" dxfId="3" priority="804" rank="1"/>
    <cfRule type="colorScale" priority="805">
      <colorScale>
        <cfvo type="num" val="0"/>
        <cfvo type="num" val="$Y$36"/>
        <cfvo type="num" val="1"/>
        <color rgb="FFF8696B"/>
        <color rgb="FFFCFCFF"/>
        <color rgb="FF5A8AC6"/>
      </colorScale>
    </cfRule>
  </conditionalFormatting>
  <conditionalFormatting sqref="O2:O33">
    <cfRule type="top10" dxfId="2" priority="806" rank="1"/>
    <cfRule type="colorScale" priority="807">
      <colorScale>
        <cfvo type="num" val="0"/>
        <cfvo type="num" val="$Z$36"/>
        <cfvo type="num" val="1"/>
        <color rgb="FFF8696B"/>
        <color rgb="FFFCFCFF"/>
        <color rgb="FF5A8AC6"/>
      </colorScale>
    </cfRule>
  </conditionalFormatting>
  <conditionalFormatting sqref="P2:P33">
    <cfRule type="top10" dxfId="1" priority="808" rank="1"/>
    <cfRule type="colorScale" priority="809">
      <colorScale>
        <cfvo type="num" val="0"/>
        <cfvo type="num" val="$AA$36"/>
        <cfvo type="num" val="1"/>
        <color rgb="FFF8696B"/>
        <color rgb="FFFCFCFF"/>
        <color rgb="FF5A8AC6"/>
      </colorScale>
    </cfRule>
  </conditionalFormatting>
  <conditionalFormatting sqref="Q2:Q33">
    <cfRule type="top10" dxfId="0" priority="810" rank="1"/>
    <cfRule type="colorScale" priority="811">
      <colorScale>
        <cfvo type="num" val="0"/>
        <cfvo type="num" val="$AB$36"/>
        <cfvo type="num" val="1"/>
        <color rgb="FFF8696B"/>
        <color rgb="FFFCFCFF"/>
        <color rgb="FF5A8AC6"/>
      </colorScale>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74ECF1-69A7-494C-BC5D-9AA6EEC937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Data Import</vt:lpstr>
      <vt:lpstr>Pivot</vt:lpstr>
      <vt:lpstr>Sched</vt:lpstr>
      <vt:lpstr>Win Hist</vt:lpstr>
      <vt:lpstr>Sample Quick Prob</vt:lpstr>
      <vt:lpstr>Sched (2)</vt:lpstr>
      <vt:lpstr>Playoff Run</vt:lpstr>
      <vt:lpstr>Wins Needed</vt:lpstr>
      <vt:lpstr>Weekly Combos</vt:lpstr>
      <vt:lpstr>'Data Import'!all_starters</vt:lpstr>
      <vt:lpstr>'Data Import'!game_pred</vt:lpstr>
      <vt:lpstr>'Playoff Run'!impact</vt:lpstr>
      <vt:lpstr>'Data Import'!sched</vt:lpstr>
      <vt:lpstr>'Weekly Combos'!week_combos</vt:lpstr>
      <vt:lpstr>'Wins Needed'!wins_needed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Anthony J Reinhard</cp:lastModifiedBy>
  <dcterms:created xsi:type="dcterms:W3CDTF">2017-08-31T18:42:21Z</dcterms:created>
  <dcterms:modified xsi:type="dcterms:W3CDTF">2018-09-18T16:45:36Z</dcterms:modified>
</cp:coreProperties>
</file>